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icio" sheetId="1" state="visible" r:id="rId1"/>
    <sheet name="HPMAD" sheetId="2" state="visible" r:id="rId2"/>
    <sheet name="HPM" sheetId="3" state="visible" r:id="rId3"/>
    <sheet name="HPT" sheetId="4" state="visible" r:id="rId4"/>
    <sheet name="HPN" sheetId="5" state="visible" r:id="rId5"/>
    <sheet name="N" sheetId="6" state="visible" r:id="rId6"/>
    <sheet name="S" sheetId="7" state="visible" r:id="rId7"/>
    <sheet name="E" sheetId="8" state="visible" r:id="rId8"/>
    <sheet name="O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h]:mm"/>
  </numFmts>
  <fonts count="35">
    <font>
      <name val="Calibri"/>
      <family val="2"/>
      <color theme="1"/>
      <sz val="11"/>
      <scheme val="minor"/>
    </font>
    <font>
      <name val="Arial Narrow"/>
      <family val="2"/>
      <b val="1"/>
      <color rgb="FFFFFFFF"/>
      <sz val="24"/>
    </font>
    <font>
      <name val="Arial Narrow"/>
      <family val="2"/>
      <b val="1"/>
      <color rgb="FFFFFFFF"/>
      <sz val="16"/>
    </font>
    <font>
      <name val="Arial Narrow"/>
      <family val="2"/>
      <b val="1"/>
      <i val="1"/>
      <color rgb="FFFFFFFF"/>
      <sz val="16"/>
    </font>
    <font>
      <name val="Arial Narrow"/>
      <family val="2"/>
      <b val="1"/>
      <color rgb="FFFFFFFF"/>
      <sz val="20"/>
    </font>
    <font>
      <name val="Calibri"/>
      <family val="2"/>
      <color theme="1"/>
      <sz val="11"/>
    </font>
    <font>
      <name val="Arial Narrow"/>
      <family val="2"/>
      <color rgb="FF0000FF"/>
      <sz val="18"/>
    </font>
    <font>
      <name val="Arial Narrow"/>
      <family val="2"/>
      <color theme="1"/>
      <sz val="16"/>
    </font>
    <font>
      <name val="Arial Narrow"/>
      <family val="2"/>
      <b val="1"/>
      <color theme="1"/>
      <sz val="16"/>
    </font>
    <font>
      <name val="Arial Narrow"/>
      <family val="2"/>
      <b val="1"/>
      <color rgb="FFFFFFFF"/>
      <sz val="14"/>
    </font>
    <font>
      <name val="Arial Narrow"/>
      <family val="2"/>
      <b val="1"/>
      <color rgb="FF000000"/>
      <sz val="10"/>
    </font>
    <font>
      <name val="Arial Narrow"/>
      <family val="2"/>
      <b val="1"/>
      <color rgb="FFFFFFFF"/>
      <sz val="12"/>
    </font>
    <font>
      <name val="Arial Narrow"/>
      <family val="2"/>
      <color theme="1"/>
      <sz val="14"/>
    </font>
    <font>
      <name val="Arial Narrow"/>
      <family val="2"/>
      <b val="1"/>
      <color rgb="FF9933FF"/>
      <sz val="14"/>
    </font>
    <font>
      <name val="Calibri"/>
      <family val="2"/>
      <color theme="0"/>
      <sz val="11"/>
      <scheme val="minor"/>
    </font>
    <font>
      <name val="Arial Narrow"/>
      <family val="2"/>
      <b val="1"/>
      <sz val="16"/>
    </font>
    <font>
      <name val="Arial Narrow"/>
      <family val="2"/>
      <b val="1"/>
      <sz val="28"/>
      <u val="single"/>
    </font>
    <font>
      <name val="Calibri"/>
      <family val="2"/>
      <sz val="11"/>
      <scheme val="minor"/>
    </font>
    <font>
      <name val="Arial Narrow"/>
      <family val="2"/>
      <b val="1"/>
      <sz val="14"/>
    </font>
    <font>
      <name val="Arial"/>
      <family val="2"/>
      <sz val="14"/>
      <u val="single"/>
    </font>
    <font>
      <name val="Arial Narrow"/>
      <family val="2"/>
      <b val="1"/>
      <sz val="18"/>
    </font>
    <font>
      <name val="Arial Narrow"/>
      <family val="2"/>
      <b val="1"/>
      <color theme="0"/>
      <sz val="20"/>
    </font>
    <font>
      <name val="Arial Narrow"/>
      <family val="2"/>
      <b val="1"/>
      <color theme="0"/>
      <sz val="16"/>
    </font>
    <font>
      <name val="Calibri"/>
      <family val="2"/>
      <color theme="1"/>
      <sz val="14"/>
      <scheme val="minor"/>
    </font>
    <font>
      <name val="Arial Narrow"/>
      <family val="2"/>
      <sz val="16"/>
    </font>
    <font>
      <name val="Arial Narrow"/>
      <family val="2"/>
      <b val="1"/>
      <color theme="0"/>
      <sz val="14"/>
    </font>
    <font>
      <name val="Arial Narrow"/>
      <family val="2"/>
      <b val="1"/>
      <color theme="0"/>
      <sz val="12"/>
    </font>
    <font>
      <name val="Calibri"/>
      <family val="2"/>
      <color theme="0"/>
      <sz val="14"/>
      <scheme val="minor"/>
    </font>
    <font>
      <name val="Calibri"/>
      <family val="2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8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theme="1" tint="0.3499862666707358"/>
        <bgColor indexed="64"/>
      </patternFill>
    </fill>
  </fills>
  <borders count="9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D9D9D9"/>
      </bottom>
      <diagonal/>
    </border>
    <border>
      <left style="thin">
        <color rgb="FF000000"/>
      </left>
      <right style="thin">
        <color rgb="FF000000"/>
      </right>
      <top style="dotted">
        <color rgb="FFD9D9D9"/>
      </top>
      <bottom style="dotted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C6C6C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rgb="FFD9D9D9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D9D9D9"/>
      </bottom>
      <diagonal/>
    </border>
    <border>
      <left style="thin">
        <color indexed="64"/>
      </left>
      <right style="thin">
        <color rgb="FF000000"/>
      </right>
      <top style="dotted">
        <color rgb="FFD9D9D9"/>
      </top>
      <bottom style="dotted">
        <color rgb="FFD9D9D9"/>
      </bottom>
      <diagonal/>
    </border>
    <border>
      <left style="thin">
        <color rgb="FF000000"/>
      </left>
      <right style="thin">
        <color indexed="64"/>
      </right>
      <top style="dotted">
        <color rgb="FFD9D9D9"/>
      </top>
      <bottom style="dotted">
        <color rgb="FFD9D9D9"/>
      </bottom>
      <diagonal/>
    </border>
    <border>
      <left style="thin">
        <color indexed="64"/>
      </left>
      <right style="thin">
        <color rgb="FF000000"/>
      </right>
      <top style="dotted">
        <color rgb="FFD9D9D9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D9D9D9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C6C6C6"/>
      </bottom>
      <diagonal/>
    </border>
    <border>
      <left style="thin">
        <color indexed="64"/>
      </left>
      <right/>
      <top/>
      <bottom style="thin">
        <color rgb="FFC6C6C6"/>
      </bottom>
      <diagonal/>
    </border>
    <border>
      <left/>
      <right style="thin">
        <color indexed="64"/>
      </right>
      <top/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/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C6C6C6"/>
      </bottom>
      <diagonal/>
    </border>
    <border>
      <left/>
      <right style="thin">
        <color rgb="FF000000"/>
      </right>
      <top/>
      <bottom style="thin">
        <color rgb="FFC6C6C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29" fillId="0" borderId="10"/>
    <xf numFmtId="9" fontId="29" fillId="0" borderId="10"/>
  </cellStyleXfs>
  <cellXfs count="267">
    <xf numFmtId="0" fontId="0" fillId="0" borderId="0" pivotButton="0" quotePrefix="0" xfId="0"/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1" fontId="7" fillId="2" borderId="7" applyAlignment="1" pivotButton="0" quotePrefix="0" xfId="0">
      <alignment horizontal="center" wrapText="1"/>
    </xf>
    <xf numFmtId="1" fontId="7" fillId="2" borderId="8" applyAlignment="1" pivotButton="0" quotePrefix="0" xfId="0">
      <alignment horizontal="center" wrapText="1"/>
    </xf>
    <xf numFmtId="1" fontId="7" fillId="2" borderId="9" applyAlignment="1" pivotButton="0" quotePrefix="0" xfId="0">
      <alignment horizontal="center" wrapText="1"/>
    </xf>
    <xf numFmtId="0" fontId="8" fillId="2" borderId="3" applyAlignment="1" pivotButton="0" quotePrefix="0" xfId="0">
      <alignment horizontal="left"/>
    </xf>
    <xf numFmtId="1" fontId="7" fillId="2" borderId="3" applyAlignment="1" pivotButton="0" quotePrefix="0" xfId="0">
      <alignment horizontal="center"/>
    </xf>
    <xf numFmtId="1" fontId="7" fillId="2" borderId="4" applyAlignment="1" pivotButton="0" quotePrefix="0" xfId="0">
      <alignment horizontal="center"/>
    </xf>
    <xf numFmtId="1" fontId="7" fillId="2" borderId="5" applyAlignment="1" pivotButton="0" quotePrefix="0" xfId="0">
      <alignment horizontal="center"/>
    </xf>
    <xf numFmtId="1" fontId="7" fillId="2" borderId="1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" fontId="6" fillId="2" borderId="3" applyAlignment="1" pivotButton="0" quotePrefix="0" xfId="0">
      <alignment horizontal="center" wrapText="1"/>
    </xf>
    <xf numFmtId="3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3" fontId="5" fillId="0" borderId="10" applyAlignment="1" pivotButton="0" quotePrefix="0" xfId="0">
      <alignment horizontal="right"/>
    </xf>
    <xf numFmtId="4" fontId="5" fillId="0" borderId="10" applyAlignment="1" pivotButton="0" quotePrefix="0" xfId="0">
      <alignment horizontal="right"/>
    </xf>
    <xf numFmtId="1" fontId="7" fillId="2" borderId="13" applyAlignment="1" pivotButton="0" quotePrefix="0" xfId="0">
      <alignment horizontal="center"/>
    </xf>
    <xf numFmtId="1" fontId="7" fillId="2" borderId="14" applyAlignment="1" pivotButton="0" quotePrefix="0" xfId="0">
      <alignment horizontal="center"/>
    </xf>
    <xf numFmtId="1" fontId="7" fillId="2" borderId="15" applyAlignment="1" pivotButton="0" quotePrefix="0" xfId="0">
      <alignment horizontal="center"/>
    </xf>
    <xf numFmtId="0" fontId="15" fillId="2" borderId="13" applyAlignment="1" pivotButton="0" quotePrefix="0" xfId="0">
      <alignment horizontal="center"/>
    </xf>
    <xf numFmtId="0" fontId="15" fillId="2" borderId="14" applyAlignment="1" pivotButton="0" quotePrefix="0" xfId="0">
      <alignment horizontal="center"/>
    </xf>
    <xf numFmtId="0" fontId="15" fillId="2" borderId="15" applyAlignment="1" pivotButton="0" quotePrefix="0" xfId="0">
      <alignment horizontal="center"/>
    </xf>
    <xf numFmtId="0" fontId="15" fillId="0" borderId="15" applyAlignment="1" pivotButton="0" quotePrefix="0" xfId="0">
      <alignment horizontal="center"/>
    </xf>
    <xf numFmtId="0" fontId="15" fillId="0" borderId="13" applyAlignment="1" pivotButton="0" quotePrefix="0" xfId="0">
      <alignment horizontal="center"/>
    </xf>
    <xf numFmtId="0" fontId="15" fillId="0" borderId="14" applyAlignment="1" pivotButton="0" quotePrefix="0" xfId="0">
      <alignment horizontal="center"/>
    </xf>
    <xf numFmtId="3" fontId="11" fillId="0" borderId="10" applyAlignment="1" pivotButton="0" quotePrefix="0" xfId="0">
      <alignment horizontal="center" wrapText="1"/>
    </xf>
    <xf numFmtId="3" fontId="12" fillId="0" borderId="10" applyAlignment="1" pivotButton="0" quotePrefix="0" xfId="0">
      <alignment horizontal="center"/>
    </xf>
    <xf numFmtId="0" fontId="7" fillId="2" borderId="12" applyAlignment="1" pivotButton="0" quotePrefix="1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9" fillId="3" borderId="31" applyAlignment="1" pivotButton="0" quotePrefix="0" xfId="0">
      <alignment horizontal="center" vertical="center"/>
    </xf>
    <xf numFmtId="0" fontId="9" fillId="3" borderId="32" applyAlignment="1" pivotButton="0" quotePrefix="0" xfId="0">
      <alignment horizontal="center" vertical="center"/>
    </xf>
    <xf numFmtId="3" fontId="9" fillId="3" borderId="33" applyAlignment="1" pivotButton="0" quotePrefix="0" xfId="0">
      <alignment horizontal="center" vertical="center"/>
    </xf>
    <xf numFmtId="3" fontId="7" fillId="2" borderId="34" applyAlignment="1" pivotButton="0" quotePrefix="0" xfId="0">
      <alignment horizontal="center" vertical="center"/>
    </xf>
    <xf numFmtId="3" fontId="7" fillId="2" borderId="36" applyAlignment="1" pivotButton="0" quotePrefix="0" xfId="0">
      <alignment horizontal="center" vertical="center"/>
    </xf>
    <xf numFmtId="3" fontId="7" fillId="2" borderId="38" applyAlignment="1" pivotButton="0" quotePrefix="0" xfId="0">
      <alignment horizontal="center" vertical="center"/>
    </xf>
    <xf numFmtId="0" fontId="7" fillId="2" borderId="39" applyAlignment="1" pivotButton="0" quotePrefix="1" xfId="0">
      <alignment horizontal="left" vertical="center"/>
    </xf>
    <xf numFmtId="4" fontId="7" fillId="2" borderId="35" applyAlignment="1" pivotButton="0" quotePrefix="0" xfId="0">
      <alignment horizontal="center" vertical="center"/>
    </xf>
    <xf numFmtId="4" fontId="7" fillId="2" borderId="37" applyAlignment="1" pivotButton="0" quotePrefix="0" xfId="0">
      <alignment horizontal="center" vertical="center"/>
    </xf>
    <xf numFmtId="4" fontId="7" fillId="2" borderId="40" applyAlignment="1" pivotButton="0" quotePrefix="0" xfId="0">
      <alignment horizontal="center" vertical="center"/>
    </xf>
    <xf numFmtId="0" fontId="11" fillId="3" borderId="31" applyAlignment="1" pivotButton="0" quotePrefix="0" xfId="0">
      <alignment horizontal="center" vertical="center" textRotation="90" wrapText="1"/>
    </xf>
    <xf numFmtId="0" fontId="11" fillId="3" borderId="32" applyAlignment="1" pivotButton="0" quotePrefix="0" xfId="0">
      <alignment horizontal="center" vertical="center" textRotation="90" wrapText="1"/>
    </xf>
    <xf numFmtId="0" fontId="9" fillId="3" borderId="33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3" fontId="20" fillId="3" borderId="3" applyAlignment="1" pivotButton="0" quotePrefix="0" xfId="0">
      <alignment horizontal="center" wrapText="1"/>
    </xf>
    <xf numFmtId="1" fontId="24" fillId="2" borderId="5" applyAlignment="1" pivotButton="0" quotePrefix="0" xfId="0">
      <alignment horizontal="center"/>
    </xf>
    <xf numFmtId="1" fontId="24" fillId="2" borderId="1" applyAlignment="1" pivotButton="0" quotePrefix="0" xfId="0">
      <alignment horizontal="left"/>
    </xf>
    <xf numFmtId="1" fontId="24" fillId="2" borderId="1" applyAlignment="1" pivotButton="0" quotePrefix="0" xfId="0">
      <alignment horizontal="center"/>
    </xf>
    <xf numFmtId="4" fontId="26" fillId="3" borderId="3" applyAlignment="1" pivotButton="0" quotePrefix="0" xfId="0">
      <alignment horizontal="center" wrapText="1"/>
    </xf>
    <xf numFmtId="1" fontId="26" fillId="3" borderId="3" applyAlignment="1" pivotButton="0" quotePrefix="0" xfId="0">
      <alignment horizontal="center" wrapText="1"/>
    </xf>
    <xf numFmtId="0" fontId="10" fillId="2" borderId="20" applyAlignment="1" pivotButton="0" quotePrefix="0" xfId="0">
      <alignment horizontal="left"/>
    </xf>
    <xf numFmtId="0" fontId="10" fillId="2" borderId="23" applyAlignment="1" pivotButton="0" quotePrefix="0" xfId="0">
      <alignment horizontal="left"/>
    </xf>
    <xf numFmtId="0" fontId="10" fillId="2" borderId="25" applyAlignment="1" pivotButton="0" quotePrefix="0" xfId="0">
      <alignment horizontal="left"/>
    </xf>
    <xf numFmtId="3" fontId="15" fillId="2" borderId="21" applyAlignment="1" pivotButton="0" quotePrefix="0" xfId="0">
      <alignment horizontal="left" vertical="center"/>
    </xf>
    <xf numFmtId="0" fontId="15" fillId="2" borderId="21" applyAlignment="1" pivotButton="0" quotePrefix="0" xfId="0">
      <alignment horizontal="left" vertical="center"/>
    </xf>
    <xf numFmtId="0" fontId="18" fillId="2" borderId="21" applyAlignment="1" pivotButton="0" quotePrefix="0" xfId="0">
      <alignment horizontal="center" vertical="center"/>
    </xf>
    <xf numFmtId="0" fontId="15" fillId="2" borderId="22" applyAlignment="1" pivotButton="0" quotePrefix="0" xfId="0">
      <alignment horizontal="left" vertical="center"/>
    </xf>
    <xf numFmtId="0" fontId="15" fillId="2" borderId="10" applyAlignment="1" pivotButton="0" quotePrefix="0" xfId="0">
      <alignment horizontal="left" vertical="center"/>
    </xf>
    <xf numFmtId="0" fontId="18" fillId="2" borderId="10" applyAlignment="1" pivotButton="0" quotePrefix="0" xfId="0">
      <alignment horizontal="center" vertical="center"/>
    </xf>
    <xf numFmtId="0" fontId="15" fillId="2" borderId="26" applyAlignment="1" pivotButton="0" quotePrefix="0" xfId="0">
      <alignment horizontal="left" vertical="center"/>
    </xf>
    <xf numFmtId="0" fontId="18" fillId="2" borderId="26" applyAlignment="1" pivotButton="0" quotePrefix="0" xfId="0">
      <alignment horizontal="center" vertical="center"/>
    </xf>
    <xf numFmtId="3" fontId="18" fillId="2" borderId="21" applyAlignment="1" pivotButton="0" quotePrefix="0" xfId="0">
      <alignment horizontal="left" vertical="center"/>
    </xf>
    <xf numFmtId="3" fontId="18" fillId="2" borderId="10" applyAlignment="1" pivotButton="0" quotePrefix="0" xfId="0">
      <alignment horizontal="left" vertical="center"/>
    </xf>
    <xf numFmtId="3" fontId="18" fillId="2" borderId="26" applyAlignment="1" pivotButton="0" quotePrefix="0" xfId="0">
      <alignment horizontal="left" vertical="center"/>
    </xf>
    <xf numFmtId="0" fontId="13" fillId="2" borderId="36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left" vertical="center"/>
    </xf>
    <xf numFmtId="0" fontId="12" fillId="2" borderId="37" applyAlignment="1" pivotButton="0" quotePrefix="0" xfId="0">
      <alignment horizontal="center" vertical="center"/>
    </xf>
    <xf numFmtId="0" fontId="13" fillId="2" borderId="38" applyAlignment="1" pivotButton="0" quotePrefix="0" xfId="0">
      <alignment horizontal="center" vertical="center"/>
    </xf>
    <xf numFmtId="0" fontId="13" fillId="2" borderId="39" applyAlignment="1" pivotButton="0" quotePrefix="0" xfId="0">
      <alignment horizontal="center" vertical="center"/>
    </xf>
    <xf numFmtId="0" fontId="12" fillId="2" borderId="39" applyAlignment="1" pivotButton="0" quotePrefix="0" xfId="0">
      <alignment horizontal="center" vertical="center"/>
    </xf>
    <xf numFmtId="0" fontId="12" fillId="2" borderId="39" applyAlignment="1" pivotButton="0" quotePrefix="0" xfId="0">
      <alignment horizontal="left" vertical="center"/>
    </xf>
    <xf numFmtId="0" fontId="12" fillId="2" borderId="40" applyAlignment="1" pivotButton="0" quotePrefix="0" xfId="0">
      <alignment horizontal="center" vertical="center"/>
    </xf>
    <xf numFmtId="0" fontId="14" fillId="3" borderId="19" applyAlignment="1" pivotButton="0" quotePrefix="0" xfId="0">
      <alignment vertical="center"/>
    </xf>
    <xf numFmtId="0" fontId="7" fillId="2" borderId="11" applyAlignment="1" pivotButton="0" quotePrefix="1" xfId="0">
      <alignment horizontal="left" vertical="center"/>
    </xf>
    <xf numFmtId="1" fontId="0" fillId="0" borderId="10" applyAlignment="1" pivotButton="0" quotePrefix="0" xfId="0">
      <alignment horizontal="center"/>
    </xf>
    <xf numFmtId="1" fontId="7" fillId="2" borderId="44" applyAlignment="1" pivotButton="0" quotePrefix="0" xfId="0">
      <alignment horizontal="center" wrapText="1"/>
    </xf>
    <xf numFmtId="1" fontId="7" fillId="2" borderId="45" applyAlignment="1" pivotButton="0" quotePrefix="0" xfId="0">
      <alignment horizontal="center"/>
    </xf>
    <xf numFmtId="1" fontId="24" fillId="2" borderId="4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164" fontId="0" fillId="0" borderId="10" pivotButton="0" quotePrefix="0" xfId="0"/>
    <xf numFmtId="0" fontId="31" fillId="0" borderId="46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1" fontId="0" fillId="0" borderId="21" applyAlignment="1" pivotButton="0" quotePrefix="0" xfId="0">
      <alignment horizontal="center" vertical="center"/>
    </xf>
    <xf numFmtId="1" fontId="0" fillId="0" borderId="22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24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1" fontId="0" fillId="0" borderId="27" applyAlignment="1" pivotButton="0" quotePrefix="0" xfId="0">
      <alignment horizontal="center" vertical="center"/>
    </xf>
    <xf numFmtId="1" fontId="0" fillId="0" borderId="20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25" applyAlignment="1" pivotButton="0" quotePrefix="0" xfId="0">
      <alignment horizontal="center" vertical="center"/>
    </xf>
    <xf numFmtId="0" fontId="30" fillId="3" borderId="46" applyAlignment="1" pivotButton="0" quotePrefix="0" xfId="0">
      <alignment horizontal="center" vertical="center"/>
    </xf>
    <xf numFmtId="0" fontId="0" fillId="0" borderId="10" applyAlignment="1" pivotButton="0" quotePrefix="0" xfId="0">
      <alignment horizontal="right"/>
    </xf>
    <xf numFmtId="0" fontId="0" fillId="0" borderId="50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0" fillId="0" borderId="56" pivotButton="0" quotePrefix="0" xfId="0"/>
    <xf numFmtId="0" fontId="31" fillId="0" borderId="62" applyAlignment="1" pivotButton="0" quotePrefix="0" xfId="0">
      <alignment horizontal="center" vertical="center"/>
    </xf>
    <xf numFmtId="0" fontId="0" fillId="0" borderId="63" pivotButton="0" quotePrefix="0" xfId="0"/>
    <xf numFmtId="1" fontId="0" fillId="0" borderId="64" applyAlignment="1" pivotButton="0" quotePrefix="0" xfId="0">
      <alignment horizontal="center" vertical="center"/>
    </xf>
    <xf numFmtId="1" fontId="0" fillId="0" borderId="54" applyAlignment="1" pivotButton="0" quotePrefix="0" xfId="0">
      <alignment horizontal="center" vertical="center"/>
    </xf>
    <xf numFmtId="0" fontId="0" fillId="0" borderId="65" pivotButton="0" quotePrefix="0" xfId="0"/>
    <xf numFmtId="1" fontId="0" fillId="0" borderId="66" applyAlignment="1" pivotButton="0" quotePrefix="0" xfId="0">
      <alignment horizontal="center" vertical="center"/>
    </xf>
    <xf numFmtId="0" fontId="31" fillId="0" borderId="61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31" fillId="0" borderId="67" applyAlignment="1" pivotButton="0" quotePrefix="0" xfId="0">
      <alignment horizontal="center" vertical="center"/>
    </xf>
    <xf numFmtId="1" fontId="0" fillId="0" borderId="72" applyAlignment="1" pivotButton="0" quotePrefix="0" xfId="0">
      <alignment horizontal="center" vertical="center"/>
    </xf>
    <xf numFmtId="9" fontId="0" fillId="0" borderId="76" applyAlignment="1" pivotButton="0" quotePrefix="0" xfId="1">
      <alignment horizontal="center" vertical="center"/>
    </xf>
    <xf numFmtId="9" fontId="0" fillId="0" borderId="73" applyAlignment="1" pivotButton="0" quotePrefix="0" xfId="1">
      <alignment horizontal="center" vertical="center"/>
    </xf>
    <xf numFmtId="1" fontId="0" fillId="0" borderId="74" applyAlignment="1" pivotButton="0" quotePrefix="0" xfId="0">
      <alignment horizontal="center" vertical="center"/>
    </xf>
    <xf numFmtId="9" fontId="0" fillId="0" borderId="75" applyAlignment="1" pivotButton="0" quotePrefix="0" xfId="1">
      <alignment horizontal="center" vertical="center"/>
    </xf>
    <xf numFmtId="0" fontId="0" fillId="0" borderId="67" applyAlignment="1" pivotButton="0" quotePrefix="0" xfId="0">
      <alignment horizontal="center" vertical="center"/>
    </xf>
    <xf numFmtId="9" fontId="0" fillId="0" borderId="69" applyAlignment="1" pivotButton="0" quotePrefix="0" xfId="1">
      <alignment horizontal="center" vertical="center"/>
    </xf>
    <xf numFmtId="164" fontId="0" fillId="0" borderId="10" applyAlignment="1" pivotButton="0" quotePrefix="0" xfId="0">
      <alignment horizontal="right"/>
    </xf>
    <xf numFmtId="0" fontId="31" fillId="0" borderId="10" pivotButton="0" quotePrefix="0" xfId="0"/>
    <xf numFmtId="0" fontId="30" fillId="3" borderId="77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10" pivotButton="0" quotePrefix="1" xfId="0"/>
    <xf numFmtId="0" fontId="18" fillId="2" borderId="10" applyAlignment="1" pivotButton="0" quotePrefix="0" xfId="0">
      <alignment horizontal="left" vertical="center"/>
    </xf>
    <xf numFmtId="0" fontId="17" fillId="0" borderId="10" applyAlignment="1" pivotButton="0" quotePrefix="0" xfId="0">
      <alignment vertical="center"/>
    </xf>
    <xf numFmtId="0" fontId="17" fillId="0" borderId="24" applyAlignment="1" pivotButton="0" quotePrefix="0" xfId="0">
      <alignment vertical="center"/>
    </xf>
    <xf numFmtId="0" fontId="8" fillId="2" borderId="16" applyAlignment="1" pivotButton="0" quotePrefix="0" xfId="0">
      <alignment horizontal="center"/>
    </xf>
    <xf numFmtId="0" fontId="0" fillId="0" borderId="10" pivotButton="0" quotePrefix="0" xfId="0"/>
    <xf numFmtId="0" fontId="18" fillId="2" borderId="21" applyAlignment="1" pivotButton="0" quotePrefix="1" xfId="0">
      <alignment horizontal="left" vertical="center"/>
    </xf>
    <xf numFmtId="0" fontId="28" fillId="0" borderId="21" applyAlignment="1" pivotButton="0" quotePrefix="0" xfId="0">
      <alignment vertical="center"/>
    </xf>
    <xf numFmtId="0" fontId="16" fillId="2" borderId="41" applyAlignment="1" pivotButton="0" quotePrefix="0" xfId="0">
      <alignment horizontal="center" vertical="top"/>
    </xf>
    <xf numFmtId="0" fontId="17" fillId="0" borderId="21" pivotButton="0" quotePrefix="0" xfId="0"/>
    <xf numFmtId="0" fontId="17" fillId="0" borderId="22" pivotButton="0" quotePrefix="0" xfId="0"/>
    <xf numFmtId="0" fontId="17" fillId="0" borderId="42" pivotButton="0" quotePrefix="0" xfId="0"/>
    <xf numFmtId="0" fontId="17" fillId="0" borderId="10" pivotButton="0" quotePrefix="0" xfId="0"/>
    <xf numFmtId="0" fontId="17" fillId="0" borderId="43" pivotButton="0" quotePrefix="0" xfId="0"/>
    <xf numFmtId="0" fontId="18" fillId="2" borderId="10" applyAlignment="1" pivotButton="0" quotePrefix="1" xfId="0">
      <alignment horizontal="left" vertical="center"/>
    </xf>
    <xf numFmtId="0" fontId="28" fillId="0" borderId="10" applyAlignment="1" pivotButton="0" quotePrefix="0" xfId="0">
      <alignment vertical="center"/>
    </xf>
    <xf numFmtId="0" fontId="28" fillId="0" borderId="24" applyAlignment="1" pivotButton="0" quotePrefix="0" xfId="0">
      <alignment vertical="center"/>
    </xf>
    <xf numFmtId="14" fontId="18" fillId="2" borderId="10" applyAlignment="1" pivotButton="0" quotePrefix="0" xfId="0">
      <alignment horizontal="left" vertical="center"/>
    </xf>
    <xf numFmtId="0" fontId="19" fillId="2" borderId="21" applyAlignment="1" pivotButton="0" quotePrefix="0" xfId="0">
      <alignment horizontal="left" vertical="center"/>
    </xf>
    <xf numFmtId="0" fontId="17" fillId="0" borderId="21" applyAlignment="1" pivotButton="0" quotePrefix="0" xfId="0">
      <alignment vertical="center"/>
    </xf>
    <xf numFmtId="0" fontId="18" fillId="2" borderId="26" applyAlignment="1" pivotButton="0" quotePrefix="1" xfId="0">
      <alignment horizontal="left" vertical="center"/>
    </xf>
    <xf numFmtId="0" fontId="28" fillId="0" borderId="26" applyAlignment="1" pivotButton="0" quotePrefix="0" xfId="0">
      <alignment vertical="center"/>
    </xf>
    <xf numFmtId="0" fontId="28" fillId="0" borderId="27" applyAlignment="1" pivotButton="0" quotePrefix="0" xfId="0">
      <alignment vertical="center"/>
    </xf>
    <xf numFmtId="0" fontId="31" fillId="0" borderId="46" applyAlignment="1" pivotButton="0" quotePrefix="0" xfId="0">
      <alignment horizontal="center"/>
    </xf>
    <xf numFmtId="0" fontId="30" fillId="3" borderId="46" applyAlignment="1" pivotButton="0" quotePrefix="0" xfId="0">
      <alignment horizontal="center"/>
    </xf>
    <xf numFmtId="0" fontId="31" fillId="0" borderId="62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57" applyAlignment="1" pivotButton="0" quotePrefix="0" xfId="0">
      <alignment horizontal="center"/>
    </xf>
    <xf numFmtId="0" fontId="33" fillId="0" borderId="47" applyAlignment="1" pivotButton="0" quotePrefix="0" xfId="0">
      <alignment horizontal="center" vertical="center"/>
    </xf>
    <xf numFmtId="0" fontId="33" fillId="0" borderId="48" applyAlignment="1" pivotButton="0" quotePrefix="0" xfId="0">
      <alignment horizontal="center" vertical="center"/>
    </xf>
    <xf numFmtId="0" fontId="33" fillId="0" borderId="49" applyAlignment="1" pivotButton="0" quotePrefix="0" xfId="0">
      <alignment horizontal="center" vertical="center"/>
    </xf>
    <xf numFmtId="0" fontId="31" fillId="0" borderId="58" applyAlignment="1" pivotButton="0" quotePrefix="0" xfId="0">
      <alignment horizontal="center" vertical="center" wrapText="1"/>
    </xf>
    <xf numFmtId="0" fontId="31" fillId="0" borderId="61" applyAlignment="1" pivotButton="0" quotePrefix="0" xfId="0">
      <alignment horizontal="center" vertical="center" wrapText="1"/>
    </xf>
    <xf numFmtId="0" fontId="32" fillId="0" borderId="59" applyAlignment="1" pivotButton="0" quotePrefix="0" xfId="0">
      <alignment horizontal="center" vertical="center"/>
    </xf>
    <xf numFmtId="0" fontId="32" fillId="0" borderId="60" applyAlignment="1" pivotButton="0" quotePrefix="0" xfId="0">
      <alignment horizontal="center" vertical="center"/>
    </xf>
    <xf numFmtId="0" fontId="31" fillId="0" borderId="70" applyAlignment="1" pivotButton="0" quotePrefix="0" xfId="0">
      <alignment horizontal="center" vertical="center" textRotation="90"/>
    </xf>
    <xf numFmtId="0" fontId="31" fillId="0" borderId="72" applyAlignment="1" pivotButton="0" quotePrefix="0" xfId="0">
      <alignment horizontal="center" vertical="center" textRotation="90"/>
    </xf>
    <xf numFmtId="0" fontId="31" fillId="0" borderId="74" applyAlignment="1" pivotButton="0" quotePrefix="0" xfId="0">
      <alignment horizontal="center" vertical="center" textRotation="90"/>
    </xf>
    <xf numFmtId="0" fontId="31" fillId="0" borderId="71" applyAlignment="1" pivotButton="0" quotePrefix="0" xfId="0">
      <alignment horizontal="center" vertical="center"/>
    </xf>
    <xf numFmtId="0" fontId="31" fillId="0" borderId="73" applyAlignment="1" pivotButton="0" quotePrefix="0" xfId="0">
      <alignment horizontal="center" vertical="center"/>
    </xf>
    <xf numFmtId="0" fontId="31" fillId="0" borderId="75" applyAlignment="1" pivotButton="0" quotePrefix="0" xfId="0">
      <alignment horizontal="center" vertical="center"/>
    </xf>
    <xf numFmtId="0" fontId="0" fillId="0" borderId="10" applyAlignment="1" pivotButton="0" quotePrefix="0" xfId="0">
      <alignment horizontal="right"/>
    </xf>
    <xf numFmtId="0" fontId="0" fillId="0" borderId="10" applyAlignment="1" pivotButton="0" quotePrefix="0" xfId="0">
      <alignment horizontal="left"/>
    </xf>
    <xf numFmtId="0" fontId="0" fillId="0" borderId="54" applyAlignment="1" pivotButton="0" quotePrefix="0" xfId="0">
      <alignment horizontal="right"/>
    </xf>
    <xf numFmtId="0" fontId="0" fillId="0" borderId="56" applyAlignment="1" pivotButton="0" quotePrefix="0" xfId="0">
      <alignment horizontal="right"/>
    </xf>
    <xf numFmtId="0" fontId="0" fillId="0" borderId="56" applyAlignment="1" pivotButton="0" quotePrefix="0" xfId="0">
      <alignment horizontal="left"/>
    </xf>
    <xf numFmtId="0" fontId="0" fillId="0" borderId="57" applyAlignment="1" pivotButton="0" quotePrefix="0" xfId="0">
      <alignment horizontal="right"/>
    </xf>
    <xf numFmtId="0" fontId="34" fillId="0" borderId="47" applyAlignment="1" pivotButton="0" quotePrefix="0" xfId="0">
      <alignment horizontal="center"/>
    </xf>
    <xf numFmtId="0" fontId="34" fillId="0" borderId="48" applyAlignment="1" pivotButton="0" quotePrefix="0" xfId="0">
      <alignment horizontal="center"/>
    </xf>
    <xf numFmtId="0" fontId="34" fillId="0" borderId="49" applyAlignment="1" pivotButton="0" quotePrefix="0" xfId="0">
      <alignment horizontal="center"/>
    </xf>
    <xf numFmtId="0" fontId="0" fillId="0" borderId="51" applyAlignment="1" pivotButton="0" quotePrefix="0" xfId="0">
      <alignment horizontal="right"/>
    </xf>
    <xf numFmtId="0" fontId="0" fillId="0" borderId="51" applyAlignment="1" pivotButton="0" quotePrefix="0" xfId="0">
      <alignment horizontal="left"/>
    </xf>
    <xf numFmtId="0" fontId="0" fillId="0" borderId="52" applyAlignment="1" pivotButton="0" quotePrefix="0" xfId="0">
      <alignment horizontal="right"/>
    </xf>
    <xf numFmtId="14" fontId="0" fillId="0" borderId="10" applyAlignment="1" pivotButton="0" quotePrefix="0" xfId="0">
      <alignment horizontal="right"/>
    </xf>
    <xf numFmtId="3" fontId="4" fillId="3" borderId="28" applyAlignment="1" pivotButton="0" quotePrefix="0" xfId="0">
      <alignment horizontal="center" wrapText="1"/>
    </xf>
    <xf numFmtId="3" fontId="4" fillId="3" borderId="29" applyAlignment="1" pivotButton="0" quotePrefix="0" xfId="0">
      <alignment horizontal="center" wrapText="1"/>
    </xf>
    <xf numFmtId="3" fontId="4" fillId="3" borderId="30" applyAlignment="1" pivotButton="0" quotePrefix="0" xfId="0">
      <alignment horizontal="center" wrapText="1"/>
    </xf>
    <xf numFmtId="1" fontId="4" fillId="3" borderId="6" applyAlignment="1" pivotButton="0" quotePrefix="0" xfId="0">
      <alignment horizontal="center" wrapText="1"/>
    </xf>
    <xf numFmtId="0" fontId="0" fillId="3" borderId="18" pivotButton="0" quotePrefix="0" xfId="0"/>
    <xf numFmtId="0" fontId="0" fillId="3" borderId="19" pivotButton="0" quotePrefix="0" xfId="0"/>
    <xf numFmtId="1" fontId="25" fillId="3" borderId="6" applyAlignment="1" pivotButton="0" quotePrefix="0" xfId="0">
      <alignment horizontal="center" vertical="center" wrapText="1"/>
    </xf>
    <xf numFmtId="0" fontId="27" fillId="3" borderId="6" applyAlignment="1" pivotButton="0" quotePrefix="0" xfId="0">
      <alignment vertical="center"/>
    </xf>
    <xf numFmtId="0" fontId="1" fillId="3" borderId="20" applyAlignment="1" pivotButton="0" quotePrefix="0" xfId="0">
      <alignment horizontal="left" indent="1"/>
    </xf>
    <xf numFmtId="0" fontId="1" fillId="3" borderId="21" applyAlignment="1" pivotButton="0" quotePrefix="0" xfId="0">
      <alignment horizontal="left" indent="1"/>
    </xf>
    <xf numFmtId="0" fontId="1" fillId="3" borderId="22" applyAlignment="1" pivotButton="0" quotePrefix="0" xfId="0">
      <alignment horizontal="left" indent="1"/>
    </xf>
    <xf numFmtId="0" fontId="2" fillId="3" borderId="23" applyAlignment="1" pivotButton="0" quotePrefix="0" xfId="0">
      <alignment horizontal="right" indent="1"/>
    </xf>
    <xf numFmtId="0" fontId="2" fillId="3" borderId="10" applyAlignment="1" pivotButton="0" quotePrefix="0" xfId="0">
      <alignment horizontal="right" indent="1"/>
    </xf>
    <xf numFmtId="1" fontId="2" fillId="3" borderId="10" applyAlignment="1" pivotButton="0" quotePrefix="0" xfId="0">
      <alignment horizontal="left"/>
    </xf>
    <xf numFmtId="14" fontId="2" fillId="3" borderId="10" applyAlignment="1" pivotButton="0" quotePrefix="0" xfId="0">
      <alignment horizontal="left"/>
    </xf>
    <xf numFmtId="1" fontId="2" fillId="3" borderId="10" applyAlignment="1" pivotButton="0" quotePrefix="0" xfId="0">
      <alignment horizontal="center"/>
    </xf>
    <xf numFmtId="1" fontId="2" fillId="3" borderId="24" applyAlignment="1" pivotButton="0" quotePrefix="0" xfId="0">
      <alignment horizontal="center"/>
    </xf>
    <xf numFmtId="3" fontId="2" fillId="3" borderId="10" applyAlignment="1" pivotButton="0" quotePrefix="0" xfId="0">
      <alignment horizontal="left"/>
    </xf>
    <xf numFmtId="0" fontId="3" fillId="3" borderId="25" applyAlignment="1" pivotButton="0" quotePrefix="0" xfId="0">
      <alignment horizontal="center"/>
    </xf>
    <xf numFmtId="0" fontId="3" fillId="3" borderId="26" applyAlignment="1" pivotButton="0" quotePrefix="0" xfId="0">
      <alignment horizontal="center"/>
    </xf>
    <xf numFmtId="0" fontId="3" fillId="3" borderId="27" applyAlignment="1" pivotButton="0" quotePrefix="0" xfId="0">
      <alignment horizontal="center"/>
    </xf>
    <xf numFmtId="1" fontId="21" fillId="3" borderId="28" applyAlignment="1" pivotButton="0" quotePrefix="0" xfId="0">
      <alignment horizontal="center"/>
    </xf>
    <xf numFmtId="1" fontId="21" fillId="3" borderId="29" applyAlignment="1" pivotButton="0" quotePrefix="0" xfId="0">
      <alignment horizontal="center"/>
    </xf>
    <xf numFmtId="1" fontId="21" fillId="3" borderId="30" applyAlignment="1" pivotButton="0" quotePrefix="0" xfId="0">
      <alignment horizontal="center"/>
    </xf>
    <xf numFmtId="4" fontId="22" fillId="3" borderId="6" applyAlignment="1" pivotButton="0" quotePrefix="0" xfId="0">
      <alignment horizontal="center" wrapText="1"/>
    </xf>
    <xf numFmtId="0" fontId="14" fillId="3" borderId="18" pivotButton="0" quotePrefix="0" xfId="0"/>
    <xf numFmtId="0" fontId="14" fillId="3" borderId="19" pivotButton="0" quotePrefix="0" xfId="0"/>
    <xf numFmtId="0" fontId="9" fillId="3" borderId="6" applyAlignment="1" pivotButton="0" quotePrefix="0" xfId="0">
      <alignment horizontal="center" vertical="top" wrapText="1"/>
    </xf>
    <xf numFmtId="0" fontId="0" fillId="3" borderId="6" pivotButton="0" quotePrefix="0" xfId="0"/>
    <xf numFmtId="0" fontId="23" fillId="3" borderId="6" pivotButton="0" quotePrefix="0" xfId="0"/>
    <xf numFmtId="3" fontId="4" fillId="3" borderId="17" applyAlignment="1" pivotButton="0" quotePrefix="0" xfId="0">
      <alignment horizontal="center" wrapText="1"/>
    </xf>
    <xf numFmtId="3" fontId="4" fillId="3" borderId="18" applyAlignment="1" pivotButton="0" quotePrefix="0" xfId="0">
      <alignment horizontal="center" wrapText="1"/>
    </xf>
    <xf numFmtId="3" fontId="4" fillId="3" borderId="19" applyAlignment="1" pivotButton="0" quotePrefix="0" xfId="0">
      <alignment horizontal="center" wrapText="1"/>
    </xf>
    <xf numFmtId="1" fontId="21" fillId="3" borderId="6" applyAlignment="1" pivotButton="0" quotePrefix="0" xfId="0">
      <alignment horizontal="center" vertical="center"/>
    </xf>
    <xf numFmtId="0" fontId="14" fillId="3" borderId="18" applyAlignment="1" pivotButton="0" quotePrefix="0" xfId="0">
      <alignment vertical="center"/>
    </xf>
    <xf numFmtId="0" fontId="14" fillId="3" borderId="19" applyAlignment="1" pivotButton="0" quotePrefix="0" xfId="0">
      <alignment vertical="center"/>
    </xf>
    <xf numFmtId="0" fontId="0" fillId="0" borderId="68" applyAlignment="1" pivotButton="0" quotePrefix="0" xfId="0">
      <alignment horizontal="center"/>
    </xf>
    <xf numFmtId="0" fontId="0" fillId="0" borderId="69" applyAlignment="1" pivotButton="0" quotePrefix="0" xfId="0">
      <alignment horizontal="center"/>
    </xf>
    <xf numFmtId="0" fontId="0" fillId="0" borderId="21" pivotButton="0" quotePrefix="0" xfId="0"/>
    <xf numFmtId="0" fontId="0" fillId="0" borderId="79" pivotButton="0" quotePrefix="0" xfId="0"/>
    <xf numFmtId="0" fontId="0" fillId="0" borderId="42" pivotButton="0" quotePrefix="0" xfId="0"/>
    <xf numFmtId="0" fontId="0" fillId="0" borderId="81" pivotButton="0" quotePrefix="0" xfId="0"/>
    <xf numFmtId="0" fontId="0" fillId="0" borderId="82" pivotButton="0" quotePrefix="0" xfId="0"/>
    <xf numFmtId="0" fontId="18" fillId="2" borderId="24" applyAlignment="1" pivotButton="0" quotePrefix="1" xfId="0">
      <alignment horizontal="left" vertical="center"/>
    </xf>
    <xf numFmtId="14" fontId="18" fillId="2" borderId="24" applyAlignment="1" pivotButton="0" quotePrefix="0" xfId="0">
      <alignment horizontal="left" vertical="center"/>
    </xf>
    <xf numFmtId="0" fontId="18" fillId="2" borderId="24" applyAlignment="1" pivotButton="0" quotePrefix="0" xfId="0">
      <alignment horizontal="left" vertical="center"/>
    </xf>
    <xf numFmtId="0" fontId="18" fillId="2" borderId="27" applyAlignment="1" pivotButton="0" quotePrefix="1" xfId="0">
      <alignment horizontal="left" vertical="center"/>
    </xf>
    <xf numFmtId="0" fontId="0" fillId="0" borderId="16" pivotButton="0" quotePrefix="0" xfId="0"/>
    <xf numFmtId="0" fontId="34" fillId="0" borderId="83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7" pivotButton="0" quotePrefix="0" xfId="0"/>
    <xf numFmtId="0" fontId="0" fillId="0" borderId="83" applyAlignment="1" pivotButton="0" quotePrefix="0" xfId="0">
      <alignment horizontal="center"/>
    </xf>
    <xf numFmtId="0" fontId="33" fillId="0" borderId="83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7" pivotButton="0" quotePrefix="0" xfId="0"/>
    <xf numFmtId="0" fontId="31" fillId="0" borderId="58" applyAlignment="1" pivotButton="0" quotePrefix="0" xfId="0">
      <alignment horizontal="center" vertical="center" textRotation="90"/>
    </xf>
    <xf numFmtId="0" fontId="31" fillId="0" borderId="60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84" pivotButton="0" quotePrefix="0" xfId="0"/>
    <xf numFmtId="0" fontId="0" fillId="0" borderId="78" pivotButton="0" quotePrefix="0" xfId="0"/>
    <xf numFmtId="0" fontId="0" fillId="0" borderId="73" pivotButton="0" quotePrefix="0" xfId="0"/>
    <xf numFmtId="0" fontId="0" fillId="0" borderId="74" pivotButton="0" quotePrefix="0" xfId="0"/>
    <xf numFmtId="0" fontId="0" fillId="0" borderId="75" pivotButton="0" quotePrefix="0" xfId="0"/>
    <xf numFmtId="0" fontId="1" fillId="3" borderId="77" applyAlignment="1" pivotButton="0" quotePrefix="0" xfId="0">
      <alignment horizontal="left" indent="1"/>
    </xf>
    <xf numFmtId="0" fontId="0" fillId="0" borderId="22" pivotButton="0" quotePrefix="0" xfId="0"/>
    <xf numFmtId="0" fontId="3" fillId="3" borderId="8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3" fontId="4" fillId="3" borderId="32" applyAlignment="1" pivotButton="0" quotePrefix="0" xfId="0">
      <alignment horizontal="center" wrapText="1"/>
    </xf>
    <xf numFmtId="0" fontId="0" fillId="0" borderId="29" pivotButton="0" quotePrefix="0" xfId="0"/>
    <xf numFmtId="0" fontId="0" fillId="0" borderId="30" pivotButton="0" quotePrefix="0" xfId="0"/>
    <xf numFmtId="1" fontId="21" fillId="3" borderId="32" applyAlignment="1" pivotButton="0" quotePrefix="0" xfId="0">
      <alignment horizontal="center"/>
    </xf>
    <xf numFmtId="0" fontId="0" fillId="0" borderId="6" pivotButton="0" quotePrefix="0" xfId="0"/>
    <xf numFmtId="3" fontId="4" fillId="3" borderId="6" applyAlignment="1" pivotButton="0" quotePrefix="0" xfId="0">
      <alignment horizontal="center" wrapText="1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B1:AA34"/>
  <sheetViews>
    <sheetView showGridLines="0" tabSelected="1" zoomScale="55" zoomScaleNormal="55" workbookViewId="0">
      <selection activeCell="U8" sqref="U8"/>
    </sheetView>
  </sheetViews>
  <sheetFormatPr baseColWidth="10" defaultColWidth="9.140625" defaultRowHeight="15" outlineLevelCol="0"/>
  <cols>
    <col width="13.5703125" bestFit="1" customWidth="1" min="1" max="1"/>
    <col width="1.7109375" bestFit="1" customWidth="1" min="2" max="2"/>
    <col width="2.7109375" bestFit="1" customWidth="1" min="3" max="3"/>
    <col width="13.7109375" bestFit="1" customWidth="1" style="15" min="4" max="4"/>
    <col width="4.7109375" bestFit="1" customWidth="1" min="5" max="6"/>
    <col width="7.7109375" bestFit="1" customWidth="1" min="7" max="7"/>
    <col width="30.7109375" bestFit="1" customWidth="1" style="17" min="8" max="8"/>
    <col width="9.7109375" bestFit="1" customWidth="1" min="9" max="9"/>
    <col width="13.7109375" bestFit="1" customWidth="1" style="15" min="10" max="10"/>
    <col width="4.7109375" bestFit="1" customWidth="1" min="11" max="12"/>
    <col width="7.7109375" bestFit="1" customWidth="1" min="13" max="13"/>
    <col width="30.7109375" bestFit="1" customWidth="1" min="14" max="14"/>
    <col width="9.7109375" bestFit="1" customWidth="1" min="15" max="15"/>
    <col width="0.85546875" bestFit="1" customWidth="1" min="16" max="17"/>
    <col width="1.7109375" bestFit="1" customWidth="1" min="18" max="18"/>
    <col width="13.5703125" bestFit="1" customWidth="1" min="19" max="20"/>
    <col width="13.5703125" bestFit="1" customWidth="1" style="32" min="21" max="21"/>
    <col width="26.5703125" bestFit="1" customWidth="1" min="22" max="22"/>
    <col width="13.5703125" bestFit="1" customWidth="1" style="15" min="23" max="23"/>
    <col width="13.5703125" bestFit="1" customWidth="1" min="24" max="26"/>
    <col width="13.5703125" bestFit="1" customWidth="1" style="16" min="27" max="27"/>
  </cols>
  <sheetData>
    <row r="1" ht="18.75" customHeight="1"/>
    <row r="2" ht="33" customHeight="1">
      <c r="B2" s="137" t="inlineStr">
        <is>
          <t>Informacion Basica para el Flujograma Vehicular</t>
        </is>
      </c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  <c r="Q2" s="228" t="n"/>
      <c r="R2" s="229" t="n"/>
    </row>
    <row r="3" ht="33" customHeight="1">
      <c r="B3" s="230" t="n"/>
      <c r="C3" s="231" t="n"/>
      <c r="D3" s="231" t="n"/>
      <c r="E3" s="231" t="n"/>
      <c r="F3" s="231" t="n"/>
      <c r="G3" s="231" t="n"/>
      <c r="H3" s="231" t="n"/>
      <c r="I3" s="231" t="n"/>
      <c r="J3" s="231" t="n"/>
      <c r="K3" s="231" t="n"/>
      <c r="L3" s="231" t="n"/>
      <c r="M3" s="231" t="n"/>
      <c r="N3" s="231" t="n"/>
      <c r="O3" s="231" t="n"/>
      <c r="P3" s="231" t="n"/>
      <c r="Q3" s="231" t="n"/>
      <c r="R3" s="232" t="n"/>
      <c r="U3" s="33" t="inlineStr">
        <is>
          <t>N</t>
        </is>
      </c>
      <c r="V3" s="34" t="inlineStr">
        <is>
          <t>Tipo de Vehiculo</t>
        </is>
      </c>
      <c r="W3" s="35" t="inlineStr">
        <is>
          <t>UCP</t>
        </is>
      </c>
      <c r="AA3" s="18" t="n"/>
    </row>
    <row r="4" ht="39.75" customHeight="1">
      <c r="B4" s="46" t="n"/>
      <c r="C4" s="58" t="n"/>
      <c r="D4" s="69" t="inlineStr">
        <is>
          <t>Código</t>
        </is>
      </c>
      <c r="E4" s="62" t="n"/>
      <c r="F4" s="63" t="inlineStr">
        <is>
          <t>:</t>
        </is>
      </c>
      <c r="G4" s="135" t="inlineStr"/>
      <c r="H4" s="228" t="n"/>
      <c r="I4" s="228" t="n"/>
      <c r="J4" s="61" t="inlineStr">
        <is>
          <t>Ubicación</t>
        </is>
      </c>
      <c r="K4" s="147" t="inlineStr">
        <is>
          <t>Link de google maps</t>
        </is>
      </c>
      <c r="L4" s="228" t="n"/>
      <c r="M4" s="228" t="n"/>
      <c r="N4" s="228" t="n"/>
      <c r="O4" s="228" t="n"/>
      <c r="P4" s="62" t="n"/>
      <c r="Q4" s="64" t="n"/>
      <c r="R4" s="48" t="n"/>
      <c r="U4" s="36" t="n">
        <v>1</v>
      </c>
      <c r="V4" s="83" t="inlineStr">
        <is>
          <t>Auto</t>
        </is>
      </c>
      <c r="W4" s="40" t="n">
        <v>1</v>
      </c>
      <c r="AA4" s="19" t="n"/>
    </row>
    <row r="5" ht="39.75" customHeight="1">
      <c r="B5" s="46" t="n"/>
      <c r="C5" s="59" t="n"/>
      <c r="D5" s="70" t="inlineStr">
        <is>
          <t>Intersección</t>
        </is>
      </c>
      <c r="E5" s="65" t="n"/>
      <c r="F5" s="66" t="inlineStr">
        <is>
          <t>:</t>
        </is>
      </c>
      <c r="G5" s="233" t="inlineStr"/>
      <c r="Q5" s="48" t="n"/>
      <c r="R5" s="48" t="n"/>
      <c r="U5" s="37" t="n">
        <v>2</v>
      </c>
      <c r="V5" s="31" t="inlineStr">
        <is>
          <t>Moto</t>
        </is>
      </c>
      <c r="W5" s="41" t="n">
        <v>0.33</v>
      </c>
      <c r="AA5" s="18" t="n"/>
    </row>
    <row r="6" ht="20.25" customHeight="1">
      <c r="B6" s="46" t="n"/>
      <c r="C6" s="59" t="n"/>
      <c r="D6" s="70" t="inlineStr">
        <is>
          <t>Fecha</t>
        </is>
      </c>
      <c r="E6" s="65" t="n"/>
      <c r="F6" s="66" t="inlineStr">
        <is>
          <t>:</t>
        </is>
      </c>
      <c r="G6" s="234" t="n">
        <v>45658</v>
      </c>
      <c r="Q6" s="48" t="n"/>
      <c r="R6" s="48" t="n"/>
      <c r="U6" s="37" t="n">
        <v>3</v>
      </c>
      <c r="V6" s="31" t="inlineStr">
        <is>
          <t>Bus</t>
        </is>
      </c>
      <c r="W6" s="41" t="n">
        <v>3</v>
      </c>
      <c r="AA6" s="18" t="n"/>
    </row>
    <row r="7" ht="20.25" customHeight="1">
      <c r="B7" s="46" t="n"/>
      <c r="C7" s="59" t="n"/>
      <c r="D7" s="70" t="inlineStr">
        <is>
          <t>Mes</t>
        </is>
      </c>
      <c r="E7" s="65" t="n"/>
      <c r="F7" s="66" t="inlineStr">
        <is>
          <t>:</t>
        </is>
      </c>
      <c r="G7" s="235">
        <f>UPPER(TEXT(G6,"mmmm"))</f>
        <v/>
      </c>
      <c r="Q7" s="48" t="n"/>
      <c r="R7" s="48" t="n"/>
      <c r="U7" s="37" t="n">
        <v>4</v>
      </c>
      <c r="V7" s="31" t="inlineStr">
        <is>
          <t>Camion</t>
        </is>
      </c>
      <c r="W7" s="41" t="n">
        <v>2.5</v>
      </c>
      <c r="AA7" s="19" t="n"/>
    </row>
    <row r="8" ht="23.25" customHeight="1">
      <c r="B8" s="46" t="n"/>
      <c r="C8" s="59" t="n"/>
      <c r="D8" s="70" t="inlineStr">
        <is>
          <t>Día</t>
        </is>
      </c>
      <c r="E8" s="65" t="n"/>
      <c r="F8" s="66" t="inlineStr">
        <is>
          <t>:</t>
        </is>
      </c>
      <c r="G8" s="235">
        <f>UPPER(TEXT(G6,"dddd"))</f>
        <v/>
      </c>
      <c r="Q8" s="48" t="n"/>
      <c r="R8" s="48" t="n"/>
      <c r="U8" s="37" t="n">
        <v>5</v>
      </c>
      <c r="V8" s="31" t="inlineStr">
        <is>
          <t>Bicicleta</t>
        </is>
      </c>
      <c r="W8" s="41" t="n">
        <v>0.33</v>
      </c>
      <c r="AA8" s="18" t="n"/>
    </row>
    <row r="9" ht="23.25" customHeight="1">
      <c r="B9" s="46" t="n"/>
      <c r="C9" s="60" t="n"/>
      <c r="D9" s="71" t="inlineStr">
        <is>
          <t>Distrito</t>
        </is>
      </c>
      <c r="E9" s="67" t="n"/>
      <c r="F9" s="68" t="inlineStr">
        <is>
          <t>:</t>
        </is>
      </c>
      <c r="G9" s="236" t="inlineStr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1" t="n"/>
      <c r="R9" s="48" t="n"/>
      <c r="U9" s="37" t="n">
        <v>6</v>
      </c>
      <c r="V9" s="31" t="inlineStr">
        <is>
          <t>Taxi</t>
        </is>
      </c>
      <c r="W9" s="41" t="n">
        <v>1</v>
      </c>
      <c r="AA9" s="19" t="n"/>
    </row>
    <row r="10" ht="39.75" customHeight="1">
      <c r="B10" s="46" t="n"/>
      <c r="C10" s="133" t="inlineStr">
        <is>
          <t>Informaciòn de Los Accesos, Giros y Sentido</t>
        </is>
      </c>
      <c r="Q10" s="237" t="n"/>
      <c r="R10" s="48" t="n"/>
      <c r="U10" s="37" t="n">
        <v>7</v>
      </c>
      <c r="V10" s="31" t="inlineStr">
        <is>
          <t>Van</t>
        </is>
      </c>
      <c r="W10" s="41" t="n">
        <v>2</v>
      </c>
      <c r="AA10" s="19" t="n"/>
    </row>
    <row r="11" ht="45" customHeight="1">
      <c r="B11" s="46" t="n"/>
      <c r="C11" s="134" t="n"/>
      <c r="D11" s="134" t="n"/>
      <c r="E11" s="43" t="inlineStr">
        <is>
          <t>Origen</t>
        </is>
      </c>
      <c r="F11" s="44" t="inlineStr">
        <is>
          <t>Destino</t>
        </is>
      </c>
      <c r="G11" s="34" t="inlineStr">
        <is>
          <t>Giro</t>
        </is>
      </c>
      <c r="H11" s="34" t="inlineStr">
        <is>
          <t>Acceso</t>
        </is>
      </c>
      <c r="I11" s="45" t="inlineStr">
        <is>
          <t>Sentido</t>
        </is>
      </c>
      <c r="J11" s="29" t="n"/>
      <c r="K11" s="43" t="inlineStr">
        <is>
          <t>Origen</t>
        </is>
      </c>
      <c r="L11" s="44" t="inlineStr">
        <is>
          <t>Destino</t>
        </is>
      </c>
      <c r="M11" s="34" t="inlineStr">
        <is>
          <t>Giro</t>
        </is>
      </c>
      <c r="N11" s="34" t="inlineStr">
        <is>
          <t>Acceso</t>
        </is>
      </c>
      <c r="O11" s="45" t="inlineStr">
        <is>
          <t>Sentido</t>
        </is>
      </c>
      <c r="P11" s="46" t="n"/>
      <c r="Q11" s="134" t="n"/>
      <c r="R11" s="48" t="n"/>
      <c r="U11" s="37" t="n">
        <v>8</v>
      </c>
      <c r="V11" s="31" t="inlineStr">
        <is>
          <t>Combi</t>
        </is>
      </c>
      <c r="W11" s="41" t="n">
        <v>2.5</v>
      </c>
      <c r="AA11" s="19" t="n"/>
    </row>
    <row r="12" ht="39.75" customHeight="1">
      <c r="B12" s="46" t="n"/>
      <c r="C12" s="134" t="n"/>
      <c r="D12" s="134" t="n"/>
      <c r="E12" s="72" t="n"/>
      <c r="F12" s="73" t="n"/>
      <c r="G12" s="74" t="n"/>
      <c r="H12" s="75" t="n"/>
      <c r="I12" s="76" t="inlineStr">
        <is>
          <t>Norte</t>
        </is>
      </c>
      <c r="J12" s="30" t="n"/>
      <c r="K12" s="72" t="n"/>
      <c r="L12" s="73" t="n"/>
      <c r="M12" s="74" t="n"/>
      <c r="N12" s="75" t="n"/>
      <c r="O12" s="76" t="inlineStr">
        <is>
          <t>Sur</t>
        </is>
      </c>
      <c r="P12" s="134" t="n"/>
      <c r="Q12" s="134" t="n"/>
      <c r="R12" s="48" t="n"/>
      <c r="U12" s="37" t="n">
        <v>9</v>
      </c>
      <c r="V12" s="31" t="inlineStr">
        <is>
          <t>Microbus</t>
        </is>
      </c>
      <c r="W12" s="41" t="n">
        <v>3</v>
      </c>
      <c r="AA12" s="19" t="n"/>
    </row>
    <row r="13" ht="39.75" customHeight="1">
      <c r="B13" s="46" t="n"/>
      <c r="C13" s="134" t="n"/>
      <c r="D13" s="134" t="n"/>
      <c r="E13" s="72" t="n"/>
      <c r="F13" s="73" t="n"/>
      <c r="G13" s="74" t="n"/>
      <c r="H13" s="75" t="n"/>
      <c r="I13" s="76" t="inlineStr">
        <is>
          <t>Norte</t>
        </is>
      </c>
      <c r="J13" s="30" t="n"/>
      <c r="K13" s="72" t="n"/>
      <c r="L13" s="73" t="n"/>
      <c r="M13" s="74" t="n"/>
      <c r="N13" s="75" t="n"/>
      <c r="O13" s="76" t="inlineStr">
        <is>
          <t>Sur</t>
        </is>
      </c>
      <c r="P13" s="134" t="n"/>
      <c r="Q13" s="134" t="n"/>
      <c r="R13" s="48" t="n"/>
      <c r="U13" s="37" t="n">
        <v>10</v>
      </c>
      <c r="V13" s="31" t="inlineStr">
        <is>
          <t>Mototaxi</t>
        </is>
      </c>
      <c r="W13" s="41" t="n">
        <v>0.5</v>
      </c>
      <c r="AA13" s="19" t="n"/>
    </row>
    <row r="14" ht="39.75" customHeight="1">
      <c r="B14" s="46" t="n"/>
      <c r="C14" s="134" t="n"/>
      <c r="D14" s="134" t="n"/>
      <c r="E14" s="72" t="n"/>
      <c r="F14" s="73" t="n"/>
      <c r="G14" s="74" t="n"/>
      <c r="H14" s="75" t="n"/>
      <c r="I14" s="76" t="inlineStr">
        <is>
          <t>Norte</t>
        </is>
      </c>
      <c r="J14" s="30" t="n"/>
      <c r="K14" s="72" t="n"/>
      <c r="L14" s="73" t="n"/>
      <c r="M14" s="74" t="n"/>
      <c r="N14" s="75" t="n"/>
      <c r="O14" s="76" t="inlineStr">
        <is>
          <t>Sur</t>
        </is>
      </c>
      <c r="P14" s="134" t="n"/>
      <c r="Q14" s="134" t="n"/>
      <c r="R14" s="48" t="n"/>
      <c r="U14" s="37" t="n">
        <v>11</v>
      </c>
      <c r="V14" s="31" t="inlineStr">
        <is>
          <t>Semi-trailer</t>
        </is>
      </c>
      <c r="W14" s="41" t="n">
        <v>4</v>
      </c>
    </row>
    <row r="15" ht="39.75" customHeight="1">
      <c r="B15" s="46" t="n"/>
      <c r="C15" s="134" t="n"/>
      <c r="D15" s="134" t="n"/>
      <c r="E15" s="72" t="n"/>
      <c r="F15" s="73" t="n"/>
      <c r="G15" s="74" t="n"/>
      <c r="H15" s="75" t="n"/>
      <c r="I15" s="76" t="inlineStr">
        <is>
          <t>Norte</t>
        </is>
      </c>
      <c r="J15" s="30" t="n"/>
      <c r="K15" s="72" t="n"/>
      <c r="L15" s="73" t="n"/>
      <c r="M15" s="74" t="n"/>
      <c r="N15" s="75" t="n"/>
      <c r="O15" s="76" t="inlineStr">
        <is>
          <t>Sur</t>
        </is>
      </c>
      <c r="P15" s="134" t="n"/>
      <c r="Q15" s="134" t="n"/>
      <c r="R15" s="48" t="n"/>
      <c r="U15" s="38" t="n">
        <v>12</v>
      </c>
      <c r="V15" s="39" t="inlineStr">
        <is>
          <t>Otros</t>
        </is>
      </c>
      <c r="W15" s="42" t="n">
        <v>1</v>
      </c>
    </row>
    <row r="16" ht="39.75" customHeight="1">
      <c r="B16" s="46" t="n"/>
      <c r="C16" s="134" t="n"/>
      <c r="D16" s="134" t="n"/>
      <c r="E16" s="72" t="n"/>
      <c r="F16" s="73" t="n"/>
      <c r="G16" s="74" t="n"/>
      <c r="H16" s="75" t="n"/>
      <c r="I16" s="76" t="inlineStr">
        <is>
          <t>Norte</t>
        </is>
      </c>
      <c r="J16" s="30" t="n"/>
      <c r="K16" s="72" t="n"/>
      <c r="L16" s="73" t="n"/>
      <c r="M16" s="74" t="n"/>
      <c r="N16" s="75" t="n"/>
      <c r="O16" s="76" t="inlineStr">
        <is>
          <t>Sur</t>
        </is>
      </c>
      <c r="P16" s="134" t="n"/>
      <c r="Q16" s="134" t="n"/>
      <c r="R16" s="48" t="n"/>
    </row>
    <row r="17" ht="39.75" customHeight="1">
      <c r="B17" s="46" t="n"/>
      <c r="C17" s="134" t="n"/>
      <c r="D17" s="134" t="n"/>
      <c r="E17" s="72" t="n"/>
      <c r="F17" s="73" t="n"/>
      <c r="G17" s="74" t="n"/>
      <c r="H17" s="75" t="n"/>
      <c r="I17" s="76" t="inlineStr">
        <is>
          <t>Norte</t>
        </is>
      </c>
      <c r="J17" s="30" t="n"/>
      <c r="K17" s="72" t="n"/>
      <c r="L17" s="73" t="n"/>
      <c r="M17" s="74" t="n"/>
      <c r="N17" s="75" t="n"/>
      <c r="O17" s="76" t="inlineStr">
        <is>
          <t>Sur</t>
        </is>
      </c>
      <c r="P17" s="134" t="n"/>
      <c r="Q17" s="134" t="n"/>
      <c r="R17" s="48" t="n"/>
    </row>
    <row r="18" ht="39.75" customHeight="1">
      <c r="B18" s="46" t="n"/>
      <c r="C18" s="134" t="n"/>
      <c r="D18" s="134" t="n"/>
      <c r="E18" s="72" t="n"/>
      <c r="F18" s="73" t="n"/>
      <c r="G18" s="74" t="n"/>
      <c r="H18" s="75" t="n"/>
      <c r="I18" s="76" t="inlineStr">
        <is>
          <t>Norte</t>
        </is>
      </c>
      <c r="J18" s="30" t="n"/>
      <c r="K18" s="72" t="n"/>
      <c r="L18" s="73" t="n"/>
      <c r="M18" s="74" t="n"/>
      <c r="N18" s="75" t="n"/>
      <c r="O18" s="76" t="inlineStr">
        <is>
          <t>Sur</t>
        </is>
      </c>
      <c r="P18" s="134" t="n"/>
      <c r="Q18" s="134" t="n"/>
      <c r="R18" s="48" t="n"/>
    </row>
    <row r="19" ht="39.75" customHeight="1">
      <c r="B19" s="46" t="n"/>
      <c r="C19" s="134" t="n"/>
      <c r="D19" s="134" t="n"/>
      <c r="E19" s="72" t="n"/>
      <c r="F19" s="73" t="n"/>
      <c r="G19" s="74" t="n"/>
      <c r="H19" s="75" t="n"/>
      <c r="I19" s="76" t="inlineStr">
        <is>
          <t>Norte</t>
        </is>
      </c>
      <c r="J19" s="30" t="n"/>
      <c r="K19" s="72" t="n"/>
      <c r="L19" s="73" t="n"/>
      <c r="M19" s="74" t="n"/>
      <c r="N19" s="75" t="n"/>
      <c r="O19" s="76" t="inlineStr">
        <is>
          <t>Sur</t>
        </is>
      </c>
      <c r="P19" s="134" t="n"/>
      <c r="Q19" s="134" t="n"/>
      <c r="R19" s="48" t="n"/>
    </row>
    <row r="20" ht="39.75" customHeight="1">
      <c r="B20" s="46" t="n"/>
      <c r="C20" s="134" t="n"/>
      <c r="D20" s="134" t="n"/>
      <c r="E20" s="72" t="n"/>
      <c r="F20" s="73" t="n"/>
      <c r="G20" s="74" t="n"/>
      <c r="H20" s="75" t="n"/>
      <c r="I20" s="76" t="inlineStr">
        <is>
          <t>Norte</t>
        </is>
      </c>
      <c r="J20" s="30" t="n"/>
      <c r="K20" s="72" t="n"/>
      <c r="L20" s="73" t="n"/>
      <c r="M20" s="74" t="n"/>
      <c r="N20" s="75" t="n"/>
      <c r="O20" s="76" t="inlineStr">
        <is>
          <t>Sur</t>
        </is>
      </c>
      <c r="P20" s="134" t="n"/>
      <c r="Q20" s="134" t="n"/>
      <c r="R20" s="48" t="n"/>
    </row>
    <row r="21" ht="39.75" customHeight="1">
      <c r="B21" s="46" t="n"/>
      <c r="C21" s="134" t="n"/>
      <c r="D21" s="134" t="n"/>
      <c r="E21" s="77" t="n"/>
      <c r="F21" s="78" t="n"/>
      <c r="G21" s="79" t="n"/>
      <c r="H21" s="80" t="n"/>
      <c r="I21" s="81" t="inlineStr">
        <is>
          <t>Norte</t>
        </is>
      </c>
      <c r="J21" s="30" t="n"/>
      <c r="K21" s="77" t="n"/>
      <c r="L21" s="78" t="n"/>
      <c r="M21" s="79" t="n"/>
      <c r="N21" s="80" t="n"/>
      <c r="O21" s="81" t="inlineStr">
        <is>
          <t>Sur</t>
        </is>
      </c>
      <c r="P21" s="134" t="n"/>
      <c r="Q21" s="134" t="n"/>
      <c r="R21" s="48" t="n"/>
    </row>
    <row r="22" ht="39.75" customHeight="1">
      <c r="B22" s="46" t="n"/>
      <c r="C22" s="134" t="n"/>
      <c r="D22" s="134" t="n"/>
      <c r="E22" s="134" t="n"/>
      <c r="F22" s="134" t="n"/>
      <c r="G22" s="134" t="n"/>
      <c r="H22" s="134" t="n"/>
      <c r="I22" s="134" t="n"/>
      <c r="J22" s="134" t="n"/>
      <c r="K22" s="134" t="n"/>
      <c r="L22" s="134" t="n"/>
      <c r="M22" s="134" t="n"/>
      <c r="N22" s="134" t="n"/>
      <c r="O22" s="134" t="n"/>
      <c r="P22" s="134" t="n"/>
      <c r="Q22" s="134" t="n"/>
      <c r="R22" s="48" t="n"/>
    </row>
    <row r="23" ht="45" customHeight="1">
      <c r="B23" s="46" t="n"/>
      <c r="C23" s="134" t="n"/>
      <c r="D23" s="134" t="n"/>
      <c r="E23" s="43" t="inlineStr">
        <is>
          <t>Origen</t>
        </is>
      </c>
      <c r="F23" s="44" t="inlineStr">
        <is>
          <t>Destino</t>
        </is>
      </c>
      <c r="G23" s="34" t="inlineStr">
        <is>
          <t>Giro</t>
        </is>
      </c>
      <c r="H23" s="34" t="inlineStr">
        <is>
          <t>Acceso</t>
        </is>
      </c>
      <c r="I23" s="45" t="inlineStr">
        <is>
          <t>Sentido</t>
        </is>
      </c>
      <c r="J23" s="29" t="n"/>
      <c r="K23" s="43" t="inlineStr">
        <is>
          <t>Origen</t>
        </is>
      </c>
      <c r="L23" s="44" t="inlineStr">
        <is>
          <t>Destino</t>
        </is>
      </c>
      <c r="M23" s="34" t="inlineStr">
        <is>
          <t>Giro</t>
        </is>
      </c>
      <c r="N23" s="34" t="inlineStr">
        <is>
          <t>Acceso</t>
        </is>
      </c>
      <c r="O23" s="45" t="inlineStr">
        <is>
          <t>Sentido</t>
        </is>
      </c>
      <c r="P23" s="134" t="n"/>
      <c r="Q23" s="134" t="n"/>
      <c r="R23" s="48" t="n"/>
    </row>
    <row r="24" ht="39.75" customHeight="1">
      <c r="B24" s="46" t="n"/>
      <c r="C24" s="134" t="n"/>
      <c r="D24" s="134" t="n"/>
      <c r="E24" s="72" t="inlineStr">
        <is>
          <t>L1</t>
        </is>
      </c>
      <c r="F24" s="73" t="inlineStr">
        <is>
          <t>L2</t>
        </is>
      </c>
      <c r="G24" s="74" t="inlineStr">
        <is>
          <t>M1</t>
        </is>
      </c>
      <c r="H24" s="75" t="inlineStr">
        <is>
          <t>Línea de conteo 1</t>
        </is>
      </c>
      <c r="I24" s="76" t="inlineStr">
        <is>
          <t>Este</t>
        </is>
      </c>
      <c r="J24" s="30" t="n"/>
      <c r="K24" s="72" t="inlineStr">
        <is>
          <t>L3</t>
        </is>
      </c>
      <c r="L24" s="73" t="inlineStr">
        <is>
          <t>L4</t>
        </is>
      </c>
      <c r="M24" s="74" t="inlineStr">
        <is>
          <t>M2</t>
        </is>
      </c>
      <c r="N24" s="75" t="inlineStr">
        <is>
          <t>Línea de conteo 3</t>
        </is>
      </c>
      <c r="O24" s="76" t="inlineStr">
        <is>
          <t>Oeste</t>
        </is>
      </c>
      <c r="P24" s="134" t="n"/>
      <c r="Q24" s="134" t="n"/>
      <c r="R24" s="48" t="n"/>
    </row>
    <row r="25" ht="39.75" customHeight="1">
      <c r="B25" s="46" t="n"/>
      <c r="C25" s="134" t="n"/>
      <c r="D25" s="134" t="n"/>
      <c r="E25" s="72" t="n"/>
      <c r="F25" s="73" t="n"/>
      <c r="G25" s="74" t="n"/>
      <c r="H25" s="75" t="n"/>
      <c r="I25" s="76" t="inlineStr">
        <is>
          <t>Este</t>
        </is>
      </c>
      <c r="J25" s="30" t="n"/>
      <c r="K25" s="72" t="n"/>
      <c r="L25" s="73" t="n"/>
      <c r="M25" s="74" t="n"/>
      <c r="N25" s="75" t="n"/>
      <c r="O25" s="76" t="inlineStr">
        <is>
          <t>Oeste</t>
        </is>
      </c>
      <c r="P25" s="134" t="n"/>
      <c r="Q25" s="134" t="n"/>
      <c r="R25" s="48" t="n"/>
    </row>
    <row r="26" ht="39.75" customHeight="1">
      <c r="B26" s="46" t="n"/>
      <c r="C26" s="134" t="n"/>
      <c r="D26" s="134" t="n"/>
      <c r="E26" s="72" t="n"/>
      <c r="F26" s="73" t="n"/>
      <c r="G26" s="74" t="n"/>
      <c r="H26" s="75" t="n"/>
      <c r="I26" s="76" t="inlineStr">
        <is>
          <t>Este</t>
        </is>
      </c>
      <c r="J26" s="30" t="n"/>
      <c r="K26" s="72" t="n"/>
      <c r="L26" s="73" t="n"/>
      <c r="M26" s="74" t="n"/>
      <c r="N26" s="75" t="n"/>
      <c r="O26" s="76" t="inlineStr">
        <is>
          <t>Oeste</t>
        </is>
      </c>
      <c r="P26" s="134" t="n"/>
      <c r="Q26" s="134" t="n"/>
      <c r="R26" s="48" t="n"/>
    </row>
    <row r="27" ht="39.75" customHeight="1">
      <c r="B27" s="46" t="n"/>
      <c r="C27" s="134" t="n"/>
      <c r="D27" s="134" t="n"/>
      <c r="E27" s="72" t="n"/>
      <c r="F27" s="73" t="n"/>
      <c r="G27" s="74" t="n"/>
      <c r="H27" s="75" t="n"/>
      <c r="I27" s="76" t="inlineStr">
        <is>
          <t>Este</t>
        </is>
      </c>
      <c r="J27" s="30" t="n"/>
      <c r="K27" s="72" t="n"/>
      <c r="L27" s="73" t="n"/>
      <c r="M27" s="74" t="n"/>
      <c r="N27" s="75" t="n"/>
      <c r="O27" s="76" t="inlineStr">
        <is>
          <t>Oeste</t>
        </is>
      </c>
      <c r="P27" s="134" t="n"/>
      <c r="Q27" s="134" t="n"/>
      <c r="R27" s="48" t="n"/>
    </row>
    <row r="28" ht="39.75" customHeight="1">
      <c r="B28" s="46" t="n"/>
      <c r="C28" s="134" t="n"/>
      <c r="D28" s="134" t="n"/>
      <c r="E28" s="72" t="n"/>
      <c r="F28" s="73" t="n"/>
      <c r="G28" s="74" t="n"/>
      <c r="H28" s="75" t="n"/>
      <c r="I28" s="76" t="inlineStr">
        <is>
          <t>Este</t>
        </is>
      </c>
      <c r="J28" s="30" t="n"/>
      <c r="K28" s="72" t="n"/>
      <c r="L28" s="73" t="n"/>
      <c r="M28" s="74" t="n"/>
      <c r="N28" s="75" t="n"/>
      <c r="O28" s="76" t="inlineStr">
        <is>
          <t>Oeste</t>
        </is>
      </c>
      <c r="P28" s="134" t="n"/>
      <c r="Q28" s="134" t="n"/>
      <c r="R28" s="48" t="n"/>
    </row>
    <row r="29" ht="39.75" customHeight="1">
      <c r="B29" s="46" t="n"/>
      <c r="C29" s="134" t="n"/>
      <c r="D29" s="134" t="n"/>
      <c r="E29" s="72" t="n"/>
      <c r="F29" s="73" t="n"/>
      <c r="G29" s="74" t="n"/>
      <c r="H29" s="75" t="n"/>
      <c r="I29" s="76" t="inlineStr">
        <is>
          <t>Este</t>
        </is>
      </c>
      <c r="J29" s="30" t="n"/>
      <c r="K29" s="72" t="n"/>
      <c r="L29" s="73" t="n"/>
      <c r="M29" s="74" t="n"/>
      <c r="N29" s="75" t="n"/>
      <c r="O29" s="76" t="inlineStr">
        <is>
          <t>Oeste</t>
        </is>
      </c>
      <c r="P29" s="134" t="n"/>
      <c r="Q29" s="134" t="n"/>
      <c r="R29" s="48" t="n"/>
    </row>
    <row r="30" ht="39.75" customHeight="1">
      <c r="B30" s="46" t="n"/>
      <c r="C30" s="134" t="n"/>
      <c r="D30" s="134" t="n"/>
      <c r="E30" s="72" t="n"/>
      <c r="F30" s="73" t="n"/>
      <c r="G30" s="74" t="n"/>
      <c r="H30" s="75" t="n"/>
      <c r="I30" s="76" t="inlineStr">
        <is>
          <t>Este</t>
        </is>
      </c>
      <c r="J30" s="30" t="n"/>
      <c r="K30" s="72" t="n"/>
      <c r="L30" s="73" t="n"/>
      <c r="M30" s="74" t="n"/>
      <c r="N30" s="75" t="n"/>
      <c r="O30" s="76" t="inlineStr">
        <is>
          <t>Oeste</t>
        </is>
      </c>
      <c r="P30" s="134" t="n"/>
      <c r="Q30" s="134" t="n"/>
      <c r="R30" s="48" t="n"/>
    </row>
    <row r="31" ht="39.75" customHeight="1">
      <c r="B31" s="46" t="n"/>
      <c r="C31" s="134" t="n"/>
      <c r="D31" s="134" t="n"/>
      <c r="E31" s="72" t="n"/>
      <c r="F31" s="73" t="n"/>
      <c r="G31" s="74" t="n"/>
      <c r="H31" s="75" t="n"/>
      <c r="I31" s="76" t="inlineStr">
        <is>
          <t>Este</t>
        </is>
      </c>
      <c r="J31" s="30" t="n"/>
      <c r="K31" s="72" t="n"/>
      <c r="L31" s="73" t="n"/>
      <c r="M31" s="74" t="n"/>
      <c r="N31" s="75" t="n"/>
      <c r="O31" s="76" t="inlineStr">
        <is>
          <t>Oeste</t>
        </is>
      </c>
      <c r="P31" s="134" t="n"/>
      <c r="Q31" s="134" t="n"/>
      <c r="R31" s="48" t="n"/>
    </row>
    <row r="32" ht="39.75" customHeight="1">
      <c r="B32" s="46" t="n"/>
      <c r="C32" s="134" t="n"/>
      <c r="D32" s="134" t="n"/>
      <c r="E32" s="72" t="n"/>
      <c r="F32" s="73" t="n"/>
      <c r="G32" s="74" t="n"/>
      <c r="H32" s="75" t="n"/>
      <c r="I32" s="76" t="inlineStr">
        <is>
          <t>Este</t>
        </is>
      </c>
      <c r="J32" s="30" t="n"/>
      <c r="K32" s="72" t="n"/>
      <c r="L32" s="73" t="n"/>
      <c r="M32" s="74" t="n"/>
      <c r="N32" s="75" t="n"/>
      <c r="O32" s="76" t="inlineStr">
        <is>
          <t>Oeste</t>
        </is>
      </c>
      <c r="P32" s="134" t="n"/>
      <c r="Q32" s="134" t="n"/>
      <c r="R32" s="48" t="n"/>
    </row>
    <row r="33" ht="39.75" customHeight="1">
      <c r="B33" s="46" t="n"/>
      <c r="C33" s="134" t="n"/>
      <c r="D33" s="134" t="n"/>
      <c r="E33" s="77" t="n"/>
      <c r="F33" s="78" t="n"/>
      <c r="G33" s="79" t="n"/>
      <c r="H33" s="80" t="n"/>
      <c r="I33" s="81" t="inlineStr">
        <is>
          <t>Este</t>
        </is>
      </c>
      <c r="J33" s="30" t="n"/>
      <c r="K33" s="77" t="n"/>
      <c r="L33" s="78" t="n"/>
      <c r="M33" s="79" t="n"/>
      <c r="N33" s="80" t="n"/>
      <c r="O33" s="81" t="inlineStr">
        <is>
          <t>Oeste</t>
        </is>
      </c>
      <c r="P33" s="134" t="n"/>
      <c r="Q33" s="134" t="n"/>
      <c r="R33" s="48" t="n"/>
    </row>
    <row r="34" ht="39.75" customHeight="1">
      <c r="B34" s="49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1" t="n"/>
    </row>
  </sheetData>
  <mergeCells count="9">
    <mergeCell ref="G8:Q8"/>
    <mergeCell ref="C10:Q10"/>
    <mergeCell ref="G7:Q7"/>
    <mergeCell ref="G4:I4"/>
    <mergeCell ref="B2:R3"/>
    <mergeCell ref="G5:Q5"/>
    <mergeCell ref="G6:Q6"/>
    <mergeCell ref="K4:O4"/>
    <mergeCell ref="G9:Q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BA89"/>
  <sheetViews>
    <sheetView topLeftCell="A44" zoomScale="70" zoomScaleNormal="70" workbookViewId="0">
      <selection activeCell="A1" sqref="A1"/>
    </sheetView>
  </sheetViews>
  <sheetFormatPr baseColWidth="10" defaultRowHeight="15" outlineLevelCol="0"/>
  <cols>
    <col width="11.42578125" customWidth="1" style="134" min="1" max="1"/>
    <col width="11.42578125" customWidth="1" style="134" min="2" max="3"/>
    <col hidden="1" width="4.140625" customWidth="1" min="4" max="4"/>
    <col width="14.85546875" customWidth="1" min="5" max="5"/>
    <col width="6.7109375" customWidth="1" min="6" max="45"/>
    <col width="7.28515625" customWidth="1" style="134" min="46" max="47"/>
    <col width="14.85546875" customWidth="1" min="48" max="49"/>
    <col width="14.42578125" bestFit="1" customWidth="1" min="53" max="53"/>
  </cols>
  <sheetData>
    <row r="1" ht="15.75" customFormat="1" customHeight="1" s="134" thickBot="1"/>
    <row r="2" ht="36.75" customFormat="1" customHeight="1" s="134" thickBot="1">
      <c r="E2" s="238" t="inlineStr">
        <is>
          <t>FLUJOGRAMA VEHICULAR DIRECCIONAL</t>
        </is>
      </c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39" t="n"/>
      <c r="AJ2" s="239" t="n"/>
      <c r="AK2" s="239" t="n"/>
      <c r="AL2" s="239" t="n"/>
      <c r="AM2" s="239" t="n"/>
      <c r="AN2" s="239" t="n"/>
      <c r="AO2" s="239" t="n"/>
      <c r="AP2" s="239" t="n"/>
      <c r="AQ2" s="239" t="n"/>
      <c r="AR2" s="239" t="n"/>
      <c r="AS2" s="239" t="n"/>
      <c r="AT2" s="239" t="n"/>
      <c r="AU2" s="240" t="n"/>
    </row>
    <row r="3" ht="15.75" customFormat="1" customHeight="1" s="134" thickBot="1">
      <c r="AZ3" s="126" t="inlineStr">
        <is>
          <t>Metadatos</t>
        </is>
      </c>
    </row>
    <row r="4" customFormat="1" s="134">
      <c r="E4" s="104" t="inlineStr">
        <is>
          <t>Intersección:</t>
        </is>
      </c>
      <c r="F4" s="186">
        <f>Inicio!G5</f>
        <v/>
      </c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105" t="n"/>
      <c r="AJ4" s="105" t="n"/>
      <c r="AK4" s="105" t="n"/>
      <c r="AL4" s="105" t="n"/>
      <c r="AM4" s="105" t="n"/>
      <c r="AN4" s="105" t="n"/>
      <c r="AO4" s="105" t="n"/>
      <c r="AP4" s="105" t="n"/>
      <c r="AQ4" s="187" t="inlineStr">
        <is>
          <t>Distrito:</t>
        </is>
      </c>
      <c r="AR4" s="105" t="n"/>
      <c r="AS4" s="188">
        <f>Inicio!G9</f>
        <v/>
      </c>
      <c r="AT4" s="105" t="n"/>
      <c r="AU4" s="241" t="n"/>
      <c r="AZ4" s="134" t="inlineStr">
        <is>
          <t>Fila HP:</t>
        </is>
      </c>
      <c r="BA4" s="134">
        <f>_xlfn.LET(
_xlpm.rango, INDIRECT("N!EJ" &amp; $BA$8 &amp; ":EJ" &amp; BA9),
MATCH(MAX(_xlpm.rango),_xlpm.rango,0)
)</f>
        <v/>
      </c>
    </row>
    <row r="5" customFormat="1" s="134">
      <c r="E5" s="106" t="inlineStr">
        <is>
          <t>Fecha:</t>
        </is>
      </c>
      <c r="F5" s="189">
        <f>Inicio!G6</f>
        <v/>
      </c>
      <c r="AQ5" s="178" t="inlineStr">
        <is>
          <t>Turno:</t>
        </is>
      </c>
      <c r="AS5" s="179" t="inlineStr">
        <is>
          <t>Madrugada</t>
        </is>
      </c>
      <c r="AU5" s="242" t="n"/>
      <c r="AZ5" s="134" t="inlineStr">
        <is>
          <t>Fin:</t>
        </is>
      </c>
      <c r="BA5" s="90">
        <f>TIME(0,15,0)*BA4+TIME((BA8-9)/4,0,0)</f>
        <v/>
      </c>
    </row>
    <row r="6" customFormat="1" s="134">
      <c r="E6" s="106" t="inlineStr">
        <is>
          <t>Día:</t>
        </is>
      </c>
      <c r="F6" s="177">
        <f>Inicio!G8</f>
        <v/>
      </c>
      <c r="AQ6" s="178" t="inlineStr">
        <is>
          <t>Hora Punta:</t>
        </is>
      </c>
      <c r="AS6" s="179">
        <f>BA7</f>
        <v/>
      </c>
      <c r="AU6" s="242" t="n"/>
      <c r="AZ6" s="134" t="inlineStr">
        <is>
          <t>Inicio:</t>
        </is>
      </c>
      <c r="BA6" s="125">
        <f>TIME(0,15,0)*(BA4-4)+TIME((BA8-9)/4,0,0)</f>
        <v/>
      </c>
    </row>
    <row r="7" ht="15.75" customFormat="1" customHeight="1" s="134" thickBot="1">
      <c r="E7" s="107" t="inlineStr">
        <is>
          <t>Volumen:</t>
        </is>
      </c>
      <c r="F7" s="180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81" t="inlineStr">
        <is>
          <t>Volumen UCP:</t>
        </is>
      </c>
      <c r="AR7" s="108" t="n"/>
      <c r="AS7" s="182" t="n"/>
      <c r="AT7" s="108" t="n"/>
      <c r="AU7" s="243" t="n"/>
      <c r="AZ7" s="134" t="inlineStr">
        <is>
          <t>HP:</t>
        </is>
      </c>
      <c r="BA7" s="177">
        <f>TEXT(BA6, "[hh]:mm") &amp; " - " &amp; TEXT(BA5, "[hh]:mm")</f>
        <v/>
      </c>
    </row>
    <row r="8" ht="15.75" customFormat="1" customHeight="1" s="134" thickBot="1">
      <c r="AV8" s="178" t="n"/>
      <c r="AZ8" s="134" t="inlineStr">
        <is>
          <t>Fila Inicio</t>
        </is>
      </c>
      <c r="BA8" s="134" t="n">
        <v>9</v>
      </c>
    </row>
    <row r="9" customFormat="1" s="134">
      <c r="E9" s="244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5" t="n"/>
      <c r="W9" s="105" t="n"/>
      <c r="X9" s="105" t="n"/>
      <c r="Y9" s="105" t="n"/>
      <c r="Z9" s="105" t="n"/>
      <c r="AA9" s="105" t="n"/>
      <c r="AB9" s="105" t="n"/>
      <c r="AC9" s="105" t="n"/>
      <c r="AD9" s="105" t="n"/>
      <c r="AE9" s="105" t="n"/>
      <c r="AF9" s="105" t="n"/>
      <c r="AG9" s="105" t="n"/>
      <c r="AH9" s="105" t="n"/>
      <c r="AI9" s="105" t="n"/>
      <c r="AJ9" s="105" t="n"/>
      <c r="AK9" s="105" t="n"/>
      <c r="AL9" s="105" t="n"/>
      <c r="AM9" s="105" t="n"/>
      <c r="AN9" s="105" t="n"/>
      <c r="AO9" s="105" t="n"/>
      <c r="AP9" s="105" t="n"/>
      <c r="AQ9" s="105" t="n"/>
      <c r="AR9" s="105" t="n"/>
      <c r="AS9" s="105" t="n"/>
      <c r="AT9" s="105" t="n"/>
      <c r="AU9" s="241" t="n"/>
      <c r="AV9" s="178" t="n"/>
      <c r="AZ9" s="134" t="inlineStr">
        <is>
          <t>Fila Fin</t>
        </is>
      </c>
      <c r="BA9" s="134" t="n">
        <v>32</v>
      </c>
    </row>
    <row r="10" customFormat="1" s="134">
      <c r="E10" s="106" t="n"/>
      <c r="AU10" s="242" t="n"/>
      <c r="AV10" s="178" t="n"/>
    </row>
    <row r="11" customFormat="1" s="134">
      <c r="E11" s="106" t="n"/>
      <c r="AU11" s="242" t="n"/>
      <c r="AV11" s="178" t="n"/>
    </row>
    <row r="12" customFormat="1" s="134">
      <c r="E12" s="106" t="n"/>
      <c r="AU12" s="242" t="n"/>
      <c r="AV12" s="178" t="n"/>
    </row>
    <row r="13" customFormat="1" s="134">
      <c r="E13" s="106" t="n"/>
      <c r="AU13" s="242" t="n"/>
      <c r="AV13" s="178" t="n"/>
    </row>
    <row r="14" customFormat="1" s="134">
      <c r="E14" s="106" t="n"/>
      <c r="AU14" s="242" t="n"/>
      <c r="AV14" s="178" t="n"/>
      <c r="AX14" s="129" t="n"/>
    </row>
    <row r="15" customFormat="1" s="134">
      <c r="E15" s="106" t="n"/>
      <c r="AU15" s="242" t="n"/>
      <c r="AV15" s="178" t="n"/>
    </row>
    <row r="16" customFormat="1" s="134">
      <c r="E16" s="106" t="n"/>
      <c r="AU16" s="242" t="n"/>
      <c r="AV16" s="178" t="n"/>
    </row>
    <row r="17" customFormat="1" s="134">
      <c r="E17" s="106" t="n"/>
      <c r="AU17" s="242" t="n"/>
      <c r="AV17" s="178" t="n"/>
    </row>
    <row r="18" customFormat="1" s="134">
      <c r="E18" s="106" t="n"/>
      <c r="AU18" s="242" t="n"/>
      <c r="AV18" s="178" t="n"/>
    </row>
    <row r="19" customFormat="1" s="134">
      <c r="E19" s="106" t="n"/>
      <c r="AU19" s="242" t="n"/>
      <c r="AV19" s="178" t="n"/>
    </row>
    <row r="20" customFormat="1" s="134">
      <c r="E20" s="106" t="n"/>
      <c r="AU20" s="242" t="n"/>
      <c r="AV20" s="178" t="n"/>
    </row>
    <row r="21" customFormat="1" s="134">
      <c r="E21" s="106" t="n"/>
      <c r="AU21" s="242" t="n"/>
      <c r="AV21" s="178" t="n"/>
    </row>
    <row r="22" customFormat="1" s="134">
      <c r="E22" s="106" t="n"/>
      <c r="AU22" s="242" t="n"/>
      <c r="AV22" s="178" t="n"/>
    </row>
    <row r="23" customFormat="1" s="134">
      <c r="E23" s="106" t="n"/>
      <c r="AU23" s="242" t="n"/>
      <c r="AV23" s="178" t="n"/>
    </row>
    <row r="24" customFormat="1" s="134">
      <c r="E24" s="106" t="n"/>
      <c r="AU24" s="242" t="n"/>
      <c r="AV24" s="178" t="n"/>
    </row>
    <row r="25" customFormat="1" s="134">
      <c r="E25" s="106" t="n"/>
      <c r="AU25" s="242" t="n"/>
      <c r="AV25" s="178" t="n"/>
    </row>
    <row r="26" customFormat="1" s="134">
      <c r="E26" s="106" t="n"/>
      <c r="AU26" s="242" t="n"/>
      <c r="AV26" s="178" t="n"/>
    </row>
    <row r="27" customFormat="1" s="134">
      <c r="E27" s="106" t="n"/>
      <c r="AU27" s="242" t="n"/>
      <c r="AV27" s="178" t="n"/>
    </row>
    <row r="28" customFormat="1" s="134">
      <c r="E28" s="106" t="n"/>
      <c r="AU28" s="242" t="n"/>
      <c r="AV28" s="178" t="n"/>
    </row>
    <row r="29" customFormat="1" s="134">
      <c r="E29" s="106" t="n"/>
      <c r="AU29" s="242" t="n"/>
      <c r="AV29" s="178" t="n"/>
    </row>
    <row r="30" customFormat="1" s="134">
      <c r="E30" s="106" t="n"/>
      <c r="AU30" s="242" t="n"/>
      <c r="AV30" s="178" t="n"/>
    </row>
    <row r="31" customFormat="1" s="134">
      <c r="E31" s="106" t="n"/>
      <c r="AU31" s="242" t="n"/>
      <c r="AV31" s="178" t="n"/>
    </row>
    <row r="32" customFormat="1" s="134">
      <c r="E32" s="106" t="n"/>
      <c r="AU32" s="242" t="n"/>
      <c r="AV32" s="178" t="n"/>
    </row>
    <row r="33" customFormat="1" s="134">
      <c r="E33" s="106" t="n"/>
      <c r="AU33" s="242" t="n"/>
      <c r="AV33" s="178" t="n"/>
    </row>
    <row r="34" customFormat="1" s="134">
      <c r="E34" s="106" t="n"/>
      <c r="AU34" s="242" t="n"/>
      <c r="AV34" s="178" t="n"/>
    </row>
    <row r="35" customFormat="1" s="134">
      <c r="E35" s="106" t="n"/>
      <c r="AU35" s="242" t="n"/>
      <c r="AV35" s="178" t="n"/>
    </row>
    <row r="36" customFormat="1" s="134">
      <c r="E36" s="106" t="n"/>
      <c r="AU36" s="242" t="n"/>
      <c r="AV36" s="178" t="n"/>
    </row>
    <row r="37" customFormat="1" s="134">
      <c r="E37" s="106" t="n"/>
      <c r="AU37" s="242" t="n"/>
      <c r="AV37" s="178" t="n"/>
    </row>
    <row r="38" customFormat="1" s="134">
      <c r="E38" s="106" t="n"/>
      <c r="AU38" s="242" t="n"/>
      <c r="AV38" s="178" t="n"/>
    </row>
    <row r="39" customFormat="1" s="134">
      <c r="E39" s="106" t="n"/>
      <c r="AU39" s="242" t="n"/>
      <c r="AV39" s="178" t="n"/>
    </row>
    <row r="40" customFormat="1" s="134">
      <c r="E40" s="106" t="n"/>
      <c r="AU40" s="242" t="n"/>
      <c r="AV40" s="178" t="n"/>
    </row>
    <row r="41" customFormat="1" s="134">
      <c r="E41" s="106" t="n"/>
      <c r="AU41" s="242" t="n"/>
      <c r="AV41" s="178" t="n"/>
    </row>
    <row r="42" customFormat="1" s="134">
      <c r="E42" s="106" t="n"/>
      <c r="AU42" s="242" t="n"/>
      <c r="AV42" s="178" t="n"/>
    </row>
    <row r="43" customFormat="1" s="134">
      <c r="E43" s="106" t="n"/>
      <c r="AU43" s="242" t="n"/>
      <c r="AV43" s="178" t="n"/>
    </row>
    <row r="44" customFormat="1" s="134">
      <c r="E44" s="106" t="n"/>
      <c r="AU44" s="242" t="n"/>
      <c r="AV44" s="178" t="n"/>
    </row>
    <row r="45" customFormat="1" s="134">
      <c r="E45" s="106" t="n"/>
      <c r="AU45" s="242" t="n"/>
      <c r="AV45" s="178" t="n"/>
    </row>
    <row r="46" customFormat="1" s="134">
      <c r="E46" s="106" t="n"/>
      <c r="AU46" s="242" t="n"/>
      <c r="AV46" s="178" t="n"/>
    </row>
    <row r="47" customFormat="1" s="134">
      <c r="E47" s="106" t="n"/>
      <c r="AU47" s="242" t="n"/>
      <c r="AV47" s="178" t="n"/>
    </row>
    <row r="48" customFormat="1" s="134">
      <c r="E48" s="106" t="n"/>
      <c r="AU48" s="242" t="n"/>
      <c r="AV48" s="178" t="n"/>
    </row>
    <row r="49" customFormat="1" s="134">
      <c r="E49" s="106" t="n"/>
      <c r="AU49" s="242" t="n"/>
      <c r="AV49" s="178" t="n"/>
    </row>
    <row r="50" customFormat="1" s="134">
      <c r="E50" s="106" t="n"/>
      <c r="AU50" s="242" t="n"/>
      <c r="AV50" s="178" t="n"/>
    </row>
    <row r="51" customFormat="1" s="134">
      <c r="E51" s="106" t="n"/>
      <c r="AU51" s="242" t="n"/>
      <c r="AV51" s="178" t="n"/>
    </row>
    <row r="52" customFormat="1" s="134">
      <c r="E52" s="106" t="n"/>
      <c r="AU52" s="242" t="n"/>
      <c r="AV52" s="178" t="n"/>
    </row>
    <row r="53" customFormat="1" s="134">
      <c r="E53" s="106" t="n"/>
      <c r="AU53" s="242" t="n"/>
      <c r="AV53" s="178" t="n"/>
    </row>
    <row r="54" customFormat="1" s="134">
      <c r="E54" s="106" t="n"/>
      <c r="AU54" s="242" t="n"/>
      <c r="AV54" s="178" t="n"/>
    </row>
    <row r="55" customFormat="1" s="134">
      <c r="E55" s="106" t="n"/>
      <c r="AU55" s="242" t="n"/>
      <c r="AV55" s="178" t="n"/>
    </row>
    <row r="56" customFormat="1" s="134">
      <c r="E56" s="106" t="n"/>
      <c r="AU56" s="242" t="n"/>
      <c r="AV56" s="178" t="n"/>
    </row>
    <row r="57" customFormat="1" s="134">
      <c r="E57" s="106" t="n"/>
      <c r="AU57" s="242" t="n"/>
      <c r="AV57" s="178" t="n"/>
    </row>
    <row r="58" customFormat="1" s="134">
      <c r="E58" s="106" t="n"/>
      <c r="AU58" s="242" t="n"/>
    </row>
    <row r="59" customFormat="1" s="134">
      <c r="E59" s="106" t="n"/>
      <c r="AU59" s="242" t="n"/>
    </row>
    <row r="60" customFormat="1" s="134">
      <c r="E60" s="106" t="n"/>
      <c r="AU60" s="242" t="n"/>
    </row>
    <row r="61" customFormat="1" s="134">
      <c r="E61" s="106" t="n"/>
      <c r="AU61" s="242" t="n"/>
    </row>
    <row r="62" customFormat="1" s="134">
      <c r="E62" s="106" t="n"/>
      <c r="AU62" s="242" t="n"/>
    </row>
    <row r="63" customFormat="1" s="134">
      <c r="E63" s="106" t="n"/>
      <c r="AU63" s="242" t="n"/>
    </row>
    <row r="64" customFormat="1" s="134">
      <c r="E64" s="106" t="n"/>
      <c r="AU64" s="242" t="n"/>
    </row>
    <row r="65" customFormat="1" s="134">
      <c r="E65" s="106" t="n"/>
      <c r="AU65" s="242" t="n"/>
    </row>
    <row r="66">
      <c r="E66" s="106" t="n"/>
      <c r="AU66" s="242" t="n"/>
    </row>
    <row r="67">
      <c r="E67" s="106" t="n"/>
      <c r="AU67" s="242" t="n"/>
    </row>
    <row r="68" ht="15.75" customHeight="1" thickBot="1">
      <c r="E68" s="107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243" t="n"/>
    </row>
    <row r="69" ht="15.75" customFormat="1" customHeight="1" s="134" thickBot="1"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  <c r="AG69" s="159" t="n"/>
      <c r="AH69" s="159" t="n"/>
      <c r="AI69" s="159" t="n"/>
      <c r="AJ69" s="159" t="n"/>
      <c r="AK69" s="159" t="n"/>
      <c r="AL69" s="159" t="n"/>
      <c r="AM69" s="159" t="n"/>
      <c r="AN69" s="159" t="n"/>
      <c r="AO69" s="159" t="n"/>
      <c r="AP69" s="159" t="n"/>
      <c r="AQ69" s="159" t="n"/>
      <c r="AR69" s="159" t="n"/>
      <c r="AS69" s="159" t="n"/>
      <c r="AT69" s="159" t="n"/>
      <c r="AU69" s="159" t="n"/>
    </row>
    <row r="70" ht="30" customFormat="1" customHeight="1" s="134" thickBot="1">
      <c r="E70" s="245" t="inlineStr">
        <is>
          <t>DISTRIBUCIÓN DE VOLUMEN POR GIRO, SENTIDO Y TIPOLOGÍA</t>
        </is>
      </c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39" t="n"/>
      <c r="AC70" s="239" t="n"/>
      <c r="AD70" s="239" t="n"/>
      <c r="AE70" s="239" t="n"/>
      <c r="AF70" s="239" t="n"/>
      <c r="AG70" s="239" t="n"/>
      <c r="AH70" s="239" t="n"/>
      <c r="AI70" s="239" t="n"/>
      <c r="AJ70" s="239" t="n"/>
      <c r="AK70" s="239" t="n"/>
      <c r="AL70" s="239" t="n"/>
      <c r="AM70" s="239" t="n"/>
      <c r="AN70" s="239" t="n"/>
      <c r="AO70" s="239" t="n"/>
      <c r="AP70" s="239" t="n"/>
      <c r="AQ70" s="239" t="n"/>
      <c r="AR70" s="239" t="n"/>
      <c r="AS70" s="239" t="n"/>
      <c r="AT70" s="239" t="n"/>
      <c r="AU70" s="240" t="n"/>
    </row>
    <row r="71" ht="15.75" customHeight="1" thickBot="1"/>
    <row r="72" hidden="1" ht="15.75" customHeight="1" thickBot="1">
      <c r="F72" s="17" t="n">
        <v>1</v>
      </c>
      <c r="G72" s="17" t="n">
        <v>2</v>
      </c>
      <c r="H72" s="17" t="n">
        <v>3</v>
      </c>
      <c r="I72" s="17" t="n">
        <v>4</v>
      </c>
      <c r="J72" s="17" t="n">
        <v>5</v>
      </c>
      <c r="K72" s="17" t="n">
        <v>6</v>
      </c>
      <c r="L72" s="17" t="n">
        <v>7</v>
      </c>
      <c r="M72" s="17" t="n">
        <v>8</v>
      </c>
      <c r="N72" s="17" t="n">
        <v>9</v>
      </c>
      <c r="O72" s="17" t="n">
        <v>10</v>
      </c>
      <c r="P72" s="17" t="n">
        <v>1</v>
      </c>
      <c r="Q72" s="17" t="n">
        <v>2</v>
      </c>
      <c r="R72" s="17" t="n">
        <v>3</v>
      </c>
      <c r="S72" s="17" t="n">
        <v>4</v>
      </c>
      <c r="T72" s="17" t="n">
        <v>5</v>
      </c>
      <c r="U72" s="17" t="n">
        <v>6</v>
      </c>
      <c r="V72" s="17" t="n">
        <v>7</v>
      </c>
      <c r="W72" s="17" t="n">
        <v>8</v>
      </c>
      <c r="X72" s="17" t="n">
        <v>9</v>
      </c>
      <c r="Y72" s="17" t="n">
        <v>10</v>
      </c>
      <c r="Z72" s="17" t="n">
        <v>1</v>
      </c>
      <c r="AA72" s="17" t="n">
        <v>2</v>
      </c>
      <c r="AB72" s="17" t="n">
        <v>3</v>
      </c>
      <c r="AC72" s="17" t="n">
        <v>4</v>
      </c>
      <c r="AD72" s="17" t="n">
        <v>5</v>
      </c>
      <c r="AE72" s="17" t="n">
        <v>6</v>
      </c>
      <c r="AF72" s="17" t="n">
        <v>7</v>
      </c>
      <c r="AG72" s="17" t="n">
        <v>8</v>
      </c>
      <c r="AH72" s="17" t="n">
        <v>9</v>
      </c>
      <c r="AI72" s="17" t="n">
        <v>10</v>
      </c>
      <c r="AJ72" s="17" t="n">
        <v>1</v>
      </c>
      <c r="AK72" s="17" t="n">
        <v>2</v>
      </c>
      <c r="AL72" s="17" t="n">
        <v>3</v>
      </c>
      <c r="AM72" s="17" t="n">
        <v>4</v>
      </c>
      <c r="AN72" s="17" t="n">
        <v>5</v>
      </c>
      <c r="AO72" s="17" t="n">
        <v>6</v>
      </c>
      <c r="AP72" s="17" t="n">
        <v>7</v>
      </c>
      <c r="AQ72" s="17" t="n">
        <v>8</v>
      </c>
      <c r="AR72" s="17" t="n">
        <v>9</v>
      </c>
      <c r="AS72" s="17" t="n">
        <v>10</v>
      </c>
      <c r="AT72" s="159" t="n"/>
      <c r="AU72" s="159" t="n"/>
    </row>
    <row r="73" ht="21.75" customHeight="1">
      <c r="E73" s="167" t="inlineStr">
        <is>
          <t>Tipo de Vehículo</t>
        </is>
      </c>
      <c r="F73" s="169">
        <f>Inicio!$H$12</f>
        <v/>
      </c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7" t="n"/>
      <c r="P73" s="169">
        <f>Inicio!$H$12</f>
        <v/>
      </c>
      <c r="Q73" s="246" t="n"/>
      <c r="R73" s="246" t="n"/>
      <c r="S73" s="246" t="n"/>
      <c r="T73" s="246" t="n"/>
      <c r="U73" s="246" t="n"/>
      <c r="V73" s="246" t="n"/>
      <c r="W73" s="246" t="n"/>
      <c r="X73" s="246" t="n"/>
      <c r="Y73" s="247" t="n"/>
      <c r="Z73" s="169">
        <f>Inicio!$H$12</f>
        <v/>
      </c>
      <c r="AA73" s="246" t="n"/>
      <c r="AB73" s="246" t="n"/>
      <c r="AC73" s="246" t="n"/>
      <c r="AD73" s="246" t="n"/>
      <c r="AE73" s="246" t="n"/>
      <c r="AF73" s="246" t="n"/>
      <c r="AG73" s="246" t="n"/>
      <c r="AH73" s="246" t="n"/>
      <c r="AI73" s="247" t="n"/>
      <c r="AJ73" s="169">
        <f>Inicio!$H$12</f>
        <v/>
      </c>
      <c r="AK73" s="246" t="n"/>
      <c r="AL73" s="246" t="n"/>
      <c r="AM73" s="246" t="n"/>
      <c r="AN73" s="246" t="n"/>
      <c r="AO73" s="246" t="n"/>
      <c r="AP73" s="246" t="n"/>
      <c r="AQ73" s="246" t="n"/>
      <c r="AR73" s="246" t="n"/>
      <c r="AS73" s="247" t="n"/>
      <c r="AT73" s="248" t="inlineStr">
        <is>
          <t>Total</t>
        </is>
      </c>
      <c r="AU73" s="249" t="inlineStr">
        <is>
          <t>%</t>
        </is>
      </c>
    </row>
    <row r="74" ht="15" customHeight="1">
      <c r="E74" s="250" t="n"/>
      <c r="F74" s="153" t="inlineStr">
        <is>
          <t>Norte</t>
        </is>
      </c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2" t="n"/>
      <c r="P74" s="152" t="inlineStr">
        <is>
          <t>Sur</t>
        </is>
      </c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2" t="n"/>
      <c r="Z74" s="153" t="inlineStr">
        <is>
          <t>Este</t>
        </is>
      </c>
      <c r="AA74" s="251" t="n"/>
      <c r="AB74" s="251" t="n"/>
      <c r="AC74" s="251" t="n"/>
      <c r="AD74" s="251" t="n"/>
      <c r="AE74" s="251" t="n"/>
      <c r="AF74" s="251" t="n"/>
      <c r="AG74" s="251" t="n"/>
      <c r="AH74" s="251" t="n"/>
      <c r="AI74" s="252" t="n"/>
      <c r="AJ74" s="152" t="inlineStr">
        <is>
          <t>Oeste</t>
        </is>
      </c>
      <c r="AK74" s="251" t="n"/>
      <c r="AL74" s="251" t="n"/>
      <c r="AM74" s="251" t="n"/>
      <c r="AN74" s="251" t="n"/>
      <c r="AO74" s="251" t="n"/>
      <c r="AP74" s="251" t="n"/>
      <c r="AQ74" s="251" t="n"/>
      <c r="AR74" s="251" t="n"/>
      <c r="AS74" s="252" t="n"/>
      <c r="AT74" s="250" t="n"/>
      <c r="AU74" s="253" t="n"/>
    </row>
    <row r="75">
      <c r="D75" t="n">
        <v>0</v>
      </c>
      <c r="E75" s="254" t="n"/>
      <c r="F75" s="102">
        <f>Inicio!$G$12</f>
        <v/>
      </c>
      <c r="G75" s="102">
        <f>Inicio!$G$13</f>
        <v/>
      </c>
      <c r="H75" s="102">
        <f>Inicio!$G$14</f>
        <v/>
      </c>
      <c r="I75" s="102">
        <f>Inicio!$G$15</f>
        <v/>
      </c>
      <c r="J75" s="102">
        <f>Inicio!$G$16</f>
        <v/>
      </c>
      <c r="K75" s="102">
        <f>Inicio!$G$17</f>
        <v/>
      </c>
      <c r="L75" s="102">
        <f>Inicio!$G$18</f>
        <v/>
      </c>
      <c r="M75" s="102">
        <f>Inicio!$G$19</f>
        <v/>
      </c>
      <c r="N75" s="102">
        <f>Inicio!$G$20</f>
        <v/>
      </c>
      <c r="O75" s="102">
        <f>Inicio!$G$21</f>
        <v/>
      </c>
      <c r="P75" s="91">
        <f>Inicio!$M$12</f>
        <v/>
      </c>
      <c r="Q75" s="91">
        <f>Inicio!$M$13</f>
        <v/>
      </c>
      <c r="R75" s="91">
        <f>Inicio!$M$14</f>
        <v/>
      </c>
      <c r="S75" s="91">
        <f>Inicio!$M$15</f>
        <v/>
      </c>
      <c r="T75" s="91">
        <f>Inicio!$M$16</f>
        <v/>
      </c>
      <c r="U75" s="91">
        <f>Inicio!$M$17</f>
        <v/>
      </c>
      <c r="V75" s="91">
        <f>Inicio!$M$18</f>
        <v/>
      </c>
      <c r="W75" s="91">
        <f>Inicio!$M$19</f>
        <v/>
      </c>
      <c r="X75" s="91">
        <f>Inicio!$M$20</f>
        <v/>
      </c>
      <c r="Y75" s="91">
        <f>Inicio!$M$21</f>
        <v/>
      </c>
      <c r="Z75" s="102">
        <f>Inicio!$G$24</f>
        <v/>
      </c>
      <c r="AA75" s="102">
        <f>Inicio!$G$25</f>
        <v/>
      </c>
      <c r="AB75" s="102">
        <f>Inicio!$G$26</f>
        <v/>
      </c>
      <c r="AC75" s="102">
        <f>Inicio!$G$27</f>
        <v/>
      </c>
      <c r="AD75" s="102">
        <f>Inicio!$G$28</f>
        <v/>
      </c>
      <c r="AE75" s="102">
        <f>Inicio!$G$29</f>
        <v/>
      </c>
      <c r="AF75" s="102">
        <f>Inicio!$G$30</f>
        <v/>
      </c>
      <c r="AG75" s="102">
        <f>Inicio!$G$31</f>
        <v/>
      </c>
      <c r="AH75" s="102">
        <f>Inicio!$G$32</f>
        <v/>
      </c>
      <c r="AI75" s="102">
        <f>Inicio!$G$33</f>
        <v/>
      </c>
      <c r="AJ75" s="91">
        <f>Inicio!$M$24</f>
        <v/>
      </c>
      <c r="AK75" s="91">
        <f>Inicio!$M$25</f>
        <v/>
      </c>
      <c r="AL75" s="91">
        <f>Inicio!$M$26</f>
        <v/>
      </c>
      <c r="AM75" s="91">
        <f>Inicio!$M$27</f>
        <v/>
      </c>
      <c r="AN75" s="91">
        <f>Inicio!$M$28</f>
        <v/>
      </c>
      <c r="AO75" s="91">
        <f>Inicio!$M$29</f>
        <v/>
      </c>
      <c r="AP75" s="91">
        <f>Inicio!$M$30</f>
        <v/>
      </c>
      <c r="AQ75" s="91">
        <f>Inicio!$M$31</f>
        <v/>
      </c>
      <c r="AR75" s="91">
        <f>Inicio!$M$32</f>
        <v/>
      </c>
      <c r="AS75" s="109">
        <f>Inicio!$M$33</f>
        <v/>
      </c>
      <c r="AT75" s="254" t="n"/>
      <c r="AU75" s="255" t="n"/>
    </row>
    <row r="76">
      <c r="D76" t="n">
        <v>1</v>
      </c>
      <c r="E76" s="110">
        <f>Inicio!V4</f>
        <v/>
      </c>
      <c r="F76" s="99">
        <f t="array" ref="F76">_xlfn.LET(
_xlpm.rango, INDIRECT("N!$C$" &amp; $BA$8 &amp; ":$DR$" &amp; $BA$9),
_xlpm.col, F$72+$D75*10,
INDEX(_xlpm.rango,$BA$4-3,_xlpm.col) +
INDEX(_xlpm.rango,$BA$4-2,_xlpm.col) +
INDEX(_xlpm.rango,$BA$4-1,_xlpm.col) +
INDEX(_xlpm.rango,$BA$4, _xlpm.col)
)</f>
        <v/>
      </c>
      <c r="G76" s="93">
        <f t="array" ref="G76">_xlfn.LET(
_xlpm.rango, INDIRECT("N!$C$" &amp; $BA$8 &amp; ":$DR$" &amp; $BA$9),
_xlpm.col, G$72+$D75*10,
INDEX(_xlpm.rango,$BA$4-3,_xlpm.col) +
INDEX(_xlpm.rango,$BA$4-2,_xlpm.col) +
INDEX(_xlpm.rango,$BA$4-1,_xlpm.col) +
INDEX(_xlpm.rango,$BA$4, _xlpm.col)
)</f>
        <v/>
      </c>
      <c r="H76" s="93">
        <f t="array" ref="H76">_xlfn.LET(
_xlpm.rango, INDIRECT("N!$C$" &amp; $BA$8 &amp; ":$DR$" &amp; $BA$9),
_xlpm.col, H$72+$D75*10,
INDEX(_xlpm.rango,$BA$4-3,_xlpm.col) +
INDEX(_xlpm.rango,$BA$4-2,_xlpm.col) +
INDEX(_xlpm.rango,$BA$4-1,_xlpm.col) +
INDEX(_xlpm.rango,$BA$4, _xlpm.col)
)</f>
        <v/>
      </c>
      <c r="I76" s="93">
        <f t="array" ref="I76">_xlfn.LET(
_xlpm.rango, INDIRECT("N!$C$" &amp; $BA$8 &amp; ":$DR$" &amp; $BA$9),
_xlpm.col, I$72+$D75*10,
INDEX(_xlpm.rango,$BA$4-3,_xlpm.col) +
INDEX(_xlpm.rango,$BA$4-2,_xlpm.col) +
INDEX(_xlpm.rango,$BA$4-1,_xlpm.col) +
INDEX(_xlpm.rango,$BA$4, _xlpm.col)
)</f>
        <v/>
      </c>
      <c r="J76" s="93">
        <f t="array" ref="J76">_xlfn.LET(
_xlpm.rango, INDIRECT("N!$C$" &amp; $BA$8 &amp; ":$DR$" &amp; $BA$9),
_xlpm.col, J$72+$D75*10,
INDEX(_xlpm.rango,$BA$4-3,_xlpm.col) +
INDEX(_xlpm.rango,$BA$4-2,_xlpm.col) +
INDEX(_xlpm.rango,$BA$4-1,_xlpm.col) +
INDEX(_xlpm.rango,$BA$4, _xlpm.col)
)</f>
        <v/>
      </c>
      <c r="K76" s="93">
        <f t="array" ref="K76">_xlfn.LET(
_xlpm.rango, INDIRECT("N!$C$" &amp; $BA$8 &amp; ":$DR$" &amp; $BA$9),
_xlpm.col, K$72+$D75*10,
INDEX(_xlpm.rango,$BA$4-3,_xlpm.col) +
INDEX(_xlpm.rango,$BA$4-2,_xlpm.col) +
INDEX(_xlpm.rango,$BA$4-1,_xlpm.col) +
INDEX(_xlpm.rango,$BA$4, _xlpm.col)
)</f>
        <v/>
      </c>
      <c r="L76" s="93">
        <f t="array" ref="L76">_xlfn.LET(
_xlpm.rango, INDIRECT("N!$C$" &amp; $BA$8 &amp; ":$DR$" &amp; $BA$9),
_xlpm.col, L$72+$D75*10,
INDEX(_xlpm.rango,$BA$4-3,_xlpm.col) +
INDEX(_xlpm.rango,$BA$4-2,_xlpm.col) +
INDEX(_xlpm.rango,$BA$4-1,_xlpm.col) +
INDEX(_xlpm.rango,$BA$4, _xlpm.col)
)</f>
        <v/>
      </c>
      <c r="M76" s="93">
        <f t="array" ref="M76">_xlfn.LET(
_xlpm.rango, INDIRECT("N!$C$" &amp; $BA$8 &amp; ":$DR$" &amp; $BA$9),
_xlpm.col, M$72+$D75*10,
INDEX(_xlpm.rango,$BA$4-3,_xlpm.col) +
INDEX(_xlpm.rango,$BA$4-2,_xlpm.col) +
INDEX(_xlpm.rango,$BA$4-1,_xlpm.col) +
INDEX(_xlpm.rango,$BA$4, _xlpm.col)
)</f>
        <v/>
      </c>
      <c r="N76" s="93">
        <f t="array" ref="N76">_xlfn.LET(
_xlpm.rango, INDIRECT("N!$C$" &amp; $BA$8 &amp; ":$DR$" &amp; $BA$9),
_xlpm.col, N$72+$D75*10,
INDEX(_xlpm.rango,$BA$4-3,_xlpm.col) +
INDEX(_xlpm.rango,$BA$4-2,_xlpm.col) +
INDEX(_xlpm.rango,$BA$4-1,_xlpm.col) +
INDEX(_xlpm.rango,$BA$4, _xlpm.col)
)</f>
        <v/>
      </c>
      <c r="O76" s="94">
        <f t="array" ref="O76">_xlfn.LET(
_xlpm.rango, INDIRECT("N!$C$" &amp; $BA$8 &amp; ":$DR$" &amp; $BA$9),
_xlpm.col, O$72+$D75*10,
INDEX(_xlpm.rango,$BA$4-3,_xlpm.col) +
INDEX(_xlpm.rango,$BA$4-2,_xlpm.col) +
INDEX(_xlpm.rango,$BA$4-1,_xlpm.col) +
INDEX(_xlpm.rango,$BA$4, _xlpm.col)
)</f>
        <v/>
      </c>
      <c r="P76" s="93">
        <f t="array" ref="P76">_xlfn.LET(
_xlpm.rango, INDIRECT("S!$C$" &amp; $BA$8 &amp; ":$DR$" &amp; $BA$9),
_xlpm.col, P$72+$D75*10,
INDEX(_xlpm.rango,$BA$4-3,_xlpm.col) +
INDEX(_xlpm.rango,$BA$4-2,_xlpm.col) +
INDEX(_xlpm.rango,$BA$4-1,_xlpm.col) +
INDEX(_xlpm.rango,$BA$4, _xlpm.col)
)</f>
        <v/>
      </c>
      <c r="Q76" s="93">
        <f t="array" ref="Q76">_xlfn.LET(
_xlpm.rango, INDIRECT("S!$C$" &amp; $BA$8 &amp; ":$DR$" &amp; $BA$9),
_xlpm.col, Q$72+$D75*10,
INDEX(_xlpm.rango,$BA$4-3,_xlpm.col) +
INDEX(_xlpm.rango,$BA$4-2,_xlpm.col) +
INDEX(_xlpm.rango,$BA$4-1,_xlpm.col) +
INDEX(_xlpm.rango,$BA$4, _xlpm.col)
)</f>
        <v/>
      </c>
      <c r="R76" s="93">
        <f t="array" ref="R76">_xlfn.LET(
_xlpm.rango, INDIRECT("S!$C$" &amp; $BA$8 &amp; ":$DR$" &amp; $BA$9),
_xlpm.col, R$72+$D75*10,
INDEX(_xlpm.rango,$BA$4-3,_xlpm.col) +
INDEX(_xlpm.rango,$BA$4-2,_xlpm.col) +
INDEX(_xlpm.rango,$BA$4-1,_xlpm.col) +
INDEX(_xlpm.rango,$BA$4, _xlpm.col)
)</f>
        <v/>
      </c>
      <c r="S76" s="93">
        <f t="array" ref="S76">_xlfn.LET(
_xlpm.rango, INDIRECT("S!$C$" &amp; $BA$8 &amp; ":$DR$" &amp; $BA$9),
_xlpm.col, S$72+$D75*10,
INDEX(_xlpm.rango,$BA$4-3,_xlpm.col) +
INDEX(_xlpm.rango,$BA$4-2,_xlpm.col) +
INDEX(_xlpm.rango,$BA$4-1,_xlpm.col) +
INDEX(_xlpm.rango,$BA$4, _xlpm.col)
)</f>
        <v/>
      </c>
      <c r="T76" s="93">
        <f t="array" ref="T76">_xlfn.LET(
_xlpm.rango, INDIRECT("S!$C$" &amp; $BA$8 &amp; ":$DR$" &amp; $BA$9),
_xlpm.col, T$72+$D75*10,
INDEX(_xlpm.rango,$BA$4-3,_xlpm.col) +
INDEX(_xlpm.rango,$BA$4-2,_xlpm.col) +
INDEX(_xlpm.rango,$BA$4-1,_xlpm.col) +
INDEX(_xlpm.rango,$BA$4, _xlpm.col)
)</f>
        <v/>
      </c>
      <c r="U76" s="93">
        <f t="array" ref="U76">_xlfn.LET(
_xlpm.rango, INDIRECT("S!$C$" &amp; $BA$8 &amp; ":$DR$" &amp; $BA$9),
_xlpm.col, U$72+$D75*10,
INDEX(_xlpm.rango,$BA$4-3,_xlpm.col) +
INDEX(_xlpm.rango,$BA$4-2,_xlpm.col) +
INDEX(_xlpm.rango,$BA$4-1,_xlpm.col) +
INDEX(_xlpm.rango,$BA$4, _xlpm.col)
)</f>
        <v/>
      </c>
      <c r="V76" s="93">
        <f t="array" ref="V76">_xlfn.LET(
_xlpm.rango, INDIRECT("S!$C$" &amp; $BA$8 &amp; ":$DR$" &amp; $BA$9),
_xlpm.col, V$72+$D75*10,
INDEX(_xlpm.rango,$BA$4-3,_xlpm.col) +
INDEX(_xlpm.rango,$BA$4-2,_xlpm.col) +
INDEX(_xlpm.rango,$BA$4-1,_xlpm.col) +
INDEX(_xlpm.rango,$BA$4, _xlpm.col)
)</f>
        <v/>
      </c>
      <c r="W76" s="93">
        <f t="array" ref="W76">_xlfn.LET(
_xlpm.rango, INDIRECT("S!$C$" &amp; $BA$8 &amp; ":$DR$" &amp; $BA$9),
_xlpm.col, W$72+$D75*10,
INDEX(_xlpm.rango,$BA$4-3,_xlpm.col) +
INDEX(_xlpm.rango,$BA$4-2,_xlpm.col) +
INDEX(_xlpm.rango,$BA$4-1,_xlpm.col) +
INDEX(_xlpm.rango,$BA$4, _xlpm.col)
)</f>
        <v/>
      </c>
      <c r="X76" s="93">
        <f t="array" ref="X76">_xlfn.LET(
_xlpm.rango, INDIRECT("S!$C$" &amp; $BA$8 &amp; ":$DR$" &amp; $BA$9),
_xlpm.col, X$72+$D75*10,
INDEX(_xlpm.rango,$BA$4-3,_xlpm.col) +
INDEX(_xlpm.rango,$BA$4-2,_xlpm.col) +
INDEX(_xlpm.rango,$BA$4-1,_xlpm.col) +
INDEX(_xlpm.rango,$BA$4, _xlpm.col)
)</f>
        <v/>
      </c>
      <c r="Y76" s="93">
        <f t="array" ref="Y76">_xlfn.LET(
_xlpm.rango, INDIRECT("S!$C$" &amp; $BA$8 &amp; ":$DR$" &amp; $BA$9),
_xlpm.col, Y$72+$D75*10,
INDEX(_xlpm.rango,$BA$4-3,_xlpm.col) +
INDEX(_xlpm.rango,$BA$4-2,_xlpm.col) +
INDEX(_xlpm.rango,$BA$4-1,_xlpm.col) +
INDEX(_xlpm.rango,$BA$4, _xlpm.col)
)</f>
        <v/>
      </c>
      <c r="Z76" s="99">
        <f t="array" ref="Z76">_xlfn.LET(
_xlpm.rango, INDIRECT("E!$C$" &amp; $BA$8 &amp; ":$DR$" &amp; $BA$9),
_xlpm.col, Z$72+$D75*10,
INDEX(_xlpm.rango,$BA$4-3,_xlpm.col) +
INDEX(_xlpm.rango,$BA$4-2,_xlpm.col) +
INDEX(_xlpm.rango,$BA$4-1,_xlpm.col) +
INDEX(_xlpm.rango,$BA$4, _xlpm.col)
)</f>
        <v/>
      </c>
      <c r="AA76" s="93">
        <f t="array" ref="AA76">_xlfn.LET(
_xlpm.rango, INDIRECT("E!$C$" &amp; $BA$8 &amp; ":$DR$" &amp; $BA$9),
_xlpm.col, AA$72+$D75*10,
INDEX(_xlpm.rango,$BA$4-3,_xlpm.col) +
INDEX(_xlpm.rango,$BA$4-2,_xlpm.col) +
INDEX(_xlpm.rango,$BA$4-1,_xlpm.col) +
INDEX(_xlpm.rango,$BA$4, _xlpm.col)
)</f>
        <v/>
      </c>
      <c r="AB76" s="93">
        <f t="array" ref="AB76">_xlfn.LET(
_xlpm.rango, INDIRECT("E!$C$" &amp; $BA$8 &amp; ":$DR$" &amp; $BA$9),
_xlpm.col, AB$72+$D75*10,
INDEX(_xlpm.rango,$BA$4-3,_xlpm.col) +
INDEX(_xlpm.rango,$BA$4-2,_xlpm.col) +
INDEX(_xlpm.rango,$BA$4-1,_xlpm.col) +
INDEX(_xlpm.rango,$BA$4, _xlpm.col)
)</f>
        <v/>
      </c>
      <c r="AC76" s="93">
        <f t="array" ref="AC76">_xlfn.LET(
_xlpm.rango, INDIRECT("E!$C$" &amp; $BA$8 &amp; ":$DR$" &amp; $BA$9),
_xlpm.col, AC$72+$D75*10,
INDEX(_xlpm.rango,$BA$4-3,_xlpm.col) +
INDEX(_xlpm.rango,$BA$4-2,_xlpm.col) +
INDEX(_xlpm.rango,$BA$4-1,_xlpm.col) +
INDEX(_xlpm.rango,$BA$4, _xlpm.col)
)</f>
        <v/>
      </c>
      <c r="AD76" s="93">
        <f t="array" ref="AD76">_xlfn.LET(
_xlpm.rango, INDIRECT("E!$C$" &amp; $BA$8 &amp; ":$DR$" &amp; $BA$9),
_xlpm.col, AD$72+$D75*10,
INDEX(_xlpm.rango,$BA$4-3,_xlpm.col) +
INDEX(_xlpm.rango,$BA$4-2,_xlpm.col) +
INDEX(_xlpm.rango,$BA$4-1,_xlpm.col) +
INDEX(_xlpm.rango,$BA$4, _xlpm.col)
)</f>
        <v/>
      </c>
      <c r="AE76" s="93">
        <f t="array" ref="AE76">_xlfn.LET(
_xlpm.rango, INDIRECT("E!$C$" &amp; $BA$8 &amp; ":$DR$" &amp; $BA$9),
_xlpm.col, AE$72+$D75*10,
INDEX(_xlpm.rango,$BA$4-3,_xlpm.col) +
INDEX(_xlpm.rango,$BA$4-2,_xlpm.col) +
INDEX(_xlpm.rango,$BA$4-1,_xlpm.col) +
INDEX(_xlpm.rango,$BA$4, _xlpm.col)
)</f>
        <v/>
      </c>
      <c r="AF76" s="93">
        <f t="array" ref="AF76">_xlfn.LET(
_xlpm.rango, INDIRECT("E!$C$" &amp; $BA$8 &amp; ":$DR$" &amp; $BA$9),
_xlpm.col, AF$72+$D75*10,
INDEX(_xlpm.rango,$BA$4-3,_xlpm.col) +
INDEX(_xlpm.rango,$BA$4-2,_xlpm.col) +
INDEX(_xlpm.rango,$BA$4-1,_xlpm.col) +
INDEX(_xlpm.rango,$BA$4, _xlpm.col)
)</f>
        <v/>
      </c>
      <c r="AG76" s="93">
        <f t="array" ref="AG76">_xlfn.LET(
_xlpm.rango, INDIRECT("E!$C$" &amp; $BA$8 &amp; ":$DR$" &amp; $BA$9),
_xlpm.col, AG$72+$D75*10,
INDEX(_xlpm.rango,$BA$4-3,_xlpm.col) +
INDEX(_xlpm.rango,$BA$4-2,_xlpm.col) +
INDEX(_xlpm.rango,$BA$4-1,_xlpm.col) +
INDEX(_xlpm.rango,$BA$4, _xlpm.col)
)</f>
        <v/>
      </c>
      <c r="AH76" s="93">
        <f t="array" ref="AH76">_xlfn.LET(
_xlpm.rango, INDIRECT("E!$C$" &amp; $BA$8 &amp; ":$DR$" &amp; $BA$9),
_xlpm.col, AH$72+$D75*10,
INDEX(_xlpm.rango,$BA$4-3,_xlpm.col) +
INDEX(_xlpm.rango,$BA$4-2,_xlpm.col) +
INDEX(_xlpm.rango,$BA$4-1,_xlpm.col) +
INDEX(_xlpm.rango,$BA$4, _xlpm.col)
)</f>
        <v/>
      </c>
      <c r="AI76" s="94">
        <f t="array" ref="AI76">_xlfn.LET(
_xlpm.rango, INDIRECT("E!$C$" &amp; $BA$8 &amp; ":$DR$" &amp; $BA$9),
_xlpm.col, AI$72+$D75*10,
INDEX(_xlpm.rango,$BA$4-3,_xlpm.col) +
INDEX(_xlpm.rango,$BA$4-2,_xlpm.col) +
INDEX(_xlpm.rango,$BA$4-1,_xlpm.col) +
INDEX(_xlpm.rango,$BA$4, _xlpm.col)
)</f>
        <v/>
      </c>
      <c r="AJ76" s="99">
        <f t="array" ref="AJ76">_xlfn.LET(
_xlpm.rango, INDIRECT("E!$C$" &amp; $BA$8 &amp; ":$DR$" &amp; $BA$9),
_xlpm.col, AJ$72+$D75*10,
INDEX(_xlpm.rango,$BA$4-3,_xlpm.col) +
INDEX(_xlpm.rango,$BA$4-2,_xlpm.col) +
INDEX(_xlpm.rango,$BA$4-1,_xlpm.col) +
INDEX(_xlpm.rango,$BA$4, _xlpm.col)
)</f>
        <v/>
      </c>
      <c r="AK76" s="93">
        <f t="array" ref="AK76">_xlfn.LET(
_xlpm.rango, INDIRECT("E!$C$" &amp; $BA$8 &amp; ":$DR$" &amp; $BA$9),
_xlpm.col, AK$72+$D75*10,
INDEX(_xlpm.rango,$BA$4-3,_xlpm.col) +
INDEX(_xlpm.rango,$BA$4-2,_xlpm.col) +
INDEX(_xlpm.rango,$BA$4-1,_xlpm.col) +
INDEX(_xlpm.rango,$BA$4, _xlpm.col)
)</f>
        <v/>
      </c>
      <c r="AL76" s="93">
        <f t="array" ref="AL76">_xlfn.LET(
_xlpm.rango, INDIRECT("E!$C$" &amp; $BA$8 &amp; ":$DR$" &amp; $BA$9),
_xlpm.col, AL$72+$D75*10,
INDEX(_xlpm.rango,$BA$4-3,_xlpm.col) +
INDEX(_xlpm.rango,$BA$4-2,_xlpm.col) +
INDEX(_xlpm.rango,$BA$4-1,_xlpm.col) +
INDEX(_xlpm.rango,$BA$4, _xlpm.col)
)</f>
        <v/>
      </c>
      <c r="AM76" s="93">
        <f t="array" ref="AM76">_xlfn.LET(
_xlpm.rango, INDIRECT("E!$C$" &amp; $BA$8 &amp; ":$DR$" &amp; $BA$9),
_xlpm.col, AM$72+$D75*10,
INDEX(_xlpm.rango,$BA$4-3,_xlpm.col) +
INDEX(_xlpm.rango,$BA$4-2,_xlpm.col) +
INDEX(_xlpm.rango,$BA$4-1,_xlpm.col) +
INDEX(_xlpm.rango,$BA$4, _xlpm.col)
)</f>
        <v/>
      </c>
      <c r="AN76" s="93">
        <f t="array" ref="AN76">_xlfn.LET(
_xlpm.rango, INDIRECT("E!$C$" &amp; $BA$8 &amp; ":$DR$" &amp; $BA$9),
_xlpm.col, AN$72+$D75*10,
INDEX(_xlpm.rango,$BA$4-3,_xlpm.col) +
INDEX(_xlpm.rango,$BA$4-2,_xlpm.col) +
INDEX(_xlpm.rango,$BA$4-1,_xlpm.col) +
INDEX(_xlpm.rango,$BA$4, _xlpm.col)
)</f>
        <v/>
      </c>
      <c r="AO76" s="93">
        <f t="array" ref="AO76">_xlfn.LET(
_xlpm.rango, INDIRECT("E!$C$" &amp; $BA$8 &amp; ":$DR$" &amp; $BA$9),
_xlpm.col, AO$72+$D75*10,
INDEX(_xlpm.rango,$BA$4-3,_xlpm.col) +
INDEX(_xlpm.rango,$BA$4-2,_xlpm.col) +
INDEX(_xlpm.rango,$BA$4-1,_xlpm.col) +
INDEX(_xlpm.rango,$BA$4, _xlpm.col)
)</f>
        <v/>
      </c>
      <c r="AP76" s="93">
        <f t="array" ref="AP76">_xlfn.LET(
_xlpm.rango, INDIRECT("E!$C$" &amp; $BA$8 &amp; ":$DR$" &amp; $BA$9),
_xlpm.col, AP$72+$D75*10,
INDEX(_xlpm.rango,$BA$4-3,_xlpm.col) +
INDEX(_xlpm.rango,$BA$4-2,_xlpm.col) +
INDEX(_xlpm.rango,$BA$4-1,_xlpm.col) +
INDEX(_xlpm.rango,$BA$4, _xlpm.col)
)</f>
        <v/>
      </c>
      <c r="AQ76" s="93">
        <f t="array" ref="AQ76">_xlfn.LET(
_xlpm.rango, INDIRECT("E!$C$" &amp; $BA$8 &amp; ":$DR$" &amp; $BA$9),
_xlpm.col, AQ$72+$D75*10,
INDEX(_xlpm.rango,$BA$4-3,_xlpm.col) +
INDEX(_xlpm.rango,$BA$4-2,_xlpm.col) +
INDEX(_xlpm.rango,$BA$4-1,_xlpm.col) +
INDEX(_xlpm.rango,$BA$4, _xlpm.col)
)</f>
        <v/>
      </c>
      <c r="AR76" s="93">
        <f t="array" ref="AR76">_xlfn.LET(
_xlpm.rango, INDIRECT("E!$C$" &amp; $BA$8 &amp; ":$DR$" &amp; $BA$9),
_xlpm.col, AR$72+$D75*10,
INDEX(_xlpm.rango,$BA$4-3,_xlpm.col) +
INDEX(_xlpm.rango,$BA$4-2,_xlpm.col) +
INDEX(_xlpm.rango,$BA$4-1,_xlpm.col) +
INDEX(_xlpm.rango,$BA$4, _xlpm.col)
)</f>
        <v/>
      </c>
      <c r="AS76" s="111">
        <f t="array" ref="AS76">_xlfn.LET(
_xlpm.rango, INDIRECT("E!$C$" &amp; $BA$8 &amp; ":$DR$" &amp; $BA$9),
_xlpm.col, AS$72+$D75*10,
INDEX(_xlpm.rango,$BA$4-3,_xlpm.col) +
INDEX(_xlpm.rango,$BA$4-2,_xlpm.col) +
INDEX(_xlpm.rango,$BA$4-1,_xlpm.col) +
INDEX(_xlpm.rango,$BA$4, _xlpm.col)
)</f>
        <v/>
      </c>
      <c r="AT76" s="118">
        <f>SUM(F76:AS76)</f>
        <v/>
      </c>
      <c r="AU76" s="119">
        <f>AT76/$AT$88</f>
        <v/>
      </c>
    </row>
    <row r="77">
      <c r="D77" t="n">
        <v>2</v>
      </c>
      <c r="E77" s="106">
        <f>Inicio!V5</f>
        <v/>
      </c>
      <c r="F77" s="100">
        <f t="array" ref="F77">_xlfn.LET(
_xlpm.rango, INDIRECT("N!$C$" &amp; $BA$8 &amp; ":$DR$" &amp; $BA$9),
_xlpm.col, F$72+$D76*10,
INDEX(_xlpm.rango,$BA$4-3,_xlpm.col) +
INDEX(_xlpm.rango,$BA$4-2,_xlpm.col) +
INDEX(_xlpm.rango,$BA$4-1,_xlpm.col) +
INDEX(_xlpm.rango,$BA$4, _xlpm.col)
)</f>
        <v/>
      </c>
      <c r="G77" s="95">
        <f t="array" ref="G77">_xlfn.LET(
_xlpm.rango, INDIRECT("N!$C$" &amp; $BA$8 &amp; ":$DR$" &amp; $BA$9),
_xlpm.col, G$72+$D76*10,
INDEX(_xlpm.rango,$BA$4-3,_xlpm.col) +
INDEX(_xlpm.rango,$BA$4-2,_xlpm.col) +
INDEX(_xlpm.rango,$BA$4-1,_xlpm.col) +
INDEX(_xlpm.rango,$BA$4, _xlpm.col)
)</f>
        <v/>
      </c>
      <c r="H77" s="95">
        <f t="array" ref="H77">_xlfn.LET(
_xlpm.rango, INDIRECT("N!$C$" &amp; $BA$8 &amp; ":$DR$" &amp; $BA$9),
_xlpm.col, H$72+$D76*10,
INDEX(_xlpm.rango,$BA$4-3,_xlpm.col) +
INDEX(_xlpm.rango,$BA$4-2,_xlpm.col) +
INDEX(_xlpm.rango,$BA$4-1,_xlpm.col) +
INDEX(_xlpm.rango,$BA$4, _xlpm.col)
)</f>
        <v/>
      </c>
      <c r="I77" s="95">
        <f t="array" ref="I77">_xlfn.LET(
_xlpm.rango, INDIRECT("N!$C$" &amp; $BA$8 &amp; ":$DR$" &amp; $BA$9),
_xlpm.col, I$72+$D76*10,
INDEX(_xlpm.rango,$BA$4-3,_xlpm.col) +
INDEX(_xlpm.rango,$BA$4-2,_xlpm.col) +
INDEX(_xlpm.rango,$BA$4-1,_xlpm.col) +
INDEX(_xlpm.rango,$BA$4, _xlpm.col)
)</f>
        <v/>
      </c>
      <c r="J77" s="95">
        <f t="array" ref="J77">_xlfn.LET(
_xlpm.rango, INDIRECT("N!$C$" &amp; $BA$8 &amp; ":$DR$" &amp; $BA$9),
_xlpm.col, J$72+$D76*10,
INDEX(_xlpm.rango,$BA$4-3,_xlpm.col) +
INDEX(_xlpm.rango,$BA$4-2,_xlpm.col) +
INDEX(_xlpm.rango,$BA$4-1,_xlpm.col) +
INDEX(_xlpm.rango,$BA$4, _xlpm.col)
)</f>
        <v/>
      </c>
      <c r="K77" s="95">
        <f t="array" ref="K77">_xlfn.LET(
_xlpm.rango, INDIRECT("N!$C$" &amp; $BA$8 &amp; ":$DR$" &amp; $BA$9),
_xlpm.col, K$72+$D76*10,
INDEX(_xlpm.rango,$BA$4-3,_xlpm.col) +
INDEX(_xlpm.rango,$BA$4-2,_xlpm.col) +
INDEX(_xlpm.rango,$BA$4-1,_xlpm.col) +
INDEX(_xlpm.rango,$BA$4, _xlpm.col)
)</f>
        <v/>
      </c>
      <c r="L77" s="95">
        <f t="array" ref="L77">_xlfn.LET(
_xlpm.rango, INDIRECT("N!$C$" &amp; $BA$8 &amp; ":$DR$" &amp; $BA$9),
_xlpm.col, L$72+$D76*10,
INDEX(_xlpm.rango,$BA$4-3,_xlpm.col) +
INDEX(_xlpm.rango,$BA$4-2,_xlpm.col) +
INDEX(_xlpm.rango,$BA$4-1,_xlpm.col) +
INDEX(_xlpm.rango,$BA$4, _xlpm.col)
)</f>
        <v/>
      </c>
      <c r="M77" s="95">
        <f t="array" ref="M77">_xlfn.LET(
_xlpm.rango, INDIRECT("N!$C$" &amp; $BA$8 &amp; ":$DR$" &amp; $BA$9),
_xlpm.col, M$72+$D76*10,
INDEX(_xlpm.rango,$BA$4-3,_xlpm.col) +
INDEX(_xlpm.rango,$BA$4-2,_xlpm.col) +
INDEX(_xlpm.rango,$BA$4-1,_xlpm.col) +
INDEX(_xlpm.rango,$BA$4, _xlpm.col)
)</f>
        <v/>
      </c>
      <c r="N77" s="95">
        <f t="array" ref="N77">_xlfn.LET(
_xlpm.rango, INDIRECT("N!$C$" &amp; $BA$8 &amp; ":$DR$" &amp; $BA$9),
_xlpm.col, N$72+$D76*10,
INDEX(_xlpm.rango,$BA$4-3,_xlpm.col) +
INDEX(_xlpm.rango,$BA$4-2,_xlpm.col) +
INDEX(_xlpm.rango,$BA$4-1,_xlpm.col) +
INDEX(_xlpm.rango,$BA$4, _xlpm.col)
)</f>
        <v/>
      </c>
      <c r="O77" s="96">
        <f t="array" ref="O77">_xlfn.LET(
_xlpm.rango, INDIRECT("N!$C$" &amp; $BA$8 &amp; ":$DR$" &amp; $BA$9),
_xlpm.col, O$72+$D76*10,
INDEX(_xlpm.rango,$BA$4-3,_xlpm.col) +
INDEX(_xlpm.rango,$BA$4-2,_xlpm.col) +
INDEX(_xlpm.rango,$BA$4-1,_xlpm.col) +
INDEX(_xlpm.rango,$BA$4, _xlpm.col)
)</f>
        <v/>
      </c>
      <c r="P77" s="95">
        <f t="array" ref="P77">_xlfn.LET(
_xlpm.rango, INDIRECT("S!$C$" &amp; $BA$8 &amp; ":$DR$" &amp; $BA$9),
_xlpm.col, P$72+$D76*10,
INDEX(_xlpm.rango,$BA$4-3,_xlpm.col) +
INDEX(_xlpm.rango,$BA$4-2,_xlpm.col) +
INDEX(_xlpm.rango,$BA$4-1,_xlpm.col) +
INDEX(_xlpm.rango,$BA$4, _xlpm.col)
)</f>
        <v/>
      </c>
      <c r="Q77" s="95">
        <f t="array" ref="Q77">_xlfn.LET(
_xlpm.rango, INDIRECT("S!$C$" &amp; $BA$8 &amp; ":$DR$" &amp; $BA$9),
_xlpm.col, Q$72+$D76*10,
INDEX(_xlpm.rango,$BA$4-3,_xlpm.col) +
INDEX(_xlpm.rango,$BA$4-2,_xlpm.col) +
INDEX(_xlpm.rango,$BA$4-1,_xlpm.col) +
INDEX(_xlpm.rango,$BA$4, _xlpm.col)
)</f>
        <v/>
      </c>
      <c r="R77" s="95">
        <f t="array" ref="R77">_xlfn.LET(
_xlpm.rango, INDIRECT("S!$C$" &amp; $BA$8 &amp; ":$DR$" &amp; $BA$9),
_xlpm.col, R$72+$D76*10,
INDEX(_xlpm.rango,$BA$4-3,_xlpm.col) +
INDEX(_xlpm.rango,$BA$4-2,_xlpm.col) +
INDEX(_xlpm.rango,$BA$4-1,_xlpm.col) +
INDEX(_xlpm.rango,$BA$4, _xlpm.col)
)</f>
        <v/>
      </c>
      <c r="S77" s="95">
        <f t="array" ref="S77">_xlfn.LET(
_xlpm.rango, INDIRECT("S!$C$" &amp; $BA$8 &amp; ":$DR$" &amp; $BA$9),
_xlpm.col, S$72+$D76*10,
INDEX(_xlpm.rango,$BA$4-3,_xlpm.col) +
INDEX(_xlpm.rango,$BA$4-2,_xlpm.col) +
INDEX(_xlpm.rango,$BA$4-1,_xlpm.col) +
INDEX(_xlpm.rango,$BA$4, _xlpm.col)
)</f>
        <v/>
      </c>
      <c r="T77" s="95">
        <f t="array" ref="T77">_xlfn.LET(
_xlpm.rango, INDIRECT("S!$C$" &amp; $BA$8 &amp; ":$DR$" &amp; $BA$9),
_xlpm.col, T$72+$D76*10,
INDEX(_xlpm.rango,$BA$4-3,_xlpm.col) +
INDEX(_xlpm.rango,$BA$4-2,_xlpm.col) +
INDEX(_xlpm.rango,$BA$4-1,_xlpm.col) +
INDEX(_xlpm.rango,$BA$4, _xlpm.col)
)</f>
        <v/>
      </c>
      <c r="U77" s="95">
        <f t="array" ref="U77">_xlfn.LET(
_xlpm.rango, INDIRECT("S!$C$" &amp; $BA$8 &amp; ":$DR$" &amp; $BA$9),
_xlpm.col, U$72+$D76*10,
INDEX(_xlpm.rango,$BA$4-3,_xlpm.col) +
INDEX(_xlpm.rango,$BA$4-2,_xlpm.col) +
INDEX(_xlpm.rango,$BA$4-1,_xlpm.col) +
INDEX(_xlpm.rango,$BA$4, _xlpm.col)
)</f>
        <v/>
      </c>
      <c r="V77" s="95">
        <f t="array" ref="V77">_xlfn.LET(
_xlpm.rango, INDIRECT("S!$C$" &amp; $BA$8 &amp; ":$DR$" &amp; $BA$9),
_xlpm.col, V$72+$D76*10,
INDEX(_xlpm.rango,$BA$4-3,_xlpm.col) +
INDEX(_xlpm.rango,$BA$4-2,_xlpm.col) +
INDEX(_xlpm.rango,$BA$4-1,_xlpm.col) +
INDEX(_xlpm.rango,$BA$4, _xlpm.col)
)</f>
        <v/>
      </c>
      <c r="W77" s="95">
        <f t="array" ref="W77">_xlfn.LET(
_xlpm.rango, INDIRECT("S!$C$" &amp; $BA$8 &amp; ":$DR$" &amp; $BA$9),
_xlpm.col, W$72+$D76*10,
INDEX(_xlpm.rango,$BA$4-3,_xlpm.col) +
INDEX(_xlpm.rango,$BA$4-2,_xlpm.col) +
INDEX(_xlpm.rango,$BA$4-1,_xlpm.col) +
INDEX(_xlpm.rango,$BA$4, _xlpm.col)
)</f>
        <v/>
      </c>
      <c r="X77" s="95">
        <f t="array" ref="X77">_xlfn.LET(
_xlpm.rango, INDIRECT("S!$C$" &amp; $BA$8 &amp; ":$DR$" &amp; $BA$9),
_xlpm.col, X$72+$D76*10,
INDEX(_xlpm.rango,$BA$4-3,_xlpm.col) +
INDEX(_xlpm.rango,$BA$4-2,_xlpm.col) +
INDEX(_xlpm.rango,$BA$4-1,_xlpm.col) +
INDEX(_xlpm.rango,$BA$4, _xlpm.col)
)</f>
        <v/>
      </c>
      <c r="Y77" s="95">
        <f t="array" ref="Y77">_xlfn.LET(
_xlpm.rango, INDIRECT("S!$C$" &amp; $BA$8 &amp; ":$DR$" &amp; $BA$9),
_xlpm.col, Y$72+$D76*10,
INDEX(_xlpm.rango,$BA$4-3,_xlpm.col) +
INDEX(_xlpm.rango,$BA$4-2,_xlpm.col) +
INDEX(_xlpm.rango,$BA$4-1,_xlpm.col) +
INDEX(_xlpm.rango,$BA$4, _xlpm.col)
)</f>
        <v/>
      </c>
      <c r="Z77" s="100">
        <f t="array" ref="Z77">_xlfn.LET(
_xlpm.rango, INDIRECT("E!$C$" &amp; $BA$8 &amp; ":$DR$" &amp; $BA$9),
_xlpm.col, Z$72+$D76*10,
INDEX(_xlpm.rango,$BA$4-3,_xlpm.col) +
INDEX(_xlpm.rango,$BA$4-2,_xlpm.col) +
INDEX(_xlpm.rango,$BA$4-1,_xlpm.col) +
INDEX(_xlpm.rango,$BA$4, _xlpm.col)
)</f>
        <v/>
      </c>
      <c r="AA77" s="95">
        <f t="array" ref="AA77">_xlfn.LET(
_xlpm.rango, INDIRECT("E!$C$" &amp; $BA$8 &amp; ":$DR$" &amp; $BA$9),
_xlpm.col, AA$72+$D76*10,
INDEX(_xlpm.rango,$BA$4-3,_xlpm.col) +
INDEX(_xlpm.rango,$BA$4-2,_xlpm.col) +
INDEX(_xlpm.rango,$BA$4-1,_xlpm.col) +
INDEX(_xlpm.rango,$BA$4, _xlpm.col)
)</f>
        <v/>
      </c>
      <c r="AB77" s="95">
        <f t="array" ref="AB77">_xlfn.LET(
_xlpm.rango, INDIRECT("E!$C$" &amp; $BA$8 &amp; ":$DR$" &amp; $BA$9),
_xlpm.col, AB$72+$D76*10,
INDEX(_xlpm.rango,$BA$4-3,_xlpm.col) +
INDEX(_xlpm.rango,$BA$4-2,_xlpm.col) +
INDEX(_xlpm.rango,$BA$4-1,_xlpm.col) +
INDEX(_xlpm.rango,$BA$4, _xlpm.col)
)</f>
        <v/>
      </c>
      <c r="AC77" s="95">
        <f t="array" ref="AC77">_xlfn.LET(
_xlpm.rango, INDIRECT("E!$C$" &amp; $BA$8 &amp; ":$DR$" &amp; $BA$9),
_xlpm.col, AC$72+$D76*10,
INDEX(_xlpm.rango,$BA$4-3,_xlpm.col) +
INDEX(_xlpm.rango,$BA$4-2,_xlpm.col) +
INDEX(_xlpm.rango,$BA$4-1,_xlpm.col) +
INDEX(_xlpm.rango,$BA$4, _xlpm.col)
)</f>
        <v/>
      </c>
      <c r="AD77" s="95">
        <f t="array" ref="AD77">_xlfn.LET(
_xlpm.rango, INDIRECT("E!$C$" &amp; $BA$8 &amp; ":$DR$" &amp; $BA$9),
_xlpm.col, AD$72+$D76*10,
INDEX(_xlpm.rango,$BA$4-3,_xlpm.col) +
INDEX(_xlpm.rango,$BA$4-2,_xlpm.col) +
INDEX(_xlpm.rango,$BA$4-1,_xlpm.col) +
INDEX(_xlpm.rango,$BA$4, _xlpm.col)
)</f>
        <v/>
      </c>
      <c r="AE77" s="95">
        <f t="array" ref="AE77">_xlfn.LET(
_xlpm.rango, INDIRECT("E!$C$" &amp; $BA$8 &amp; ":$DR$" &amp; $BA$9),
_xlpm.col, AE$72+$D76*10,
INDEX(_xlpm.rango,$BA$4-3,_xlpm.col) +
INDEX(_xlpm.rango,$BA$4-2,_xlpm.col) +
INDEX(_xlpm.rango,$BA$4-1,_xlpm.col) +
INDEX(_xlpm.rango,$BA$4, _xlpm.col)
)</f>
        <v/>
      </c>
      <c r="AF77" s="95">
        <f t="array" ref="AF77">_xlfn.LET(
_xlpm.rango, INDIRECT("E!$C$" &amp; $BA$8 &amp; ":$DR$" &amp; $BA$9),
_xlpm.col, AF$72+$D76*10,
INDEX(_xlpm.rango,$BA$4-3,_xlpm.col) +
INDEX(_xlpm.rango,$BA$4-2,_xlpm.col) +
INDEX(_xlpm.rango,$BA$4-1,_xlpm.col) +
INDEX(_xlpm.rango,$BA$4, _xlpm.col)
)</f>
        <v/>
      </c>
      <c r="AG77" s="95">
        <f t="array" ref="AG77">_xlfn.LET(
_xlpm.rango, INDIRECT("E!$C$" &amp; $BA$8 &amp; ":$DR$" &amp; $BA$9),
_xlpm.col, AG$72+$D76*10,
INDEX(_xlpm.rango,$BA$4-3,_xlpm.col) +
INDEX(_xlpm.rango,$BA$4-2,_xlpm.col) +
INDEX(_xlpm.rango,$BA$4-1,_xlpm.col) +
INDEX(_xlpm.rango,$BA$4, _xlpm.col)
)</f>
        <v/>
      </c>
      <c r="AH77" s="95">
        <f t="array" ref="AH77">_xlfn.LET(
_xlpm.rango, INDIRECT("E!$C$" &amp; $BA$8 &amp; ":$DR$" &amp; $BA$9),
_xlpm.col, AH$72+$D76*10,
INDEX(_xlpm.rango,$BA$4-3,_xlpm.col) +
INDEX(_xlpm.rango,$BA$4-2,_xlpm.col) +
INDEX(_xlpm.rango,$BA$4-1,_xlpm.col) +
INDEX(_xlpm.rango,$BA$4, _xlpm.col)
)</f>
        <v/>
      </c>
      <c r="AI77" s="96">
        <f t="array" ref="AI77">_xlfn.LET(
_xlpm.rango, INDIRECT("E!$C$" &amp; $BA$8 &amp; ":$DR$" &amp; $BA$9),
_xlpm.col, AI$72+$D76*10,
INDEX(_xlpm.rango,$BA$4-3,_xlpm.col) +
INDEX(_xlpm.rango,$BA$4-2,_xlpm.col) +
INDEX(_xlpm.rango,$BA$4-1,_xlpm.col) +
INDEX(_xlpm.rango,$BA$4, _xlpm.col)
)</f>
        <v/>
      </c>
      <c r="AJ77" s="95">
        <f t="array" ref="AJ77">_xlfn.LET(
_xlpm.rango, INDIRECT("E!$C$" &amp; $BA$8 &amp; ":$DR$" &amp; $BA$9),
_xlpm.col, AJ$72+$D76*10,
INDEX(_xlpm.rango,$BA$4-3,_xlpm.col) +
INDEX(_xlpm.rango,$BA$4-2,_xlpm.col) +
INDEX(_xlpm.rango,$BA$4-1,_xlpm.col) +
INDEX(_xlpm.rango,$BA$4, _xlpm.col)
)</f>
        <v/>
      </c>
      <c r="AK77" s="95">
        <f t="array" ref="AK77">_xlfn.LET(
_xlpm.rango, INDIRECT("E!$C$" &amp; $BA$8 &amp; ":$DR$" &amp; $BA$9),
_xlpm.col, AK$72+$D76*10,
INDEX(_xlpm.rango,$BA$4-3,_xlpm.col) +
INDEX(_xlpm.rango,$BA$4-2,_xlpm.col) +
INDEX(_xlpm.rango,$BA$4-1,_xlpm.col) +
INDEX(_xlpm.rango,$BA$4, _xlpm.col)
)</f>
        <v/>
      </c>
      <c r="AL77" s="95">
        <f t="array" ref="AL77">_xlfn.LET(
_xlpm.rango, INDIRECT("E!$C$" &amp; $BA$8 &amp; ":$DR$" &amp; $BA$9),
_xlpm.col, AL$72+$D76*10,
INDEX(_xlpm.rango,$BA$4-3,_xlpm.col) +
INDEX(_xlpm.rango,$BA$4-2,_xlpm.col) +
INDEX(_xlpm.rango,$BA$4-1,_xlpm.col) +
INDEX(_xlpm.rango,$BA$4, _xlpm.col)
)</f>
        <v/>
      </c>
      <c r="AM77" s="95">
        <f t="array" ref="AM77">_xlfn.LET(
_xlpm.rango, INDIRECT("E!$C$" &amp; $BA$8 &amp; ":$DR$" &amp; $BA$9),
_xlpm.col, AM$72+$D76*10,
INDEX(_xlpm.rango,$BA$4-3,_xlpm.col) +
INDEX(_xlpm.rango,$BA$4-2,_xlpm.col) +
INDEX(_xlpm.rango,$BA$4-1,_xlpm.col) +
INDEX(_xlpm.rango,$BA$4, _xlpm.col)
)</f>
        <v/>
      </c>
      <c r="AN77" s="95">
        <f t="array" ref="AN77">_xlfn.LET(
_xlpm.rango, INDIRECT("E!$C$" &amp; $BA$8 &amp; ":$DR$" &amp; $BA$9),
_xlpm.col, AN$72+$D76*10,
INDEX(_xlpm.rango,$BA$4-3,_xlpm.col) +
INDEX(_xlpm.rango,$BA$4-2,_xlpm.col) +
INDEX(_xlpm.rango,$BA$4-1,_xlpm.col) +
INDEX(_xlpm.rango,$BA$4, _xlpm.col)
)</f>
        <v/>
      </c>
      <c r="AO77" s="95">
        <f t="array" ref="AO77">_xlfn.LET(
_xlpm.rango, INDIRECT("E!$C$" &amp; $BA$8 &amp; ":$DR$" &amp; $BA$9),
_xlpm.col, AO$72+$D76*10,
INDEX(_xlpm.rango,$BA$4-3,_xlpm.col) +
INDEX(_xlpm.rango,$BA$4-2,_xlpm.col) +
INDEX(_xlpm.rango,$BA$4-1,_xlpm.col) +
INDEX(_xlpm.rango,$BA$4, _xlpm.col)
)</f>
        <v/>
      </c>
      <c r="AP77" s="95">
        <f t="array" ref="AP77">_xlfn.LET(
_xlpm.rango, INDIRECT("E!$C$" &amp; $BA$8 &amp; ":$DR$" &amp; $BA$9),
_xlpm.col, AP$72+$D76*10,
INDEX(_xlpm.rango,$BA$4-3,_xlpm.col) +
INDEX(_xlpm.rango,$BA$4-2,_xlpm.col) +
INDEX(_xlpm.rango,$BA$4-1,_xlpm.col) +
INDEX(_xlpm.rango,$BA$4, _xlpm.col)
)</f>
        <v/>
      </c>
      <c r="AQ77" s="95">
        <f t="array" ref="AQ77">_xlfn.LET(
_xlpm.rango, INDIRECT("E!$C$" &amp; $BA$8 &amp; ":$DR$" &amp; $BA$9),
_xlpm.col, AQ$72+$D76*10,
INDEX(_xlpm.rango,$BA$4-3,_xlpm.col) +
INDEX(_xlpm.rango,$BA$4-2,_xlpm.col) +
INDEX(_xlpm.rango,$BA$4-1,_xlpm.col) +
INDEX(_xlpm.rango,$BA$4, _xlpm.col)
)</f>
        <v/>
      </c>
      <c r="AR77" s="95">
        <f t="array" ref="AR77">_xlfn.LET(
_xlpm.rango, INDIRECT("E!$C$" &amp; $BA$8 &amp; ":$DR$" &amp; $BA$9),
_xlpm.col, AR$72+$D76*10,
INDEX(_xlpm.rango,$BA$4-3,_xlpm.col) +
INDEX(_xlpm.rango,$BA$4-2,_xlpm.col) +
INDEX(_xlpm.rango,$BA$4-1,_xlpm.col) +
INDEX(_xlpm.rango,$BA$4, _xlpm.col)
)</f>
        <v/>
      </c>
      <c r="AS77" s="112">
        <f t="array" ref="AS77">_xlfn.LET(
_xlpm.rango, INDIRECT("E!$C$" &amp; $BA$8 &amp; ":$DR$" &amp; $BA$9),
_xlpm.col, AS$72+$D76*10,
INDEX(_xlpm.rango,$BA$4-3,_xlpm.col) +
INDEX(_xlpm.rango,$BA$4-2,_xlpm.col) +
INDEX(_xlpm.rango,$BA$4-1,_xlpm.col) +
INDEX(_xlpm.rango,$BA$4, _xlpm.col)
)</f>
        <v/>
      </c>
      <c r="AT77" s="118">
        <f>SUM(F77:AS77)</f>
        <v/>
      </c>
      <c r="AU77" s="120">
        <f>AT77/$AT$88</f>
        <v/>
      </c>
    </row>
    <row r="78">
      <c r="D78" t="n">
        <v>3</v>
      </c>
      <c r="E78" s="106">
        <f>Inicio!V6</f>
        <v/>
      </c>
      <c r="F78" s="100">
        <f t="array" ref="F78">_xlfn.LET(
_xlpm.rango, INDIRECT("N!$C$" &amp; $BA$8 &amp; ":$DR$" &amp; $BA$9),
_xlpm.col, F$72+$D77*10,
INDEX(_xlpm.rango,$BA$4-3,_xlpm.col) +
INDEX(_xlpm.rango,$BA$4-2,_xlpm.col) +
INDEX(_xlpm.rango,$BA$4-1,_xlpm.col) +
INDEX(_xlpm.rango,$BA$4, _xlpm.col)
)</f>
        <v/>
      </c>
      <c r="G78" s="95">
        <f t="array" ref="G78">_xlfn.LET(
_xlpm.rango, INDIRECT("N!$C$" &amp; $BA$8 &amp; ":$DR$" &amp; $BA$9),
_xlpm.col, G$72+$D77*10,
INDEX(_xlpm.rango,$BA$4-3,_xlpm.col) +
INDEX(_xlpm.rango,$BA$4-2,_xlpm.col) +
INDEX(_xlpm.rango,$BA$4-1,_xlpm.col) +
INDEX(_xlpm.rango,$BA$4, _xlpm.col)
)</f>
        <v/>
      </c>
      <c r="H78" s="95">
        <f t="array" ref="H78">_xlfn.LET(
_xlpm.rango, INDIRECT("N!$C$" &amp; $BA$8 &amp; ":$DR$" &amp; $BA$9),
_xlpm.col, H$72+$D77*10,
INDEX(_xlpm.rango,$BA$4-3,_xlpm.col) +
INDEX(_xlpm.rango,$BA$4-2,_xlpm.col) +
INDEX(_xlpm.rango,$BA$4-1,_xlpm.col) +
INDEX(_xlpm.rango,$BA$4, _xlpm.col)
)</f>
        <v/>
      </c>
      <c r="I78" s="95">
        <f t="array" ref="I78">_xlfn.LET(
_xlpm.rango, INDIRECT("N!$C$" &amp; $BA$8 &amp; ":$DR$" &amp; $BA$9),
_xlpm.col, I$72+$D77*10,
INDEX(_xlpm.rango,$BA$4-3,_xlpm.col) +
INDEX(_xlpm.rango,$BA$4-2,_xlpm.col) +
INDEX(_xlpm.rango,$BA$4-1,_xlpm.col) +
INDEX(_xlpm.rango,$BA$4, _xlpm.col)
)</f>
        <v/>
      </c>
      <c r="J78" s="95">
        <f t="array" ref="J78">_xlfn.LET(
_xlpm.rango, INDIRECT("N!$C$" &amp; $BA$8 &amp; ":$DR$" &amp; $BA$9),
_xlpm.col, J$72+$D77*10,
INDEX(_xlpm.rango,$BA$4-3,_xlpm.col) +
INDEX(_xlpm.rango,$BA$4-2,_xlpm.col) +
INDEX(_xlpm.rango,$BA$4-1,_xlpm.col) +
INDEX(_xlpm.rango,$BA$4, _xlpm.col)
)</f>
        <v/>
      </c>
      <c r="K78" s="95">
        <f t="array" ref="K78">_xlfn.LET(
_xlpm.rango, INDIRECT("N!$C$" &amp; $BA$8 &amp; ":$DR$" &amp; $BA$9),
_xlpm.col, K$72+$D77*10,
INDEX(_xlpm.rango,$BA$4-3,_xlpm.col) +
INDEX(_xlpm.rango,$BA$4-2,_xlpm.col) +
INDEX(_xlpm.rango,$BA$4-1,_xlpm.col) +
INDEX(_xlpm.rango,$BA$4, _xlpm.col)
)</f>
        <v/>
      </c>
      <c r="L78" s="95">
        <f t="array" ref="L78">_xlfn.LET(
_xlpm.rango, INDIRECT("N!$C$" &amp; $BA$8 &amp; ":$DR$" &amp; $BA$9),
_xlpm.col, L$72+$D77*10,
INDEX(_xlpm.rango,$BA$4-3,_xlpm.col) +
INDEX(_xlpm.rango,$BA$4-2,_xlpm.col) +
INDEX(_xlpm.rango,$BA$4-1,_xlpm.col) +
INDEX(_xlpm.rango,$BA$4, _xlpm.col)
)</f>
        <v/>
      </c>
      <c r="M78" s="95">
        <f t="array" ref="M78">_xlfn.LET(
_xlpm.rango, INDIRECT("N!$C$" &amp; $BA$8 &amp; ":$DR$" &amp; $BA$9),
_xlpm.col, M$72+$D77*10,
INDEX(_xlpm.rango,$BA$4-3,_xlpm.col) +
INDEX(_xlpm.rango,$BA$4-2,_xlpm.col) +
INDEX(_xlpm.rango,$BA$4-1,_xlpm.col) +
INDEX(_xlpm.rango,$BA$4, _xlpm.col)
)</f>
        <v/>
      </c>
      <c r="N78" s="95">
        <f t="array" ref="N78">_xlfn.LET(
_xlpm.rango, INDIRECT("N!$C$" &amp; $BA$8 &amp; ":$DR$" &amp; $BA$9),
_xlpm.col, N$72+$D77*10,
INDEX(_xlpm.rango,$BA$4-3,_xlpm.col) +
INDEX(_xlpm.rango,$BA$4-2,_xlpm.col) +
INDEX(_xlpm.rango,$BA$4-1,_xlpm.col) +
INDEX(_xlpm.rango,$BA$4, _xlpm.col)
)</f>
        <v/>
      </c>
      <c r="O78" s="96">
        <f t="array" ref="O78">_xlfn.LET(
_xlpm.rango, INDIRECT("N!$C$" &amp; $BA$8 &amp; ":$DR$" &amp; $BA$9),
_xlpm.col, O$72+$D77*10,
INDEX(_xlpm.rango,$BA$4-3,_xlpm.col) +
INDEX(_xlpm.rango,$BA$4-2,_xlpm.col) +
INDEX(_xlpm.rango,$BA$4-1,_xlpm.col) +
INDEX(_xlpm.rango,$BA$4, _xlpm.col)
)</f>
        <v/>
      </c>
      <c r="P78" s="95">
        <f t="array" ref="P78">_xlfn.LET(
_xlpm.rango, INDIRECT("S!$C$" &amp; $BA$8 &amp; ":$DR$" &amp; $BA$9),
_xlpm.col, P$72+$D77*10,
INDEX(_xlpm.rango,$BA$4-3,_xlpm.col) +
INDEX(_xlpm.rango,$BA$4-2,_xlpm.col) +
INDEX(_xlpm.rango,$BA$4-1,_xlpm.col) +
INDEX(_xlpm.rango,$BA$4, _xlpm.col)
)</f>
        <v/>
      </c>
      <c r="Q78" s="95">
        <f t="array" ref="Q78">_xlfn.LET(
_xlpm.rango, INDIRECT("S!$C$" &amp; $BA$8 &amp; ":$DR$" &amp; $BA$9),
_xlpm.col, Q$72+$D77*10,
INDEX(_xlpm.rango,$BA$4-3,_xlpm.col) +
INDEX(_xlpm.rango,$BA$4-2,_xlpm.col) +
INDEX(_xlpm.rango,$BA$4-1,_xlpm.col) +
INDEX(_xlpm.rango,$BA$4, _xlpm.col)
)</f>
        <v/>
      </c>
      <c r="R78" s="95">
        <f t="array" ref="R78">_xlfn.LET(
_xlpm.rango, INDIRECT("S!$C$" &amp; $BA$8 &amp; ":$DR$" &amp; $BA$9),
_xlpm.col, R$72+$D77*10,
INDEX(_xlpm.rango,$BA$4-3,_xlpm.col) +
INDEX(_xlpm.rango,$BA$4-2,_xlpm.col) +
INDEX(_xlpm.rango,$BA$4-1,_xlpm.col) +
INDEX(_xlpm.rango,$BA$4, _xlpm.col)
)</f>
        <v/>
      </c>
      <c r="S78" s="95">
        <f t="array" ref="S78">_xlfn.LET(
_xlpm.rango, INDIRECT("S!$C$" &amp; $BA$8 &amp; ":$DR$" &amp; $BA$9),
_xlpm.col, S$72+$D77*10,
INDEX(_xlpm.rango,$BA$4-3,_xlpm.col) +
INDEX(_xlpm.rango,$BA$4-2,_xlpm.col) +
INDEX(_xlpm.rango,$BA$4-1,_xlpm.col) +
INDEX(_xlpm.rango,$BA$4, _xlpm.col)
)</f>
        <v/>
      </c>
      <c r="T78" s="95">
        <f t="array" ref="T78">_xlfn.LET(
_xlpm.rango, INDIRECT("S!$C$" &amp; $BA$8 &amp; ":$DR$" &amp; $BA$9),
_xlpm.col, T$72+$D77*10,
INDEX(_xlpm.rango,$BA$4-3,_xlpm.col) +
INDEX(_xlpm.rango,$BA$4-2,_xlpm.col) +
INDEX(_xlpm.rango,$BA$4-1,_xlpm.col) +
INDEX(_xlpm.rango,$BA$4, _xlpm.col)
)</f>
        <v/>
      </c>
      <c r="U78" s="95">
        <f t="array" ref="U78">_xlfn.LET(
_xlpm.rango, INDIRECT("S!$C$" &amp; $BA$8 &amp; ":$DR$" &amp; $BA$9),
_xlpm.col, U$72+$D77*10,
INDEX(_xlpm.rango,$BA$4-3,_xlpm.col) +
INDEX(_xlpm.rango,$BA$4-2,_xlpm.col) +
INDEX(_xlpm.rango,$BA$4-1,_xlpm.col) +
INDEX(_xlpm.rango,$BA$4, _xlpm.col)
)</f>
        <v/>
      </c>
      <c r="V78" s="95">
        <f t="array" ref="V78">_xlfn.LET(
_xlpm.rango, INDIRECT("S!$C$" &amp; $BA$8 &amp; ":$DR$" &amp; $BA$9),
_xlpm.col, V$72+$D77*10,
INDEX(_xlpm.rango,$BA$4-3,_xlpm.col) +
INDEX(_xlpm.rango,$BA$4-2,_xlpm.col) +
INDEX(_xlpm.rango,$BA$4-1,_xlpm.col) +
INDEX(_xlpm.rango,$BA$4, _xlpm.col)
)</f>
        <v/>
      </c>
      <c r="W78" s="95">
        <f t="array" ref="W78">_xlfn.LET(
_xlpm.rango, INDIRECT("S!$C$" &amp; $BA$8 &amp; ":$DR$" &amp; $BA$9),
_xlpm.col, W$72+$D77*10,
INDEX(_xlpm.rango,$BA$4-3,_xlpm.col) +
INDEX(_xlpm.rango,$BA$4-2,_xlpm.col) +
INDEX(_xlpm.rango,$BA$4-1,_xlpm.col) +
INDEX(_xlpm.rango,$BA$4, _xlpm.col)
)</f>
        <v/>
      </c>
      <c r="X78" s="95">
        <f t="array" ref="X78">_xlfn.LET(
_xlpm.rango, INDIRECT("S!$C$" &amp; $BA$8 &amp; ":$DR$" &amp; $BA$9),
_xlpm.col, X$72+$D77*10,
INDEX(_xlpm.rango,$BA$4-3,_xlpm.col) +
INDEX(_xlpm.rango,$BA$4-2,_xlpm.col) +
INDEX(_xlpm.rango,$BA$4-1,_xlpm.col) +
INDEX(_xlpm.rango,$BA$4, _xlpm.col)
)</f>
        <v/>
      </c>
      <c r="Y78" s="95">
        <f t="array" ref="Y78">_xlfn.LET(
_xlpm.rango, INDIRECT("S!$C$" &amp; $BA$8 &amp; ":$DR$" &amp; $BA$9),
_xlpm.col, Y$72+$D77*10,
INDEX(_xlpm.rango,$BA$4-3,_xlpm.col) +
INDEX(_xlpm.rango,$BA$4-2,_xlpm.col) +
INDEX(_xlpm.rango,$BA$4-1,_xlpm.col) +
INDEX(_xlpm.rango,$BA$4, _xlpm.col)
)</f>
        <v/>
      </c>
      <c r="Z78" s="100">
        <f t="array" ref="Z78">_xlfn.LET(
_xlpm.rango, INDIRECT("E!$C$" &amp; $BA$8 &amp; ":$DR$" &amp; $BA$9),
_xlpm.col, Z$72+$D77*10,
INDEX(_xlpm.rango,$BA$4-3,_xlpm.col) +
INDEX(_xlpm.rango,$BA$4-2,_xlpm.col) +
INDEX(_xlpm.rango,$BA$4-1,_xlpm.col) +
INDEX(_xlpm.rango,$BA$4, _xlpm.col)
)</f>
        <v/>
      </c>
      <c r="AA78" s="95">
        <f t="array" ref="AA78">_xlfn.LET(
_xlpm.rango, INDIRECT("E!$C$" &amp; $BA$8 &amp; ":$DR$" &amp; $BA$9),
_xlpm.col, AA$72+$D77*10,
INDEX(_xlpm.rango,$BA$4-3,_xlpm.col) +
INDEX(_xlpm.rango,$BA$4-2,_xlpm.col) +
INDEX(_xlpm.rango,$BA$4-1,_xlpm.col) +
INDEX(_xlpm.rango,$BA$4, _xlpm.col)
)</f>
        <v/>
      </c>
      <c r="AB78" s="95">
        <f t="array" ref="AB78">_xlfn.LET(
_xlpm.rango, INDIRECT("E!$C$" &amp; $BA$8 &amp; ":$DR$" &amp; $BA$9),
_xlpm.col, AB$72+$D77*10,
INDEX(_xlpm.rango,$BA$4-3,_xlpm.col) +
INDEX(_xlpm.rango,$BA$4-2,_xlpm.col) +
INDEX(_xlpm.rango,$BA$4-1,_xlpm.col) +
INDEX(_xlpm.rango,$BA$4, _xlpm.col)
)</f>
        <v/>
      </c>
      <c r="AC78" s="95">
        <f t="array" ref="AC78">_xlfn.LET(
_xlpm.rango, INDIRECT("E!$C$" &amp; $BA$8 &amp; ":$DR$" &amp; $BA$9),
_xlpm.col, AC$72+$D77*10,
INDEX(_xlpm.rango,$BA$4-3,_xlpm.col) +
INDEX(_xlpm.rango,$BA$4-2,_xlpm.col) +
INDEX(_xlpm.rango,$BA$4-1,_xlpm.col) +
INDEX(_xlpm.rango,$BA$4, _xlpm.col)
)</f>
        <v/>
      </c>
      <c r="AD78" s="95">
        <f t="array" ref="AD78">_xlfn.LET(
_xlpm.rango, INDIRECT("E!$C$" &amp; $BA$8 &amp; ":$DR$" &amp; $BA$9),
_xlpm.col, AD$72+$D77*10,
INDEX(_xlpm.rango,$BA$4-3,_xlpm.col) +
INDEX(_xlpm.rango,$BA$4-2,_xlpm.col) +
INDEX(_xlpm.rango,$BA$4-1,_xlpm.col) +
INDEX(_xlpm.rango,$BA$4, _xlpm.col)
)</f>
        <v/>
      </c>
      <c r="AE78" s="95">
        <f t="array" ref="AE78">_xlfn.LET(
_xlpm.rango, INDIRECT("E!$C$" &amp; $BA$8 &amp; ":$DR$" &amp; $BA$9),
_xlpm.col, AE$72+$D77*10,
INDEX(_xlpm.rango,$BA$4-3,_xlpm.col) +
INDEX(_xlpm.rango,$BA$4-2,_xlpm.col) +
INDEX(_xlpm.rango,$BA$4-1,_xlpm.col) +
INDEX(_xlpm.rango,$BA$4, _xlpm.col)
)</f>
        <v/>
      </c>
      <c r="AF78" s="95">
        <f t="array" ref="AF78">_xlfn.LET(
_xlpm.rango, INDIRECT("E!$C$" &amp; $BA$8 &amp; ":$DR$" &amp; $BA$9),
_xlpm.col, AF$72+$D77*10,
INDEX(_xlpm.rango,$BA$4-3,_xlpm.col) +
INDEX(_xlpm.rango,$BA$4-2,_xlpm.col) +
INDEX(_xlpm.rango,$BA$4-1,_xlpm.col) +
INDEX(_xlpm.rango,$BA$4, _xlpm.col)
)</f>
        <v/>
      </c>
      <c r="AG78" s="95">
        <f t="array" ref="AG78">_xlfn.LET(
_xlpm.rango, INDIRECT("E!$C$" &amp; $BA$8 &amp; ":$DR$" &amp; $BA$9),
_xlpm.col, AG$72+$D77*10,
INDEX(_xlpm.rango,$BA$4-3,_xlpm.col) +
INDEX(_xlpm.rango,$BA$4-2,_xlpm.col) +
INDEX(_xlpm.rango,$BA$4-1,_xlpm.col) +
INDEX(_xlpm.rango,$BA$4, _xlpm.col)
)</f>
        <v/>
      </c>
      <c r="AH78" s="95">
        <f t="array" ref="AH78">_xlfn.LET(
_xlpm.rango, INDIRECT("E!$C$" &amp; $BA$8 &amp; ":$DR$" &amp; $BA$9),
_xlpm.col, AH$72+$D77*10,
INDEX(_xlpm.rango,$BA$4-3,_xlpm.col) +
INDEX(_xlpm.rango,$BA$4-2,_xlpm.col) +
INDEX(_xlpm.rango,$BA$4-1,_xlpm.col) +
INDEX(_xlpm.rango,$BA$4, _xlpm.col)
)</f>
        <v/>
      </c>
      <c r="AI78" s="96">
        <f t="array" ref="AI78">_xlfn.LET(
_xlpm.rango, INDIRECT("E!$C$" &amp; $BA$8 &amp; ":$DR$" &amp; $BA$9),
_xlpm.col, AI$72+$D77*10,
INDEX(_xlpm.rango,$BA$4-3,_xlpm.col) +
INDEX(_xlpm.rango,$BA$4-2,_xlpm.col) +
INDEX(_xlpm.rango,$BA$4-1,_xlpm.col) +
INDEX(_xlpm.rango,$BA$4, _xlpm.col)
)</f>
        <v/>
      </c>
      <c r="AJ78" s="95">
        <f t="array" ref="AJ78">_xlfn.LET(
_xlpm.rango, INDIRECT("E!$C$" &amp; $BA$8 &amp; ":$DR$" &amp; $BA$9),
_xlpm.col, AJ$72+$D77*10,
INDEX(_xlpm.rango,$BA$4-3,_xlpm.col) +
INDEX(_xlpm.rango,$BA$4-2,_xlpm.col) +
INDEX(_xlpm.rango,$BA$4-1,_xlpm.col) +
INDEX(_xlpm.rango,$BA$4, _xlpm.col)
)</f>
        <v/>
      </c>
      <c r="AK78" s="95">
        <f t="array" ref="AK78">_xlfn.LET(
_xlpm.rango, INDIRECT("E!$C$" &amp; $BA$8 &amp; ":$DR$" &amp; $BA$9),
_xlpm.col, AK$72+$D77*10,
INDEX(_xlpm.rango,$BA$4-3,_xlpm.col) +
INDEX(_xlpm.rango,$BA$4-2,_xlpm.col) +
INDEX(_xlpm.rango,$BA$4-1,_xlpm.col) +
INDEX(_xlpm.rango,$BA$4, _xlpm.col)
)</f>
        <v/>
      </c>
      <c r="AL78" s="95">
        <f t="array" ref="AL78">_xlfn.LET(
_xlpm.rango, INDIRECT("E!$C$" &amp; $BA$8 &amp; ":$DR$" &amp; $BA$9),
_xlpm.col, AL$72+$D77*10,
INDEX(_xlpm.rango,$BA$4-3,_xlpm.col) +
INDEX(_xlpm.rango,$BA$4-2,_xlpm.col) +
INDEX(_xlpm.rango,$BA$4-1,_xlpm.col) +
INDEX(_xlpm.rango,$BA$4, _xlpm.col)
)</f>
        <v/>
      </c>
      <c r="AM78" s="95">
        <f t="array" ref="AM78">_xlfn.LET(
_xlpm.rango, INDIRECT("E!$C$" &amp; $BA$8 &amp; ":$DR$" &amp; $BA$9),
_xlpm.col, AM$72+$D77*10,
INDEX(_xlpm.rango,$BA$4-3,_xlpm.col) +
INDEX(_xlpm.rango,$BA$4-2,_xlpm.col) +
INDEX(_xlpm.rango,$BA$4-1,_xlpm.col) +
INDEX(_xlpm.rango,$BA$4, _xlpm.col)
)</f>
        <v/>
      </c>
      <c r="AN78" s="95">
        <f t="array" ref="AN78">_xlfn.LET(
_xlpm.rango, INDIRECT("E!$C$" &amp; $BA$8 &amp; ":$DR$" &amp; $BA$9),
_xlpm.col, AN$72+$D77*10,
INDEX(_xlpm.rango,$BA$4-3,_xlpm.col) +
INDEX(_xlpm.rango,$BA$4-2,_xlpm.col) +
INDEX(_xlpm.rango,$BA$4-1,_xlpm.col) +
INDEX(_xlpm.rango,$BA$4, _xlpm.col)
)</f>
        <v/>
      </c>
      <c r="AO78" s="95">
        <f t="array" ref="AO78">_xlfn.LET(
_xlpm.rango, INDIRECT("E!$C$" &amp; $BA$8 &amp; ":$DR$" &amp; $BA$9),
_xlpm.col, AO$72+$D77*10,
INDEX(_xlpm.rango,$BA$4-3,_xlpm.col) +
INDEX(_xlpm.rango,$BA$4-2,_xlpm.col) +
INDEX(_xlpm.rango,$BA$4-1,_xlpm.col) +
INDEX(_xlpm.rango,$BA$4, _xlpm.col)
)</f>
        <v/>
      </c>
      <c r="AP78" s="95">
        <f t="array" ref="AP78">_xlfn.LET(
_xlpm.rango, INDIRECT("E!$C$" &amp; $BA$8 &amp; ":$DR$" &amp; $BA$9),
_xlpm.col, AP$72+$D77*10,
INDEX(_xlpm.rango,$BA$4-3,_xlpm.col) +
INDEX(_xlpm.rango,$BA$4-2,_xlpm.col) +
INDEX(_xlpm.rango,$BA$4-1,_xlpm.col) +
INDEX(_xlpm.rango,$BA$4, _xlpm.col)
)</f>
        <v/>
      </c>
      <c r="AQ78" s="95">
        <f t="array" ref="AQ78">_xlfn.LET(
_xlpm.rango, INDIRECT("E!$C$" &amp; $BA$8 &amp; ":$DR$" &amp; $BA$9),
_xlpm.col, AQ$72+$D77*10,
INDEX(_xlpm.rango,$BA$4-3,_xlpm.col) +
INDEX(_xlpm.rango,$BA$4-2,_xlpm.col) +
INDEX(_xlpm.rango,$BA$4-1,_xlpm.col) +
INDEX(_xlpm.rango,$BA$4, _xlpm.col)
)</f>
        <v/>
      </c>
      <c r="AR78" s="95">
        <f t="array" ref="AR78">_xlfn.LET(
_xlpm.rango, INDIRECT("E!$C$" &amp; $BA$8 &amp; ":$DR$" &amp; $BA$9),
_xlpm.col, AR$72+$D77*10,
INDEX(_xlpm.rango,$BA$4-3,_xlpm.col) +
INDEX(_xlpm.rango,$BA$4-2,_xlpm.col) +
INDEX(_xlpm.rango,$BA$4-1,_xlpm.col) +
INDEX(_xlpm.rango,$BA$4, _xlpm.col)
)</f>
        <v/>
      </c>
      <c r="AS78" s="112">
        <f t="array" ref="AS78">_xlfn.LET(
_xlpm.rango, INDIRECT("E!$C$" &amp; $BA$8 &amp; ":$DR$" &amp; $BA$9),
_xlpm.col, AS$72+$D77*10,
INDEX(_xlpm.rango,$BA$4-3,_xlpm.col) +
INDEX(_xlpm.rango,$BA$4-2,_xlpm.col) +
INDEX(_xlpm.rango,$BA$4-1,_xlpm.col) +
INDEX(_xlpm.rango,$BA$4, _xlpm.col)
)</f>
        <v/>
      </c>
      <c r="AT78" s="118">
        <f>SUM(F78:AS78)</f>
        <v/>
      </c>
      <c r="AU78" s="120">
        <f>AT78/$AT$88</f>
        <v/>
      </c>
    </row>
    <row r="79">
      <c r="D79" t="n">
        <v>4</v>
      </c>
      <c r="E79" s="106">
        <f>Inicio!V7</f>
        <v/>
      </c>
      <c r="F79" s="100">
        <f t="array" ref="F79">_xlfn.LET(
_xlpm.rango, INDIRECT("N!$C$" &amp; $BA$8 &amp; ":$DR$" &amp; $BA$9),
_xlpm.col, F$72+$D78*10,
INDEX(_xlpm.rango,$BA$4-3,_xlpm.col) +
INDEX(_xlpm.rango,$BA$4-2,_xlpm.col) +
INDEX(_xlpm.rango,$BA$4-1,_xlpm.col) +
INDEX(_xlpm.rango,$BA$4, _xlpm.col)
)</f>
        <v/>
      </c>
      <c r="G79" s="95">
        <f t="array" ref="G79">_xlfn.LET(
_xlpm.rango, INDIRECT("N!$C$" &amp; $BA$8 &amp; ":$DR$" &amp; $BA$9),
_xlpm.col, G$72+$D78*10,
INDEX(_xlpm.rango,$BA$4-3,_xlpm.col) +
INDEX(_xlpm.rango,$BA$4-2,_xlpm.col) +
INDEX(_xlpm.rango,$BA$4-1,_xlpm.col) +
INDEX(_xlpm.rango,$BA$4, _xlpm.col)
)</f>
        <v/>
      </c>
      <c r="H79" s="95">
        <f t="array" ref="H79">_xlfn.LET(
_xlpm.rango, INDIRECT("N!$C$" &amp; $BA$8 &amp; ":$DR$" &amp; $BA$9),
_xlpm.col, H$72+$D78*10,
INDEX(_xlpm.rango,$BA$4-3,_xlpm.col) +
INDEX(_xlpm.rango,$BA$4-2,_xlpm.col) +
INDEX(_xlpm.rango,$BA$4-1,_xlpm.col) +
INDEX(_xlpm.rango,$BA$4, _xlpm.col)
)</f>
        <v/>
      </c>
      <c r="I79" s="95">
        <f t="array" ref="I79">_xlfn.LET(
_xlpm.rango, INDIRECT("N!$C$" &amp; $BA$8 &amp; ":$DR$" &amp; $BA$9),
_xlpm.col, I$72+$D78*10,
INDEX(_xlpm.rango,$BA$4-3,_xlpm.col) +
INDEX(_xlpm.rango,$BA$4-2,_xlpm.col) +
INDEX(_xlpm.rango,$BA$4-1,_xlpm.col) +
INDEX(_xlpm.rango,$BA$4, _xlpm.col)
)</f>
        <v/>
      </c>
      <c r="J79" s="95">
        <f t="array" ref="J79">_xlfn.LET(
_xlpm.rango, INDIRECT("N!$C$" &amp; $BA$8 &amp; ":$DR$" &amp; $BA$9),
_xlpm.col, J$72+$D78*10,
INDEX(_xlpm.rango,$BA$4-3,_xlpm.col) +
INDEX(_xlpm.rango,$BA$4-2,_xlpm.col) +
INDEX(_xlpm.rango,$BA$4-1,_xlpm.col) +
INDEX(_xlpm.rango,$BA$4, _xlpm.col)
)</f>
        <v/>
      </c>
      <c r="K79" s="95">
        <f t="array" ref="K79">_xlfn.LET(
_xlpm.rango, INDIRECT("N!$C$" &amp; $BA$8 &amp; ":$DR$" &amp; $BA$9),
_xlpm.col, K$72+$D78*10,
INDEX(_xlpm.rango,$BA$4-3,_xlpm.col) +
INDEX(_xlpm.rango,$BA$4-2,_xlpm.col) +
INDEX(_xlpm.rango,$BA$4-1,_xlpm.col) +
INDEX(_xlpm.rango,$BA$4, _xlpm.col)
)</f>
        <v/>
      </c>
      <c r="L79" s="95">
        <f t="array" ref="L79">_xlfn.LET(
_xlpm.rango, INDIRECT("N!$C$" &amp; $BA$8 &amp; ":$DR$" &amp; $BA$9),
_xlpm.col, L$72+$D78*10,
INDEX(_xlpm.rango,$BA$4-3,_xlpm.col) +
INDEX(_xlpm.rango,$BA$4-2,_xlpm.col) +
INDEX(_xlpm.rango,$BA$4-1,_xlpm.col) +
INDEX(_xlpm.rango,$BA$4, _xlpm.col)
)</f>
        <v/>
      </c>
      <c r="M79" s="95">
        <f t="array" ref="M79">_xlfn.LET(
_xlpm.rango, INDIRECT("N!$C$" &amp; $BA$8 &amp; ":$DR$" &amp; $BA$9),
_xlpm.col, M$72+$D78*10,
INDEX(_xlpm.rango,$BA$4-3,_xlpm.col) +
INDEX(_xlpm.rango,$BA$4-2,_xlpm.col) +
INDEX(_xlpm.rango,$BA$4-1,_xlpm.col) +
INDEX(_xlpm.rango,$BA$4, _xlpm.col)
)</f>
        <v/>
      </c>
      <c r="N79" s="95">
        <f t="array" ref="N79">_xlfn.LET(
_xlpm.rango, INDIRECT("N!$C$" &amp; $BA$8 &amp; ":$DR$" &amp; $BA$9),
_xlpm.col, N$72+$D78*10,
INDEX(_xlpm.rango,$BA$4-3,_xlpm.col) +
INDEX(_xlpm.rango,$BA$4-2,_xlpm.col) +
INDEX(_xlpm.rango,$BA$4-1,_xlpm.col) +
INDEX(_xlpm.rango,$BA$4, _xlpm.col)
)</f>
        <v/>
      </c>
      <c r="O79" s="96">
        <f t="array" ref="O79">_xlfn.LET(
_xlpm.rango, INDIRECT("N!$C$" &amp; $BA$8 &amp; ":$DR$" &amp; $BA$9),
_xlpm.col, O$72+$D78*10,
INDEX(_xlpm.rango,$BA$4-3,_xlpm.col) +
INDEX(_xlpm.rango,$BA$4-2,_xlpm.col) +
INDEX(_xlpm.rango,$BA$4-1,_xlpm.col) +
INDEX(_xlpm.rango,$BA$4, _xlpm.col)
)</f>
        <v/>
      </c>
      <c r="P79" s="95">
        <f t="array" ref="P79">_xlfn.LET(
_xlpm.rango, INDIRECT("S!$C$" &amp; $BA$8 &amp; ":$DR$" &amp; $BA$9),
_xlpm.col, P$72+$D78*10,
INDEX(_xlpm.rango,$BA$4-3,_xlpm.col) +
INDEX(_xlpm.rango,$BA$4-2,_xlpm.col) +
INDEX(_xlpm.rango,$BA$4-1,_xlpm.col) +
INDEX(_xlpm.rango,$BA$4, _xlpm.col)
)</f>
        <v/>
      </c>
      <c r="Q79" s="95">
        <f t="array" ref="Q79">_xlfn.LET(
_xlpm.rango, INDIRECT("S!$C$" &amp; $BA$8 &amp; ":$DR$" &amp; $BA$9),
_xlpm.col, Q$72+$D78*10,
INDEX(_xlpm.rango,$BA$4-3,_xlpm.col) +
INDEX(_xlpm.rango,$BA$4-2,_xlpm.col) +
INDEX(_xlpm.rango,$BA$4-1,_xlpm.col) +
INDEX(_xlpm.rango,$BA$4, _xlpm.col)
)</f>
        <v/>
      </c>
      <c r="R79" s="95">
        <f t="array" ref="R79">_xlfn.LET(
_xlpm.rango, INDIRECT("S!$C$" &amp; $BA$8 &amp; ":$DR$" &amp; $BA$9),
_xlpm.col, R$72+$D78*10,
INDEX(_xlpm.rango,$BA$4-3,_xlpm.col) +
INDEX(_xlpm.rango,$BA$4-2,_xlpm.col) +
INDEX(_xlpm.rango,$BA$4-1,_xlpm.col) +
INDEX(_xlpm.rango,$BA$4, _xlpm.col)
)</f>
        <v/>
      </c>
      <c r="S79" s="95">
        <f t="array" ref="S79">_xlfn.LET(
_xlpm.rango, INDIRECT("S!$C$" &amp; $BA$8 &amp; ":$DR$" &amp; $BA$9),
_xlpm.col, S$72+$D78*10,
INDEX(_xlpm.rango,$BA$4-3,_xlpm.col) +
INDEX(_xlpm.rango,$BA$4-2,_xlpm.col) +
INDEX(_xlpm.rango,$BA$4-1,_xlpm.col) +
INDEX(_xlpm.rango,$BA$4, _xlpm.col)
)</f>
        <v/>
      </c>
      <c r="T79" s="95">
        <f t="array" ref="T79">_xlfn.LET(
_xlpm.rango, INDIRECT("S!$C$" &amp; $BA$8 &amp; ":$DR$" &amp; $BA$9),
_xlpm.col, T$72+$D78*10,
INDEX(_xlpm.rango,$BA$4-3,_xlpm.col) +
INDEX(_xlpm.rango,$BA$4-2,_xlpm.col) +
INDEX(_xlpm.rango,$BA$4-1,_xlpm.col) +
INDEX(_xlpm.rango,$BA$4, _xlpm.col)
)</f>
        <v/>
      </c>
      <c r="U79" s="95">
        <f t="array" ref="U79">_xlfn.LET(
_xlpm.rango, INDIRECT("S!$C$" &amp; $BA$8 &amp; ":$DR$" &amp; $BA$9),
_xlpm.col, U$72+$D78*10,
INDEX(_xlpm.rango,$BA$4-3,_xlpm.col) +
INDEX(_xlpm.rango,$BA$4-2,_xlpm.col) +
INDEX(_xlpm.rango,$BA$4-1,_xlpm.col) +
INDEX(_xlpm.rango,$BA$4, _xlpm.col)
)</f>
        <v/>
      </c>
      <c r="V79" s="95">
        <f t="array" ref="V79">_xlfn.LET(
_xlpm.rango, INDIRECT("S!$C$" &amp; $BA$8 &amp; ":$DR$" &amp; $BA$9),
_xlpm.col, V$72+$D78*10,
INDEX(_xlpm.rango,$BA$4-3,_xlpm.col) +
INDEX(_xlpm.rango,$BA$4-2,_xlpm.col) +
INDEX(_xlpm.rango,$BA$4-1,_xlpm.col) +
INDEX(_xlpm.rango,$BA$4, _xlpm.col)
)</f>
        <v/>
      </c>
      <c r="W79" s="95">
        <f t="array" ref="W79">_xlfn.LET(
_xlpm.rango, INDIRECT("S!$C$" &amp; $BA$8 &amp; ":$DR$" &amp; $BA$9),
_xlpm.col, W$72+$D78*10,
INDEX(_xlpm.rango,$BA$4-3,_xlpm.col) +
INDEX(_xlpm.rango,$BA$4-2,_xlpm.col) +
INDEX(_xlpm.rango,$BA$4-1,_xlpm.col) +
INDEX(_xlpm.rango,$BA$4, _xlpm.col)
)</f>
        <v/>
      </c>
      <c r="X79" s="95">
        <f t="array" ref="X79">_xlfn.LET(
_xlpm.rango, INDIRECT("S!$C$" &amp; $BA$8 &amp; ":$DR$" &amp; $BA$9),
_xlpm.col, X$72+$D78*10,
INDEX(_xlpm.rango,$BA$4-3,_xlpm.col) +
INDEX(_xlpm.rango,$BA$4-2,_xlpm.col) +
INDEX(_xlpm.rango,$BA$4-1,_xlpm.col) +
INDEX(_xlpm.rango,$BA$4, _xlpm.col)
)</f>
        <v/>
      </c>
      <c r="Y79" s="95">
        <f t="array" ref="Y79">_xlfn.LET(
_xlpm.rango, INDIRECT("S!$C$" &amp; $BA$8 &amp; ":$DR$" &amp; $BA$9),
_xlpm.col, Y$72+$D78*10,
INDEX(_xlpm.rango,$BA$4-3,_xlpm.col) +
INDEX(_xlpm.rango,$BA$4-2,_xlpm.col) +
INDEX(_xlpm.rango,$BA$4-1,_xlpm.col) +
INDEX(_xlpm.rango,$BA$4, _xlpm.col)
)</f>
        <v/>
      </c>
      <c r="Z79" s="100">
        <f t="array" ref="Z79">_xlfn.LET(
_xlpm.rango, INDIRECT("E!$C$" &amp; $BA$8 &amp; ":$DR$" &amp; $BA$9),
_xlpm.col, Z$72+$D78*10,
INDEX(_xlpm.rango,$BA$4-3,_xlpm.col) +
INDEX(_xlpm.rango,$BA$4-2,_xlpm.col) +
INDEX(_xlpm.rango,$BA$4-1,_xlpm.col) +
INDEX(_xlpm.rango,$BA$4, _xlpm.col)
)</f>
        <v/>
      </c>
      <c r="AA79" s="95">
        <f t="array" ref="AA79">_xlfn.LET(
_xlpm.rango, INDIRECT("E!$C$" &amp; $BA$8 &amp; ":$DR$" &amp; $BA$9),
_xlpm.col, AA$72+$D78*10,
INDEX(_xlpm.rango,$BA$4-3,_xlpm.col) +
INDEX(_xlpm.rango,$BA$4-2,_xlpm.col) +
INDEX(_xlpm.rango,$BA$4-1,_xlpm.col) +
INDEX(_xlpm.rango,$BA$4, _xlpm.col)
)</f>
        <v/>
      </c>
      <c r="AB79" s="95">
        <f t="array" ref="AB79">_xlfn.LET(
_xlpm.rango, INDIRECT("E!$C$" &amp; $BA$8 &amp; ":$DR$" &amp; $BA$9),
_xlpm.col, AB$72+$D78*10,
INDEX(_xlpm.rango,$BA$4-3,_xlpm.col) +
INDEX(_xlpm.rango,$BA$4-2,_xlpm.col) +
INDEX(_xlpm.rango,$BA$4-1,_xlpm.col) +
INDEX(_xlpm.rango,$BA$4, _xlpm.col)
)</f>
        <v/>
      </c>
      <c r="AC79" s="95">
        <f t="array" ref="AC79">_xlfn.LET(
_xlpm.rango, INDIRECT("E!$C$" &amp; $BA$8 &amp; ":$DR$" &amp; $BA$9),
_xlpm.col, AC$72+$D78*10,
INDEX(_xlpm.rango,$BA$4-3,_xlpm.col) +
INDEX(_xlpm.rango,$BA$4-2,_xlpm.col) +
INDEX(_xlpm.rango,$BA$4-1,_xlpm.col) +
INDEX(_xlpm.rango,$BA$4, _xlpm.col)
)</f>
        <v/>
      </c>
      <c r="AD79" s="95">
        <f t="array" ref="AD79">_xlfn.LET(
_xlpm.rango, INDIRECT("E!$C$" &amp; $BA$8 &amp; ":$DR$" &amp; $BA$9),
_xlpm.col, AD$72+$D78*10,
INDEX(_xlpm.rango,$BA$4-3,_xlpm.col) +
INDEX(_xlpm.rango,$BA$4-2,_xlpm.col) +
INDEX(_xlpm.rango,$BA$4-1,_xlpm.col) +
INDEX(_xlpm.rango,$BA$4, _xlpm.col)
)</f>
        <v/>
      </c>
      <c r="AE79" s="95">
        <f t="array" ref="AE79">_xlfn.LET(
_xlpm.rango, INDIRECT("E!$C$" &amp; $BA$8 &amp; ":$DR$" &amp; $BA$9),
_xlpm.col, AE$72+$D78*10,
INDEX(_xlpm.rango,$BA$4-3,_xlpm.col) +
INDEX(_xlpm.rango,$BA$4-2,_xlpm.col) +
INDEX(_xlpm.rango,$BA$4-1,_xlpm.col) +
INDEX(_xlpm.rango,$BA$4, _xlpm.col)
)</f>
        <v/>
      </c>
      <c r="AF79" s="95">
        <f t="array" ref="AF79">_xlfn.LET(
_xlpm.rango, INDIRECT("E!$C$" &amp; $BA$8 &amp; ":$DR$" &amp; $BA$9),
_xlpm.col, AF$72+$D78*10,
INDEX(_xlpm.rango,$BA$4-3,_xlpm.col) +
INDEX(_xlpm.rango,$BA$4-2,_xlpm.col) +
INDEX(_xlpm.rango,$BA$4-1,_xlpm.col) +
INDEX(_xlpm.rango,$BA$4, _xlpm.col)
)</f>
        <v/>
      </c>
      <c r="AG79" s="95">
        <f t="array" ref="AG79">_xlfn.LET(
_xlpm.rango, INDIRECT("E!$C$" &amp; $BA$8 &amp; ":$DR$" &amp; $BA$9),
_xlpm.col, AG$72+$D78*10,
INDEX(_xlpm.rango,$BA$4-3,_xlpm.col) +
INDEX(_xlpm.rango,$BA$4-2,_xlpm.col) +
INDEX(_xlpm.rango,$BA$4-1,_xlpm.col) +
INDEX(_xlpm.rango,$BA$4, _xlpm.col)
)</f>
        <v/>
      </c>
      <c r="AH79" s="95">
        <f t="array" ref="AH79">_xlfn.LET(
_xlpm.rango, INDIRECT("E!$C$" &amp; $BA$8 &amp; ":$DR$" &amp; $BA$9),
_xlpm.col, AH$72+$D78*10,
INDEX(_xlpm.rango,$BA$4-3,_xlpm.col) +
INDEX(_xlpm.rango,$BA$4-2,_xlpm.col) +
INDEX(_xlpm.rango,$BA$4-1,_xlpm.col) +
INDEX(_xlpm.rango,$BA$4, _xlpm.col)
)</f>
        <v/>
      </c>
      <c r="AI79" s="96">
        <f t="array" ref="AI79">_xlfn.LET(
_xlpm.rango, INDIRECT("E!$C$" &amp; $BA$8 &amp; ":$DR$" &amp; $BA$9),
_xlpm.col, AI$72+$D78*10,
INDEX(_xlpm.rango,$BA$4-3,_xlpm.col) +
INDEX(_xlpm.rango,$BA$4-2,_xlpm.col) +
INDEX(_xlpm.rango,$BA$4-1,_xlpm.col) +
INDEX(_xlpm.rango,$BA$4, _xlpm.col)
)</f>
        <v/>
      </c>
      <c r="AJ79" s="95">
        <f t="array" ref="AJ79">_xlfn.LET(
_xlpm.rango, INDIRECT("E!$C$" &amp; $BA$8 &amp; ":$DR$" &amp; $BA$9),
_xlpm.col, AJ$72+$D78*10,
INDEX(_xlpm.rango,$BA$4-3,_xlpm.col) +
INDEX(_xlpm.rango,$BA$4-2,_xlpm.col) +
INDEX(_xlpm.rango,$BA$4-1,_xlpm.col) +
INDEX(_xlpm.rango,$BA$4, _xlpm.col)
)</f>
        <v/>
      </c>
      <c r="AK79" s="95">
        <f t="array" ref="AK79">_xlfn.LET(
_xlpm.rango, INDIRECT("E!$C$" &amp; $BA$8 &amp; ":$DR$" &amp; $BA$9),
_xlpm.col, AK$72+$D78*10,
INDEX(_xlpm.rango,$BA$4-3,_xlpm.col) +
INDEX(_xlpm.rango,$BA$4-2,_xlpm.col) +
INDEX(_xlpm.rango,$BA$4-1,_xlpm.col) +
INDEX(_xlpm.rango,$BA$4, _xlpm.col)
)</f>
        <v/>
      </c>
      <c r="AL79" s="95">
        <f t="array" ref="AL79">_xlfn.LET(
_xlpm.rango, INDIRECT("E!$C$" &amp; $BA$8 &amp; ":$DR$" &amp; $BA$9),
_xlpm.col, AL$72+$D78*10,
INDEX(_xlpm.rango,$BA$4-3,_xlpm.col) +
INDEX(_xlpm.rango,$BA$4-2,_xlpm.col) +
INDEX(_xlpm.rango,$BA$4-1,_xlpm.col) +
INDEX(_xlpm.rango,$BA$4, _xlpm.col)
)</f>
        <v/>
      </c>
      <c r="AM79" s="95">
        <f t="array" ref="AM79">_xlfn.LET(
_xlpm.rango, INDIRECT("E!$C$" &amp; $BA$8 &amp; ":$DR$" &amp; $BA$9),
_xlpm.col, AM$72+$D78*10,
INDEX(_xlpm.rango,$BA$4-3,_xlpm.col) +
INDEX(_xlpm.rango,$BA$4-2,_xlpm.col) +
INDEX(_xlpm.rango,$BA$4-1,_xlpm.col) +
INDEX(_xlpm.rango,$BA$4, _xlpm.col)
)</f>
        <v/>
      </c>
      <c r="AN79" s="95">
        <f t="array" ref="AN79">_xlfn.LET(
_xlpm.rango, INDIRECT("E!$C$" &amp; $BA$8 &amp; ":$DR$" &amp; $BA$9),
_xlpm.col, AN$72+$D78*10,
INDEX(_xlpm.rango,$BA$4-3,_xlpm.col) +
INDEX(_xlpm.rango,$BA$4-2,_xlpm.col) +
INDEX(_xlpm.rango,$BA$4-1,_xlpm.col) +
INDEX(_xlpm.rango,$BA$4, _xlpm.col)
)</f>
        <v/>
      </c>
      <c r="AO79" s="95">
        <f t="array" ref="AO79">_xlfn.LET(
_xlpm.rango, INDIRECT("E!$C$" &amp; $BA$8 &amp; ":$DR$" &amp; $BA$9),
_xlpm.col, AO$72+$D78*10,
INDEX(_xlpm.rango,$BA$4-3,_xlpm.col) +
INDEX(_xlpm.rango,$BA$4-2,_xlpm.col) +
INDEX(_xlpm.rango,$BA$4-1,_xlpm.col) +
INDEX(_xlpm.rango,$BA$4, _xlpm.col)
)</f>
        <v/>
      </c>
      <c r="AP79" s="95">
        <f t="array" ref="AP79">_xlfn.LET(
_xlpm.rango, INDIRECT("E!$C$" &amp; $BA$8 &amp; ":$DR$" &amp; $BA$9),
_xlpm.col, AP$72+$D78*10,
INDEX(_xlpm.rango,$BA$4-3,_xlpm.col) +
INDEX(_xlpm.rango,$BA$4-2,_xlpm.col) +
INDEX(_xlpm.rango,$BA$4-1,_xlpm.col) +
INDEX(_xlpm.rango,$BA$4, _xlpm.col)
)</f>
        <v/>
      </c>
      <c r="AQ79" s="95">
        <f t="array" ref="AQ79">_xlfn.LET(
_xlpm.rango, INDIRECT("E!$C$" &amp; $BA$8 &amp; ":$DR$" &amp; $BA$9),
_xlpm.col, AQ$72+$D78*10,
INDEX(_xlpm.rango,$BA$4-3,_xlpm.col) +
INDEX(_xlpm.rango,$BA$4-2,_xlpm.col) +
INDEX(_xlpm.rango,$BA$4-1,_xlpm.col) +
INDEX(_xlpm.rango,$BA$4, _xlpm.col)
)</f>
        <v/>
      </c>
      <c r="AR79" s="95">
        <f t="array" ref="AR79">_xlfn.LET(
_xlpm.rango, INDIRECT("E!$C$" &amp; $BA$8 &amp; ":$DR$" &amp; $BA$9),
_xlpm.col, AR$72+$D78*10,
INDEX(_xlpm.rango,$BA$4-3,_xlpm.col) +
INDEX(_xlpm.rango,$BA$4-2,_xlpm.col) +
INDEX(_xlpm.rango,$BA$4-1,_xlpm.col) +
INDEX(_xlpm.rango,$BA$4, _xlpm.col)
)</f>
        <v/>
      </c>
      <c r="AS79" s="112">
        <f t="array" ref="AS79">_xlfn.LET(
_xlpm.rango, INDIRECT("E!$C$" &amp; $BA$8 &amp; ":$DR$" &amp; $BA$9),
_xlpm.col, AS$72+$D78*10,
INDEX(_xlpm.rango,$BA$4-3,_xlpm.col) +
INDEX(_xlpm.rango,$BA$4-2,_xlpm.col) +
INDEX(_xlpm.rango,$BA$4-1,_xlpm.col) +
INDEX(_xlpm.rango,$BA$4, _xlpm.col)
)</f>
        <v/>
      </c>
      <c r="AT79" s="118">
        <f>SUM(F79:AS79)</f>
        <v/>
      </c>
      <c r="AU79" s="120">
        <f>AT79/$AT$88</f>
        <v/>
      </c>
    </row>
    <row r="80">
      <c r="D80" t="n">
        <v>5</v>
      </c>
      <c r="E80" s="106">
        <f>Inicio!V8</f>
        <v/>
      </c>
      <c r="F80" s="100">
        <f t="array" ref="F80">_xlfn.LET(
_xlpm.rango, INDIRECT("N!$C$" &amp; $BA$8 &amp; ":$DR$" &amp; $BA$9),
_xlpm.col, F$72+$D79*10,
INDEX(_xlpm.rango,$BA$4-3,_xlpm.col) +
INDEX(_xlpm.rango,$BA$4-2,_xlpm.col) +
INDEX(_xlpm.rango,$BA$4-1,_xlpm.col) +
INDEX(_xlpm.rango,$BA$4, _xlpm.col)
)</f>
        <v/>
      </c>
      <c r="G80" s="95">
        <f t="array" ref="G80">_xlfn.LET(
_xlpm.rango, INDIRECT("N!$C$" &amp; $BA$8 &amp; ":$DR$" &amp; $BA$9),
_xlpm.col, G$72+$D79*10,
INDEX(_xlpm.rango,$BA$4-3,_xlpm.col) +
INDEX(_xlpm.rango,$BA$4-2,_xlpm.col) +
INDEX(_xlpm.rango,$BA$4-1,_xlpm.col) +
INDEX(_xlpm.rango,$BA$4, _xlpm.col)
)</f>
        <v/>
      </c>
      <c r="H80" s="95">
        <f t="array" ref="H80">_xlfn.LET(
_xlpm.rango, INDIRECT("N!$C$" &amp; $BA$8 &amp; ":$DR$" &amp; $BA$9),
_xlpm.col, H$72+$D79*10,
INDEX(_xlpm.rango,$BA$4-3,_xlpm.col) +
INDEX(_xlpm.rango,$BA$4-2,_xlpm.col) +
INDEX(_xlpm.rango,$BA$4-1,_xlpm.col) +
INDEX(_xlpm.rango,$BA$4, _xlpm.col)
)</f>
        <v/>
      </c>
      <c r="I80" s="95">
        <f t="array" ref="I80">_xlfn.LET(
_xlpm.rango, INDIRECT("N!$C$" &amp; $BA$8 &amp; ":$DR$" &amp; $BA$9),
_xlpm.col, I$72+$D79*10,
INDEX(_xlpm.rango,$BA$4-3,_xlpm.col) +
INDEX(_xlpm.rango,$BA$4-2,_xlpm.col) +
INDEX(_xlpm.rango,$BA$4-1,_xlpm.col) +
INDEX(_xlpm.rango,$BA$4, _xlpm.col)
)</f>
        <v/>
      </c>
      <c r="J80" s="95">
        <f t="array" ref="J80">_xlfn.LET(
_xlpm.rango, INDIRECT("N!$C$" &amp; $BA$8 &amp; ":$DR$" &amp; $BA$9),
_xlpm.col, J$72+$D79*10,
INDEX(_xlpm.rango,$BA$4-3,_xlpm.col) +
INDEX(_xlpm.rango,$BA$4-2,_xlpm.col) +
INDEX(_xlpm.rango,$BA$4-1,_xlpm.col) +
INDEX(_xlpm.rango,$BA$4, _xlpm.col)
)</f>
        <v/>
      </c>
      <c r="K80" s="95">
        <f t="array" ref="K80">_xlfn.LET(
_xlpm.rango, INDIRECT("N!$C$" &amp; $BA$8 &amp; ":$DR$" &amp; $BA$9),
_xlpm.col, K$72+$D79*10,
INDEX(_xlpm.rango,$BA$4-3,_xlpm.col) +
INDEX(_xlpm.rango,$BA$4-2,_xlpm.col) +
INDEX(_xlpm.rango,$BA$4-1,_xlpm.col) +
INDEX(_xlpm.rango,$BA$4, _xlpm.col)
)</f>
        <v/>
      </c>
      <c r="L80" s="95">
        <f t="array" ref="L80">_xlfn.LET(
_xlpm.rango, INDIRECT("N!$C$" &amp; $BA$8 &amp; ":$DR$" &amp; $BA$9),
_xlpm.col, L$72+$D79*10,
INDEX(_xlpm.rango,$BA$4-3,_xlpm.col) +
INDEX(_xlpm.rango,$BA$4-2,_xlpm.col) +
INDEX(_xlpm.rango,$BA$4-1,_xlpm.col) +
INDEX(_xlpm.rango,$BA$4, _xlpm.col)
)</f>
        <v/>
      </c>
      <c r="M80" s="95">
        <f t="array" ref="M80">_xlfn.LET(
_xlpm.rango, INDIRECT("N!$C$" &amp; $BA$8 &amp; ":$DR$" &amp; $BA$9),
_xlpm.col, M$72+$D79*10,
INDEX(_xlpm.rango,$BA$4-3,_xlpm.col) +
INDEX(_xlpm.rango,$BA$4-2,_xlpm.col) +
INDEX(_xlpm.rango,$BA$4-1,_xlpm.col) +
INDEX(_xlpm.rango,$BA$4, _xlpm.col)
)</f>
        <v/>
      </c>
      <c r="N80" s="95">
        <f t="array" ref="N80">_xlfn.LET(
_xlpm.rango, INDIRECT("N!$C$" &amp; $BA$8 &amp; ":$DR$" &amp; $BA$9),
_xlpm.col, N$72+$D79*10,
INDEX(_xlpm.rango,$BA$4-3,_xlpm.col) +
INDEX(_xlpm.rango,$BA$4-2,_xlpm.col) +
INDEX(_xlpm.rango,$BA$4-1,_xlpm.col) +
INDEX(_xlpm.rango,$BA$4, _xlpm.col)
)</f>
        <v/>
      </c>
      <c r="O80" s="96">
        <f t="array" ref="O80">_xlfn.LET(
_xlpm.rango, INDIRECT("N!$C$" &amp; $BA$8 &amp; ":$DR$" &amp; $BA$9),
_xlpm.col, O$72+$D79*10,
INDEX(_xlpm.rango,$BA$4-3,_xlpm.col) +
INDEX(_xlpm.rango,$BA$4-2,_xlpm.col) +
INDEX(_xlpm.rango,$BA$4-1,_xlpm.col) +
INDEX(_xlpm.rango,$BA$4, _xlpm.col)
)</f>
        <v/>
      </c>
      <c r="P80" s="95">
        <f t="array" ref="P80">_xlfn.LET(
_xlpm.rango, INDIRECT("S!$C$" &amp; $BA$8 &amp; ":$DR$" &amp; $BA$9),
_xlpm.col, P$72+$D79*10,
INDEX(_xlpm.rango,$BA$4-3,_xlpm.col) +
INDEX(_xlpm.rango,$BA$4-2,_xlpm.col) +
INDEX(_xlpm.rango,$BA$4-1,_xlpm.col) +
INDEX(_xlpm.rango,$BA$4, _xlpm.col)
)</f>
        <v/>
      </c>
      <c r="Q80" s="95">
        <f t="array" ref="Q80">_xlfn.LET(
_xlpm.rango, INDIRECT("S!$C$" &amp; $BA$8 &amp; ":$DR$" &amp; $BA$9),
_xlpm.col, Q$72+$D79*10,
INDEX(_xlpm.rango,$BA$4-3,_xlpm.col) +
INDEX(_xlpm.rango,$BA$4-2,_xlpm.col) +
INDEX(_xlpm.rango,$BA$4-1,_xlpm.col) +
INDEX(_xlpm.rango,$BA$4, _xlpm.col)
)</f>
        <v/>
      </c>
      <c r="R80" s="95">
        <f t="array" ref="R80">_xlfn.LET(
_xlpm.rango, INDIRECT("S!$C$" &amp; $BA$8 &amp; ":$DR$" &amp; $BA$9),
_xlpm.col, R$72+$D79*10,
INDEX(_xlpm.rango,$BA$4-3,_xlpm.col) +
INDEX(_xlpm.rango,$BA$4-2,_xlpm.col) +
INDEX(_xlpm.rango,$BA$4-1,_xlpm.col) +
INDEX(_xlpm.rango,$BA$4, _xlpm.col)
)</f>
        <v/>
      </c>
      <c r="S80" s="95">
        <f t="array" ref="S80">_xlfn.LET(
_xlpm.rango, INDIRECT("S!$C$" &amp; $BA$8 &amp; ":$DR$" &amp; $BA$9),
_xlpm.col, S$72+$D79*10,
INDEX(_xlpm.rango,$BA$4-3,_xlpm.col) +
INDEX(_xlpm.rango,$BA$4-2,_xlpm.col) +
INDEX(_xlpm.rango,$BA$4-1,_xlpm.col) +
INDEX(_xlpm.rango,$BA$4, _xlpm.col)
)</f>
        <v/>
      </c>
      <c r="T80" s="95">
        <f t="array" ref="T80">_xlfn.LET(
_xlpm.rango, INDIRECT("S!$C$" &amp; $BA$8 &amp; ":$DR$" &amp; $BA$9),
_xlpm.col, T$72+$D79*10,
INDEX(_xlpm.rango,$BA$4-3,_xlpm.col) +
INDEX(_xlpm.rango,$BA$4-2,_xlpm.col) +
INDEX(_xlpm.rango,$BA$4-1,_xlpm.col) +
INDEX(_xlpm.rango,$BA$4, _xlpm.col)
)</f>
        <v/>
      </c>
      <c r="U80" s="95">
        <f t="array" ref="U80">_xlfn.LET(
_xlpm.rango, INDIRECT("S!$C$" &amp; $BA$8 &amp; ":$DR$" &amp; $BA$9),
_xlpm.col, U$72+$D79*10,
INDEX(_xlpm.rango,$BA$4-3,_xlpm.col) +
INDEX(_xlpm.rango,$BA$4-2,_xlpm.col) +
INDEX(_xlpm.rango,$BA$4-1,_xlpm.col) +
INDEX(_xlpm.rango,$BA$4, _xlpm.col)
)</f>
        <v/>
      </c>
      <c r="V80" s="95">
        <f t="array" ref="V80">_xlfn.LET(
_xlpm.rango, INDIRECT("S!$C$" &amp; $BA$8 &amp; ":$DR$" &amp; $BA$9),
_xlpm.col, V$72+$D79*10,
INDEX(_xlpm.rango,$BA$4-3,_xlpm.col) +
INDEX(_xlpm.rango,$BA$4-2,_xlpm.col) +
INDEX(_xlpm.rango,$BA$4-1,_xlpm.col) +
INDEX(_xlpm.rango,$BA$4, _xlpm.col)
)</f>
        <v/>
      </c>
      <c r="W80" s="95">
        <f t="array" ref="W80">_xlfn.LET(
_xlpm.rango, INDIRECT("S!$C$" &amp; $BA$8 &amp; ":$DR$" &amp; $BA$9),
_xlpm.col, W$72+$D79*10,
INDEX(_xlpm.rango,$BA$4-3,_xlpm.col) +
INDEX(_xlpm.rango,$BA$4-2,_xlpm.col) +
INDEX(_xlpm.rango,$BA$4-1,_xlpm.col) +
INDEX(_xlpm.rango,$BA$4, _xlpm.col)
)</f>
        <v/>
      </c>
      <c r="X80" s="95">
        <f t="array" ref="X80">_xlfn.LET(
_xlpm.rango, INDIRECT("S!$C$" &amp; $BA$8 &amp; ":$DR$" &amp; $BA$9),
_xlpm.col, X$72+$D79*10,
INDEX(_xlpm.rango,$BA$4-3,_xlpm.col) +
INDEX(_xlpm.rango,$BA$4-2,_xlpm.col) +
INDEX(_xlpm.rango,$BA$4-1,_xlpm.col) +
INDEX(_xlpm.rango,$BA$4, _xlpm.col)
)</f>
        <v/>
      </c>
      <c r="Y80" s="95">
        <f t="array" ref="Y80">_xlfn.LET(
_xlpm.rango, INDIRECT("S!$C$" &amp; $BA$8 &amp; ":$DR$" &amp; $BA$9),
_xlpm.col, Y$72+$D79*10,
INDEX(_xlpm.rango,$BA$4-3,_xlpm.col) +
INDEX(_xlpm.rango,$BA$4-2,_xlpm.col) +
INDEX(_xlpm.rango,$BA$4-1,_xlpm.col) +
INDEX(_xlpm.rango,$BA$4, _xlpm.col)
)</f>
        <v/>
      </c>
      <c r="Z80" s="100">
        <f t="array" ref="Z80">_xlfn.LET(
_xlpm.rango, INDIRECT("E!$C$" &amp; $BA$8 &amp; ":$DR$" &amp; $BA$9),
_xlpm.col, Z$72+$D79*10,
INDEX(_xlpm.rango,$BA$4-3,_xlpm.col) +
INDEX(_xlpm.rango,$BA$4-2,_xlpm.col) +
INDEX(_xlpm.rango,$BA$4-1,_xlpm.col) +
INDEX(_xlpm.rango,$BA$4, _xlpm.col)
)</f>
        <v/>
      </c>
      <c r="AA80" s="95">
        <f t="array" ref="AA80">_xlfn.LET(
_xlpm.rango, INDIRECT("E!$C$" &amp; $BA$8 &amp; ":$DR$" &amp; $BA$9),
_xlpm.col, AA$72+$D79*10,
INDEX(_xlpm.rango,$BA$4-3,_xlpm.col) +
INDEX(_xlpm.rango,$BA$4-2,_xlpm.col) +
INDEX(_xlpm.rango,$BA$4-1,_xlpm.col) +
INDEX(_xlpm.rango,$BA$4, _xlpm.col)
)</f>
        <v/>
      </c>
      <c r="AB80" s="95">
        <f t="array" ref="AB80">_xlfn.LET(
_xlpm.rango, INDIRECT("E!$C$" &amp; $BA$8 &amp; ":$DR$" &amp; $BA$9),
_xlpm.col, AB$72+$D79*10,
INDEX(_xlpm.rango,$BA$4-3,_xlpm.col) +
INDEX(_xlpm.rango,$BA$4-2,_xlpm.col) +
INDEX(_xlpm.rango,$BA$4-1,_xlpm.col) +
INDEX(_xlpm.rango,$BA$4, _xlpm.col)
)</f>
        <v/>
      </c>
      <c r="AC80" s="95">
        <f t="array" ref="AC80">_xlfn.LET(
_xlpm.rango, INDIRECT("E!$C$" &amp; $BA$8 &amp; ":$DR$" &amp; $BA$9),
_xlpm.col, AC$72+$D79*10,
INDEX(_xlpm.rango,$BA$4-3,_xlpm.col) +
INDEX(_xlpm.rango,$BA$4-2,_xlpm.col) +
INDEX(_xlpm.rango,$BA$4-1,_xlpm.col) +
INDEX(_xlpm.rango,$BA$4, _xlpm.col)
)</f>
        <v/>
      </c>
      <c r="AD80" s="95">
        <f t="array" ref="AD80">_xlfn.LET(
_xlpm.rango, INDIRECT("E!$C$" &amp; $BA$8 &amp; ":$DR$" &amp; $BA$9),
_xlpm.col, AD$72+$D79*10,
INDEX(_xlpm.rango,$BA$4-3,_xlpm.col) +
INDEX(_xlpm.rango,$BA$4-2,_xlpm.col) +
INDEX(_xlpm.rango,$BA$4-1,_xlpm.col) +
INDEX(_xlpm.rango,$BA$4, _xlpm.col)
)</f>
        <v/>
      </c>
      <c r="AE80" s="95">
        <f t="array" ref="AE80">_xlfn.LET(
_xlpm.rango, INDIRECT("E!$C$" &amp; $BA$8 &amp; ":$DR$" &amp; $BA$9),
_xlpm.col, AE$72+$D79*10,
INDEX(_xlpm.rango,$BA$4-3,_xlpm.col) +
INDEX(_xlpm.rango,$BA$4-2,_xlpm.col) +
INDEX(_xlpm.rango,$BA$4-1,_xlpm.col) +
INDEX(_xlpm.rango,$BA$4, _xlpm.col)
)</f>
        <v/>
      </c>
      <c r="AF80" s="95">
        <f t="array" ref="AF80">_xlfn.LET(
_xlpm.rango, INDIRECT("E!$C$" &amp; $BA$8 &amp; ":$DR$" &amp; $BA$9),
_xlpm.col, AF$72+$D79*10,
INDEX(_xlpm.rango,$BA$4-3,_xlpm.col) +
INDEX(_xlpm.rango,$BA$4-2,_xlpm.col) +
INDEX(_xlpm.rango,$BA$4-1,_xlpm.col) +
INDEX(_xlpm.rango,$BA$4, _xlpm.col)
)</f>
        <v/>
      </c>
      <c r="AG80" s="95">
        <f t="array" ref="AG80">_xlfn.LET(
_xlpm.rango, INDIRECT("E!$C$" &amp; $BA$8 &amp; ":$DR$" &amp; $BA$9),
_xlpm.col, AG$72+$D79*10,
INDEX(_xlpm.rango,$BA$4-3,_xlpm.col) +
INDEX(_xlpm.rango,$BA$4-2,_xlpm.col) +
INDEX(_xlpm.rango,$BA$4-1,_xlpm.col) +
INDEX(_xlpm.rango,$BA$4, _xlpm.col)
)</f>
        <v/>
      </c>
      <c r="AH80" s="95">
        <f t="array" ref="AH80">_xlfn.LET(
_xlpm.rango, INDIRECT("E!$C$" &amp; $BA$8 &amp; ":$DR$" &amp; $BA$9),
_xlpm.col, AH$72+$D79*10,
INDEX(_xlpm.rango,$BA$4-3,_xlpm.col) +
INDEX(_xlpm.rango,$BA$4-2,_xlpm.col) +
INDEX(_xlpm.rango,$BA$4-1,_xlpm.col) +
INDEX(_xlpm.rango,$BA$4, _xlpm.col)
)</f>
        <v/>
      </c>
      <c r="AI80" s="96">
        <f t="array" ref="AI80">_xlfn.LET(
_xlpm.rango, INDIRECT("E!$C$" &amp; $BA$8 &amp; ":$DR$" &amp; $BA$9),
_xlpm.col, AI$72+$D79*10,
INDEX(_xlpm.rango,$BA$4-3,_xlpm.col) +
INDEX(_xlpm.rango,$BA$4-2,_xlpm.col) +
INDEX(_xlpm.rango,$BA$4-1,_xlpm.col) +
INDEX(_xlpm.rango,$BA$4, _xlpm.col)
)</f>
        <v/>
      </c>
      <c r="AJ80" s="95">
        <f t="array" ref="AJ80">_xlfn.LET(
_xlpm.rango, INDIRECT("E!$C$" &amp; $BA$8 &amp; ":$DR$" &amp; $BA$9),
_xlpm.col, AJ$72+$D79*10,
INDEX(_xlpm.rango,$BA$4-3,_xlpm.col) +
INDEX(_xlpm.rango,$BA$4-2,_xlpm.col) +
INDEX(_xlpm.rango,$BA$4-1,_xlpm.col) +
INDEX(_xlpm.rango,$BA$4, _xlpm.col)
)</f>
        <v/>
      </c>
      <c r="AK80" s="95">
        <f t="array" ref="AK80">_xlfn.LET(
_xlpm.rango, INDIRECT("E!$C$" &amp; $BA$8 &amp; ":$DR$" &amp; $BA$9),
_xlpm.col, AK$72+$D79*10,
INDEX(_xlpm.rango,$BA$4-3,_xlpm.col) +
INDEX(_xlpm.rango,$BA$4-2,_xlpm.col) +
INDEX(_xlpm.rango,$BA$4-1,_xlpm.col) +
INDEX(_xlpm.rango,$BA$4, _xlpm.col)
)</f>
        <v/>
      </c>
      <c r="AL80" s="95">
        <f t="array" ref="AL80">_xlfn.LET(
_xlpm.rango, INDIRECT("E!$C$" &amp; $BA$8 &amp; ":$DR$" &amp; $BA$9),
_xlpm.col, AL$72+$D79*10,
INDEX(_xlpm.rango,$BA$4-3,_xlpm.col) +
INDEX(_xlpm.rango,$BA$4-2,_xlpm.col) +
INDEX(_xlpm.rango,$BA$4-1,_xlpm.col) +
INDEX(_xlpm.rango,$BA$4, _xlpm.col)
)</f>
        <v/>
      </c>
      <c r="AM80" s="95">
        <f t="array" ref="AM80">_xlfn.LET(
_xlpm.rango, INDIRECT("E!$C$" &amp; $BA$8 &amp; ":$DR$" &amp; $BA$9),
_xlpm.col, AM$72+$D79*10,
INDEX(_xlpm.rango,$BA$4-3,_xlpm.col) +
INDEX(_xlpm.rango,$BA$4-2,_xlpm.col) +
INDEX(_xlpm.rango,$BA$4-1,_xlpm.col) +
INDEX(_xlpm.rango,$BA$4, _xlpm.col)
)</f>
        <v/>
      </c>
      <c r="AN80" s="95">
        <f t="array" ref="AN80">_xlfn.LET(
_xlpm.rango, INDIRECT("E!$C$" &amp; $BA$8 &amp; ":$DR$" &amp; $BA$9),
_xlpm.col, AN$72+$D79*10,
INDEX(_xlpm.rango,$BA$4-3,_xlpm.col) +
INDEX(_xlpm.rango,$BA$4-2,_xlpm.col) +
INDEX(_xlpm.rango,$BA$4-1,_xlpm.col) +
INDEX(_xlpm.rango,$BA$4, _xlpm.col)
)</f>
        <v/>
      </c>
      <c r="AO80" s="95">
        <f t="array" ref="AO80">_xlfn.LET(
_xlpm.rango, INDIRECT("E!$C$" &amp; $BA$8 &amp; ":$DR$" &amp; $BA$9),
_xlpm.col, AO$72+$D79*10,
INDEX(_xlpm.rango,$BA$4-3,_xlpm.col) +
INDEX(_xlpm.rango,$BA$4-2,_xlpm.col) +
INDEX(_xlpm.rango,$BA$4-1,_xlpm.col) +
INDEX(_xlpm.rango,$BA$4, _xlpm.col)
)</f>
        <v/>
      </c>
      <c r="AP80" s="95">
        <f t="array" ref="AP80">_xlfn.LET(
_xlpm.rango, INDIRECT("E!$C$" &amp; $BA$8 &amp; ":$DR$" &amp; $BA$9),
_xlpm.col, AP$72+$D79*10,
INDEX(_xlpm.rango,$BA$4-3,_xlpm.col) +
INDEX(_xlpm.rango,$BA$4-2,_xlpm.col) +
INDEX(_xlpm.rango,$BA$4-1,_xlpm.col) +
INDEX(_xlpm.rango,$BA$4, _xlpm.col)
)</f>
        <v/>
      </c>
      <c r="AQ80" s="95">
        <f t="array" ref="AQ80">_xlfn.LET(
_xlpm.rango, INDIRECT("E!$C$" &amp; $BA$8 &amp; ":$DR$" &amp; $BA$9),
_xlpm.col, AQ$72+$D79*10,
INDEX(_xlpm.rango,$BA$4-3,_xlpm.col) +
INDEX(_xlpm.rango,$BA$4-2,_xlpm.col) +
INDEX(_xlpm.rango,$BA$4-1,_xlpm.col) +
INDEX(_xlpm.rango,$BA$4, _xlpm.col)
)</f>
        <v/>
      </c>
      <c r="AR80" s="95">
        <f t="array" ref="AR80">_xlfn.LET(
_xlpm.rango, INDIRECT("E!$C$" &amp; $BA$8 &amp; ":$DR$" &amp; $BA$9),
_xlpm.col, AR$72+$D79*10,
INDEX(_xlpm.rango,$BA$4-3,_xlpm.col) +
INDEX(_xlpm.rango,$BA$4-2,_xlpm.col) +
INDEX(_xlpm.rango,$BA$4-1,_xlpm.col) +
INDEX(_xlpm.rango,$BA$4, _xlpm.col)
)</f>
        <v/>
      </c>
      <c r="AS80" s="112">
        <f t="array" ref="AS80">_xlfn.LET(
_xlpm.rango, INDIRECT("E!$C$" &amp; $BA$8 &amp; ":$DR$" &amp; $BA$9),
_xlpm.col, AS$72+$D79*10,
INDEX(_xlpm.rango,$BA$4-3,_xlpm.col) +
INDEX(_xlpm.rango,$BA$4-2,_xlpm.col) +
INDEX(_xlpm.rango,$BA$4-1,_xlpm.col) +
INDEX(_xlpm.rango,$BA$4, _xlpm.col)
)</f>
        <v/>
      </c>
      <c r="AT80" s="118">
        <f>SUM(F80:AS80)</f>
        <v/>
      </c>
      <c r="AU80" s="120">
        <f>AT80/$AT$88</f>
        <v/>
      </c>
    </row>
    <row r="81">
      <c r="D81" t="n">
        <v>6</v>
      </c>
      <c r="E81" s="106">
        <f>Inicio!V9</f>
        <v/>
      </c>
      <c r="F81" s="100">
        <f t="array" ref="F81">_xlfn.LET(
_xlpm.rango, INDIRECT("N!$C$" &amp; $BA$8 &amp; ":$DR$" &amp; $BA$9),
_xlpm.col, F$72+$D80*10,
INDEX(_xlpm.rango,$BA$4-3,_xlpm.col) +
INDEX(_xlpm.rango,$BA$4-2,_xlpm.col) +
INDEX(_xlpm.rango,$BA$4-1,_xlpm.col) +
INDEX(_xlpm.rango,$BA$4, _xlpm.col)
)</f>
        <v/>
      </c>
      <c r="G81" s="95">
        <f t="array" ref="G81">_xlfn.LET(
_xlpm.rango, INDIRECT("N!$C$" &amp; $BA$8 &amp; ":$DR$" &amp; $BA$9),
_xlpm.col, G$72+$D80*10,
INDEX(_xlpm.rango,$BA$4-3,_xlpm.col) +
INDEX(_xlpm.rango,$BA$4-2,_xlpm.col) +
INDEX(_xlpm.rango,$BA$4-1,_xlpm.col) +
INDEX(_xlpm.rango,$BA$4, _xlpm.col)
)</f>
        <v/>
      </c>
      <c r="H81" s="95">
        <f t="array" ref="H81">_xlfn.LET(
_xlpm.rango, INDIRECT("N!$C$" &amp; $BA$8 &amp; ":$DR$" &amp; $BA$9),
_xlpm.col, H$72+$D80*10,
INDEX(_xlpm.rango,$BA$4-3,_xlpm.col) +
INDEX(_xlpm.rango,$BA$4-2,_xlpm.col) +
INDEX(_xlpm.rango,$BA$4-1,_xlpm.col) +
INDEX(_xlpm.rango,$BA$4, _xlpm.col)
)</f>
        <v/>
      </c>
      <c r="I81" s="95">
        <f t="array" ref="I81">_xlfn.LET(
_xlpm.rango, INDIRECT("N!$C$" &amp; $BA$8 &amp; ":$DR$" &amp; $BA$9),
_xlpm.col, I$72+$D80*10,
INDEX(_xlpm.rango,$BA$4-3,_xlpm.col) +
INDEX(_xlpm.rango,$BA$4-2,_xlpm.col) +
INDEX(_xlpm.rango,$BA$4-1,_xlpm.col) +
INDEX(_xlpm.rango,$BA$4, _xlpm.col)
)</f>
        <v/>
      </c>
      <c r="J81" s="95">
        <f t="array" ref="J81">_xlfn.LET(
_xlpm.rango, INDIRECT("N!$C$" &amp; $BA$8 &amp; ":$DR$" &amp; $BA$9),
_xlpm.col, J$72+$D80*10,
INDEX(_xlpm.rango,$BA$4-3,_xlpm.col) +
INDEX(_xlpm.rango,$BA$4-2,_xlpm.col) +
INDEX(_xlpm.rango,$BA$4-1,_xlpm.col) +
INDEX(_xlpm.rango,$BA$4, _xlpm.col)
)</f>
        <v/>
      </c>
      <c r="K81" s="95">
        <f t="array" ref="K81">_xlfn.LET(
_xlpm.rango, INDIRECT("N!$C$" &amp; $BA$8 &amp; ":$DR$" &amp; $BA$9),
_xlpm.col, K$72+$D80*10,
INDEX(_xlpm.rango,$BA$4-3,_xlpm.col) +
INDEX(_xlpm.rango,$BA$4-2,_xlpm.col) +
INDEX(_xlpm.rango,$BA$4-1,_xlpm.col) +
INDEX(_xlpm.rango,$BA$4, _xlpm.col)
)</f>
        <v/>
      </c>
      <c r="L81" s="95">
        <f t="array" ref="L81">_xlfn.LET(
_xlpm.rango, INDIRECT("N!$C$" &amp; $BA$8 &amp; ":$DR$" &amp; $BA$9),
_xlpm.col, L$72+$D80*10,
INDEX(_xlpm.rango,$BA$4-3,_xlpm.col) +
INDEX(_xlpm.rango,$BA$4-2,_xlpm.col) +
INDEX(_xlpm.rango,$BA$4-1,_xlpm.col) +
INDEX(_xlpm.rango,$BA$4, _xlpm.col)
)</f>
        <v/>
      </c>
      <c r="M81" s="95">
        <f t="array" ref="M81">_xlfn.LET(
_xlpm.rango, INDIRECT("N!$C$" &amp; $BA$8 &amp; ":$DR$" &amp; $BA$9),
_xlpm.col, M$72+$D80*10,
INDEX(_xlpm.rango,$BA$4-3,_xlpm.col) +
INDEX(_xlpm.rango,$BA$4-2,_xlpm.col) +
INDEX(_xlpm.rango,$BA$4-1,_xlpm.col) +
INDEX(_xlpm.rango,$BA$4, _xlpm.col)
)</f>
        <v/>
      </c>
      <c r="N81" s="95">
        <f t="array" ref="N81">_xlfn.LET(
_xlpm.rango, INDIRECT("N!$C$" &amp; $BA$8 &amp; ":$DR$" &amp; $BA$9),
_xlpm.col, N$72+$D80*10,
INDEX(_xlpm.rango,$BA$4-3,_xlpm.col) +
INDEX(_xlpm.rango,$BA$4-2,_xlpm.col) +
INDEX(_xlpm.rango,$BA$4-1,_xlpm.col) +
INDEX(_xlpm.rango,$BA$4, _xlpm.col)
)</f>
        <v/>
      </c>
      <c r="O81" s="96">
        <f t="array" ref="O81">_xlfn.LET(
_xlpm.rango, INDIRECT("N!$C$" &amp; $BA$8 &amp; ":$DR$" &amp; $BA$9),
_xlpm.col, O$72+$D80*10,
INDEX(_xlpm.rango,$BA$4-3,_xlpm.col) +
INDEX(_xlpm.rango,$BA$4-2,_xlpm.col) +
INDEX(_xlpm.rango,$BA$4-1,_xlpm.col) +
INDEX(_xlpm.rango,$BA$4, _xlpm.col)
)</f>
        <v/>
      </c>
      <c r="P81" s="95">
        <f t="array" ref="P81">_xlfn.LET(
_xlpm.rango, INDIRECT("S!$C$" &amp; $BA$8 &amp; ":$DR$" &amp; $BA$9),
_xlpm.col, P$72+$D80*10,
INDEX(_xlpm.rango,$BA$4-3,_xlpm.col) +
INDEX(_xlpm.rango,$BA$4-2,_xlpm.col) +
INDEX(_xlpm.rango,$BA$4-1,_xlpm.col) +
INDEX(_xlpm.rango,$BA$4, _xlpm.col)
)</f>
        <v/>
      </c>
      <c r="Q81" s="95">
        <f t="array" ref="Q81">_xlfn.LET(
_xlpm.rango, INDIRECT("S!$C$" &amp; $BA$8 &amp; ":$DR$" &amp; $BA$9),
_xlpm.col, Q$72+$D80*10,
INDEX(_xlpm.rango,$BA$4-3,_xlpm.col) +
INDEX(_xlpm.rango,$BA$4-2,_xlpm.col) +
INDEX(_xlpm.rango,$BA$4-1,_xlpm.col) +
INDEX(_xlpm.rango,$BA$4, _xlpm.col)
)</f>
        <v/>
      </c>
      <c r="R81" s="95">
        <f t="array" ref="R81">_xlfn.LET(
_xlpm.rango, INDIRECT("S!$C$" &amp; $BA$8 &amp; ":$DR$" &amp; $BA$9),
_xlpm.col, R$72+$D80*10,
INDEX(_xlpm.rango,$BA$4-3,_xlpm.col) +
INDEX(_xlpm.rango,$BA$4-2,_xlpm.col) +
INDEX(_xlpm.rango,$BA$4-1,_xlpm.col) +
INDEX(_xlpm.rango,$BA$4, _xlpm.col)
)</f>
        <v/>
      </c>
      <c r="S81" s="95">
        <f t="array" ref="S81">_xlfn.LET(
_xlpm.rango, INDIRECT("S!$C$" &amp; $BA$8 &amp; ":$DR$" &amp; $BA$9),
_xlpm.col, S$72+$D80*10,
INDEX(_xlpm.rango,$BA$4-3,_xlpm.col) +
INDEX(_xlpm.rango,$BA$4-2,_xlpm.col) +
INDEX(_xlpm.rango,$BA$4-1,_xlpm.col) +
INDEX(_xlpm.rango,$BA$4, _xlpm.col)
)</f>
        <v/>
      </c>
      <c r="T81" s="95">
        <f t="array" ref="T81">_xlfn.LET(
_xlpm.rango, INDIRECT("S!$C$" &amp; $BA$8 &amp; ":$DR$" &amp; $BA$9),
_xlpm.col, T$72+$D80*10,
INDEX(_xlpm.rango,$BA$4-3,_xlpm.col) +
INDEX(_xlpm.rango,$BA$4-2,_xlpm.col) +
INDEX(_xlpm.rango,$BA$4-1,_xlpm.col) +
INDEX(_xlpm.rango,$BA$4, _xlpm.col)
)</f>
        <v/>
      </c>
      <c r="U81" s="95">
        <f t="array" ref="U81">_xlfn.LET(
_xlpm.rango, INDIRECT("S!$C$" &amp; $BA$8 &amp; ":$DR$" &amp; $BA$9),
_xlpm.col, U$72+$D80*10,
INDEX(_xlpm.rango,$BA$4-3,_xlpm.col) +
INDEX(_xlpm.rango,$BA$4-2,_xlpm.col) +
INDEX(_xlpm.rango,$BA$4-1,_xlpm.col) +
INDEX(_xlpm.rango,$BA$4, _xlpm.col)
)</f>
        <v/>
      </c>
      <c r="V81" s="95">
        <f t="array" ref="V81">_xlfn.LET(
_xlpm.rango, INDIRECT("S!$C$" &amp; $BA$8 &amp; ":$DR$" &amp; $BA$9),
_xlpm.col, V$72+$D80*10,
INDEX(_xlpm.rango,$BA$4-3,_xlpm.col) +
INDEX(_xlpm.rango,$BA$4-2,_xlpm.col) +
INDEX(_xlpm.rango,$BA$4-1,_xlpm.col) +
INDEX(_xlpm.rango,$BA$4, _xlpm.col)
)</f>
        <v/>
      </c>
      <c r="W81" s="95">
        <f t="array" ref="W81">_xlfn.LET(
_xlpm.rango, INDIRECT("S!$C$" &amp; $BA$8 &amp; ":$DR$" &amp; $BA$9),
_xlpm.col, W$72+$D80*10,
INDEX(_xlpm.rango,$BA$4-3,_xlpm.col) +
INDEX(_xlpm.rango,$BA$4-2,_xlpm.col) +
INDEX(_xlpm.rango,$BA$4-1,_xlpm.col) +
INDEX(_xlpm.rango,$BA$4, _xlpm.col)
)</f>
        <v/>
      </c>
      <c r="X81" s="95">
        <f t="array" ref="X81">_xlfn.LET(
_xlpm.rango, INDIRECT("S!$C$" &amp; $BA$8 &amp; ":$DR$" &amp; $BA$9),
_xlpm.col, X$72+$D80*10,
INDEX(_xlpm.rango,$BA$4-3,_xlpm.col) +
INDEX(_xlpm.rango,$BA$4-2,_xlpm.col) +
INDEX(_xlpm.rango,$BA$4-1,_xlpm.col) +
INDEX(_xlpm.rango,$BA$4, _xlpm.col)
)</f>
        <v/>
      </c>
      <c r="Y81" s="95">
        <f t="array" ref="Y81">_xlfn.LET(
_xlpm.rango, INDIRECT("S!$C$" &amp; $BA$8 &amp; ":$DR$" &amp; $BA$9),
_xlpm.col, Y$72+$D80*10,
INDEX(_xlpm.rango,$BA$4-3,_xlpm.col) +
INDEX(_xlpm.rango,$BA$4-2,_xlpm.col) +
INDEX(_xlpm.rango,$BA$4-1,_xlpm.col) +
INDEX(_xlpm.rango,$BA$4, _xlpm.col)
)</f>
        <v/>
      </c>
      <c r="Z81" s="100">
        <f t="array" ref="Z81">_xlfn.LET(
_xlpm.rango, INDIRECT("E!$C$" &amp; $BA$8 &amp; ":$DR$" &amp; $BA$9),
_xlpm.col, Z$72+$D80*10,
INDEX(_xlpm.rango,$BA$4-3,_xlpm.col) +
INDEX(_xlpm.rango,$BA$4-2,_xlpm.col) +
INDEX(_xlpm.rango,$BA$4-1,_xlpm.col) +
INDEX(_xlpm.rango,$BA$4, _xlpm.col)
)</f>
        <v/>
      </c>
      <c r="AA81" s="95">
        <f t="array" ref="AA81">_xlfn.LET(
_xlpm.rango, INDIRECT("E!$C$" &amp; $BA$8 &amp; ":$DR$" &amp; $BA$9),
_xlpm.col, AA$72+$D80*10,
INDEX(_xlpm.rango,$BA$4-3,_xlpm.col) +
INDEX(_xlpm.rango,$BA$4-2,_xlpm.col) +
INDEX(_xlpm.rango,$BA$4-1,_xlpm.col) +
INDEX(_xlpm.rango,$BA$4, _xlpm.col)
)</f>
        <v/>
      </c>
      <c r="AB81" s="95">
        <f t="array" ref="AB81">_xlfn.LET(
_xlpm.rango, INDIRECT("E!$C$" &amp; $BA$8 &amp; ":$DR$" &amp; $BA$9),
_xlpm.col, AB$72+$D80*10,
INDEX(_xlpm.rango,$BA$4-3,_xlpm.col) +
INDEX(_xlpm.rango,$BA$4-2,_xlpm.col) +
INDEX(_xlpm.rango,$BA$4-1,_xlpm.col) +
INDEX(_xlpm.rango,$BA$4, _xlpm.col)
)</f>
        <v/>
      </c>
      <c r="AC81" s="95">
        <f t="array" ref="AC81">_xlfn.LET(
_xlpm.rango, INDIRECT("E!$C$" &amp; $BA$8 &amp; ":$DR$" &amp; $BA$9),
_xlpm.col, AC$72+$D80*10,
INDEX(_xlpm.rango,$BA$4-3,_xlpm.col) +
INDEX(_xlpm.rango,$BA$4-2,_xlpm.col) +
INDEX(_xlpm.rango,$BA$4-1,_xlpm.col) +
INDEX(_xlpm.rango,$BA$4, _xlpm.col)
)</f>
        <v/>
      </c>
      <c r="AD81" s="95">
        <f t="array" ref="AD81">_xlfn.LET(
_xlpm.rango, INDIRECT("E!$C$" &amp; $BA$8 &amp; ":$DR$" &amp; $BA$9),
_xlpm.col, AD$72+$D80*10,
INDEX(_xlpm.rango,$BA$4-3,_xlpm.col) +
INDEX(_xlpm.rango,$BA$4-2,_xlpm.col) +
INDEX(_xlpm.rango,$BA$4-1,_xlpm.col) +
INDEX(_xlpm.rango,$BA$4, _xlpm.col)
)</f>
        <v/>
      </c>
      <c r="AE81" s="95">
        <f t="array" ref="AE81">_xlfn.LET(
_xlpm.rango, INDIRECT("E!$C$" &amp; $BA$8 &amp; ":$DR$" &amp; $BA$9),
_xlpm.col, AE$72+$D80*10,
INDEX(_xlpm.rango,$BA$4-3,_xlpm.col) +
INDEX(_xlpm.rango,$BA$4-2,_xlpm.col) +
INDEX(_xlpm.rango,$BA$4-1,_xlpm.col) +
INDEX(_xlpm.rango,$BA$4, _xlpm.col)
)</f>
        <v/>
      </c>
      <c r="AF81" s="95">
        <f t="array" ref="AF81">_xlfn.LET(
_xlpm.rango, INDIRECT("E!$C$" &amp; $BA$8 &amp; ":$DR$" &amp; $BA$9),
_xlpm.col, AF$72+$D80*10,
INDEX(_xlpm.rango,$BA$4-3,_xlpm.col) +
INDEX(_xlpm.rango,$BA$4-2,_xlpm.col) +
INDEX(_xlpm.rango,$BA$4-1,_xlpm.col) +
INDEX(_xlpm.rango,$BA$4, _xlpm.col)
)</f>
        <v/>
      </c>
      <c r="AG81" s="95">
        <f t="array" ref="AG81">_xlfn.LET(
_xlpm.rango, INDIRECT("E!$C$" &amp; $BA$8 &amp; ":$DR$" &amp; $BA$9),
_xlpm.col, AG$72+$D80*10,
INDEX(_xlpm.rango,$BA$4-3,_xlpm.col) +
INDEX(_xlpm.rango,$BA$4-2,_xlpm.col) +
INDEX(_xlpm.rango,$BA$4-1,_xlpm.col) +
INDEX(_xlpm.rango,$BA$4, _xlpm.col)
)</f>
        <v/>
      </c>
      <c r="AH81" s="95">
        <f t="array" ref="AH81">_xlfn.LET(
_xlpm.rango, INDIRECT("E!$C$" &amp; $BA$8 &amp; ":$DR$" &amp; $BA$9),
_xlpm.col, AH$72+$D80*10,
INDEX(_xlpm.rango,$BA$4-3,_xlpm.col) +
INDEX(_xlpm.rango,$BA$4-2,_xlpm.col) +
INDEX(_xlpm.rango,$BA$4-1,_xlpm.col) +
INDEX(_xlpm.rango,$BA$4, _xlpm.col)
)</f>
        <v/>
      </c>
      <c r="AI81" s="96">
        <f t="array" ref="AI81">_xlfn.LET(
_xlpm.rango, INDIRECT("E!$C$" &amp; $BA$8 &amp; ":$DR$" &amp; $BA$9),
_xlpm.col, AI$72+$D80*10,
INDEX(_xlpm.rango,$BA$4-3,_xlpm.col) +
INDEX(_xlpm.rango,$BA$4-2,_xlpm.col) +
INDEX(_xlpm.rango,$BA$4-1,_xlpm.col) +
INDEX(_xlpm.rango,$BA$4, _xlpm.col)
)</f>
        <v/>
      </c>
      <c r="AJ81" s="95">
        <f t="array" ref="AJ81">_xlfn.LET(
_xlpm.rango, INDIRECT("E!$C$" &amp; $BA$8 &amp; ":$DR$" &amp; $BA$9),
_xlpm.col, AJ$72+$D80*10,
INDEX(_xlpm.rango,$BA$4-3,_xlpm.col) +
INDEX(_xlpm.rango,$BA$4-2,_xlpm.col) +
INDEX(_xlpm.rango,$BA$4-1,_xlpm.col) +
INDEX(_xlpm.rango,$BA$4, _xlpm.col)
)</f>
        <v/>
      </c>
      <c r="AK81" s="95">
        <f t="array" ref="AK81">_xlfn.LET(
_xlpm.rango, INDIRECT("E!$C$" &amp; $BA$8 &amp; ":$DR$" &amp; $BA$9),
_xlpm.col, AK$72+$D80*10,
INDEX(_xlpm.rango,$BA$4-3,_xlpm.col) +
INDEX(_xlpm.rango,$BA$4-2,_xlpm.col) +
INDEX(_xlpm.rango,$BA$4-1,_xlpm.col) +
INDEX(_xlpm.rango,$BA$4, _xlpm.col)
)</f>
        <v/>
      </c>
      <c r="AL81" s="95">
        <f t="array" ref="AL81">_xlfn.LET(
_xlpm.rango, INDIRECT("E!$C$" &amp; $BA$8 &amp; ":$DR$" &amp; $BA$9),
_xlpm.col, AL$72+$D80*10,
INDEX(_xlpm.rango,$BA$4-3,_xlpm.col) +
INDEX(_xlpm.rango,$BA$4-2,_xlpm.col) +
INDEX(_xlpm.rango,$BA$4-1,_xlpm.col) +
INDEX(_xlpm.rango,$BA$4, _xlpm.col)
)</f>
        <v/>
      </c>
      <c r="AM81" s="95">
        <f t="array" ref="AM81">_xlfn.LET(
_xlpm.rango, INDIRECT("E!$C$" &amp; $BA$8 &amp; ":$DR$" &amp; $BA$9),
_xlpm.col, AM$72+$D80*10,
INDEX(_xlpm.rango,$BA$4-3,_xlpm.col) +
INDEX(_xlpm.rango,$BA$4-2,_xlpm.col) +
INDEX(_xlpm.rango,$BA$4-1,_xlpm.col) +
INDEX(_xlpm.rango,$BA$4, _xlpm.col)
)</f>
        <v/>
      </c>
      <c r="AN81" s="95">
        <f t="array" ref="AN81">_xlfn.LET(
_xlpm.rango, INDIRECT("E!$C$" &amp; $BA$8 &amp; ":$DR$" &amp; $BA$9),
_xlpm.col, AN$72+$D80*10,
INDEX(_xlpm.rango,$BA$4-3,_xlpm.col) +
INDEX(_xlpm.rango,$BA$4-2,_xlpm.col) +
INDEX(_xlpm.rango,$BA$4-1,_xlpm.col) +
INDEX(_xlpm.rango,$BA$4, _xlpm.col)
)</f>
        <v/>
      </c>
      <c r="AO81" s="95">
        <f t="array" ref="AO81">_xlfn.LET(
_xlpm.rango, INDIRECT("E!$C$" &amp; $BA$8 &amp; ":$DR$" &amp; $BA$9),
_xlpm.col, AO$72+$D80*10,
INDEX(_xlpm.rango,$BA$4-3,_xlpm.col) +
INDEX(_xlpm.rango,$BA$4-2,_xlpm.col) +
INDEX(_xlpm.rango,$BA$4-1,_xlpm.col) +
INDEX(_xlpm.rango,$BA$4, _xlpm.col)
)</f>
        <v/>
      </c>
      <c r="AP81" s="95">
        <f t="array" ref="AP81">_xlfn.LET(
_xlpm.rango, INDIRECT("E!$C$" &amp; $BA$8 &amp; ":$DR$" &amp; $BA$9),
_xlpm.col, AP$72+$D80*10,
INDEX(_xlpm.rango,$BA$4-3,_xlpm.col) +
INDEX(_xlpm.rango,$BA$4-2,_xlpm.col) +
INDEX(_xlpm.rango,$BA$4-1,_xlpm.col) +
INDEX(_xlpm.rango,$BA$4, _xlpm.col)
)</f>
        <v/>
      </c>
      <c r="AQ81" s="95">
        <f t="array" ref="AQ81">_xlfn.LET(
_xlpm.rango, INDIRECT("E!$C$" &amp; $BA$8 &amp; ":$DR$" &amp; $BA$9),
_xlpm.col, AQ$72+$D80*10,
INDEX(_xlpm.rango,$BA$4-3,_xlpm.col) +
INDEX(_xlpm.rango,$BA$4-2,_xlpm.col) +
INDEX(_xlpm.rango,$BA$4-1,_xlpm.col) +
INDEX(_xlpm.rango,$BA$4, _xlpm.col)
)</f>
        <v/>
      </c>
      <c r="AR81" s="95">
        <f t="array" ref="AR81">_xlfn.LET(
_xlpm.rango, INDIRECT("E!$C$" &amp; $BA$8 &amp; ":$DR$" &amp; $BA$9),
_xlpm.col, AR$72+$D80*10,
INDEX(_xlpm.rango,$BA$4-3,_xlpm.col) +
INDEX(_xlpm.rango,$BA$4-2,_xlpm.col) +
INDEX(_xlpm.rango,$BA$4-1,_xlpm.col) +
INDEX(_xlpm.rango,$BA$4, _xlpm.col)
)</f>
        <v/>
      </c>
      <c r="AS81" s="112">
        <f t="array" ref="AS81">_xlfn.LET(
_xlpm.rango, INDIRECT("E!$C$" &amp; $BA$8 &amp; ":$DR$" &amp; $BA$9),
_xlpm.col, AS$72+$D80*10,
INDEX(_xlpm.rango,$BA$4-3,_xlpm.col) +
INDEX(_xlpm.rango,$BA$4-2,_xlpm.col) +
INDEX(_xlpm.rango,$BA$4-1,_xlpm.col) +
INDEX(_xlpm.rango,$BA$4, _xlpm.col)
)</f>
        <v/>
      </c>
      <c r="AT81" s="118">
        <f>SUM(F81:AS81)</f>
        <v/>
      </c>
      <c r="AU81" s="120">
        <f>AT81/$AT$88</f>
        <v/>
      </c>
    </row>
    <row r="82">
      <c r="D82" t="n">
        <v>7</v>
      </c>
      <c r="E82" s="106">
        <f>Inicio!V10</f>
        <v/>
      </c>
      <c r="F82" s="100">
        <f t="array" ref="F82">_xlfn.LET(
_xlpm.rango, INDIRECT("N!$C$" &amp; $BA$8 &amp; ":$DR$" &amp; $BA$9),
_xlpm.col, F$72+$D81*10,
INDEX(_xlpm.rango,$BA$4-3,_xlpm.col) +
INDEX(_xlpm.rango,$BA$4-2,_xlpm.col) +
INDEX(_xlpm.rango,$BA$4-1,_xlpm.col) +
INDEX(_xlpm.rango,$BA$4, _xlpm.col)
)</f>
        <v/>
      </c>
      <c r="G82" s="95">
        <f t="array" ref="G82">_xlfn.LET(
_xlpm.rango, INDIRECT("N!$C$" &amp; $BA$8 &amp; ":$DR$" &amp; $BA$9),
_xlpm.col, G$72+$D81*10,
INDEX(_xlpm.rango,$BA$4-3,_xlpm.col) +
INDEX(_xlpm.rango,$BA$4-2,_xlpm.col) +
INDEX(_xlpm.rango,$BA$4-1,_xlpm.col) +
INDEX(_xlpm.rango,$BA$4, _xlpm.col)
)</f>
        <v/>
      </c>
      <c r="H82" s="95">
        <f t="array" ref="H82">_xlfn.LET(
_xlpm.rango, INDIRECT("N!$C$" &amp; $BA$8 &amp; ":$DR$" &amp; $BA$9),
_xlpm.col, H$72+$D81*10,
INDEX(_xlpm.rango,$BA$4-3,_xlpm.col) +
INDEX(_xlpm.rango,$BA$4-2,_xlpm.col) +
INDEX(_xlpm.rango,$BA$4-1,_xlpm.col) +
INDEX(_xlpm.rango,$BA$4, _xlpm.col)
)</f>
        <v/>
      </c>
      <c r="I82" s="95">
        <f t="array" ref="I82">_xlfn.LET(
_xlpm.rango, INDIRECT("N!$C$" &amp; $BA$8 &amp; ":$DR$" &amp; $BA$9),
_xlpm.col, I$72+$D81*10,
INDEX(_xlpm.rango,$BA$4-3,_xlpm.col) +
INDEX(_xlpm.rango,$BA$4-2,_xlpm.col) +
INDEX(_xlpm.rango,$BA$4-1,_xlpm.col) +
INDEX(_xlpm.rango,$BA$4, _xlpm.col)
)</f>
        <v/>
      </c>
      <c r="J82" s="95">
        <f t="array" ref="J82">_xlfn.LET(
_xlpm.rango, INDIRECT("N!$C$" &amp; $BA$8 &amp; ":$DR$" &amp; $BA$9),
_xlpm.col, J$72+$D81*10,
INDEX(_xlpm.rango,$BA$4-3,_xlpm.col) +
INDEX(_xlpm.rango,$BA$4-2,_xlpm.col) +
INDEX(_xlpm.rango,$BA$4-1,_xlpm.col) +
INDEX(_xlpm.rango,$BA$4, _xlpm.col)
)</f>
        <v/>
      </c>
      <c r="K82" s="95">
        <f t="array" ref="K82">_xlfn.LET(
_xlpm.rango, INDIRECT("N!$C$" &amp; $BA$8 &amp; ":$DR$" &amp; $BA$9),
_xlpm.col, K$72+$D81*10,
INDEX(_xlpm.rango,$BA$4-3,_xlpm.col) +
INDEX(_xlpm.rango,$BA$4-2,_xlpm.col) +
INDEX(_xlpm.rango,$BA$4-1,_xlpm.col) +
INDEX(_xlpm.rango,$BA$4, _xlpm.col)
)</f>
        <v/>
      </c>
      <c r="L82" s="95">
        <f t="array" ref="L82">_xlfn.LET(
_xlpm.rango, INDIRECT("N!$C$" &amp; $BA$8 &amp; ":$DR$" &amp; $BA$9),
_xlpm.col, L$72+$D81*10,
INDEX(_xlpm.rango,$BA$4-3,_xlpm.col) +
INDEX(_xlpm.rango,$BA$4-2,_xlpm.col) +
INDEX(_xlpm.rango,$BA$4-1,_xlpm.col) +
INDEX(_xlpm.rango,$BA$4, _xlpm.col)
)</f>
        <v/>
      </c>
      <c r="M82" s="95">
        <f t="array" ref="M82">_xlfn.LET(
_xlpm.rango, INDIRECT("N!$C$" &amp; $BA$8 &amp; ":$DR$" &amp; $BA$9),
_xlpm.col, M$72+$D81*10,
INDEX(_xlpm.rango,$BA$4-3,_xlpm.col) +
INDEX(_xlpm.rango,$BA$4-2,_xlpm.col) +
INDEX(_xlpm.rango,$BA$4-1,_xlpm.col) +
INDEX(_xlpm.rango,$BA$4, _xlpm.col)
)</f>
        <v/>
      </c>
      <c r="N82" s="95">
        <f t="array" ref="N82">_xlfn.LET(
_xlpm.rango, INDIRECT("N!$C$" &amp; $BA$8 &amp; ":$DR$" &amp; $BA$9),
_xlpm.col, N$72+$D81*10,
INDEX(_xlpm.rango,$BA$4-3,_xlpm.col) +
INDEX(_xlpm.rango,$BA$4-2,_xlpm.col) +
INDEX(_xlpm.rango,$BA$4-1,_xlpm.col) +
INDEX(_xlpm.rango,$BA$4, _xlpm.col)
)</f>
        <v/>
      </c>
      <c r="O82" s="96">
        <f t="array" ref="O82">_xlfn.LET(
_xlpm.rango, INDIRECT("N!$C$" &amp; $BA$8 &amp; ":$DR$" &amp; $BA$9),
_xlpm.col, O$72+$D81*10,
INDEX(_xlpm.rango,$BA$4-3,_xlpm.col) +
INDEX(_xlpm.rango,$BA$4-2,_xlpm.col) +
INDEX(_xlpm.rango,$BA$4-1,_xlpm.col) +
INDEX(_xlpm.rango,$BA$4, _xlpm.col)
)</f>
        <v/>
      </c>
      <c r="P82" s="95">
        <f t="array" ref="P82">_xlfn.LET(
_xlpm.rango, INDIRECT("S!$C$" &amp; $BA$8 &amp; ":$DR$" &amp; $BA$9),
_xlpm.col, P$72+$D81*10,
INDEX(_xlpm.rango,$BA$4-3,_xlpm.col) +
INDEX(_xlpm.rango,$BA$4-2,_xlpm.col) +
INDEX(_xlpm.rango,$BA$4-1,_xlpm.col) +
INDEX(_xlpm.rango,$BA$4, _xlpm.col)
)</f>
        <v/>
      </c>
      <c r="Q82" s="95">
        <f t="array" ref="Q82">_xlfn.LET(
_xlpm.rango, INDIRECT("S!$C$" &amp; $BA$8 &amp; ":$DR$" &amp; $BA$9),
_xlpm.col, Q$72+$D81*10,
INDEX(_xlpm.rango,$BA$4-3,_xlpm.col) +
INDEX(_xlpm.rango,$BA$4-2,_xlpm.col) +
INDEX(_xlpm.rango,$BA$4-1,_xlpm.col) +
INDEX(_xlpm.rango,$BA$4, _xlpm.col)
)</f>
        <v/>
      </c>
      <c r="R82" s="95">
        <f t="array" ref="R82">_xlfn.LET(
_xlpm.rango, INDIRECT("S!$C$" &amp; $BA$8 &amp; ":$DR$" &amp; $BA$9),
_xlpm.col, R$72+$D81*10,
INDEX(_xlpm.rango,$BA$4-3,_xlpm.col) +
INDEX(_xlpm.rango,$BA$4-2,_xlpm.col) +
INDEX(_xlpm.rango,$BA$4-1,_xlpm.col) +
INDEX(_xlpm.rango,$BA$4, _xlpm.col)
)</f>
        <v/>
      </c>
      <c r="S82" s="95">
        <f t="array" ref="S82">_xlfn.LET(
_xlpm.rango, INDIRECT("S!$C$" &amp; $BA$8 &amp; ":$DR$" &amp; $BA$9),
_xlpm.col, S$72+$D81*10,
INDEX(_xlpm.rango,$BA$4-3,_xlpm.col) +
INDEX(_xlpm.rango,$BA$4-2,_xlpm.col) +
INDEX(_xlpm.rango,$BA$4-1,_xlpm.col) +
INDEX(_xlpm.rango,$BA$4, _xlpm.col)
)</f>
        <v/>
      </c>
      <c r="T82" s="95">
        <f t="array" ref="T82">_xlfn.LET(
_xlpm.rango, INDIRECT("S!$C$" &amp; $BA$8 &amp; ":$DR$" &amp; $BA$9),
_xlpm.col, T$72+$D81*10,
INDEX(_xlpm.rango,$BA$4-3,_xlpm.col) +
INDEX(_xlpm.rango,$BA$4-2,_xlpm.col) +
INDEX(_xlpm.rango,$BA$4-1,_xlpm.col) +
INDEX(_xlpm.rango,$BA$4, _xlpm.col)
)</f>
        <v/>
      </c>
      <c r="U82" s="95">
        <f t="array" ref="U82">_xlfn.LET(
_xlpm.rango, INDIRECT("S!$C$" &amp; $BA$8 &amp; ":$DR$" &amp; $BA$9),
_xlpm.col, U$72+$D81*10,
INDEX(_xlpm.rango,$BA$4-3,_xlpm.col) +
INDEX(_xlpm.rango,$BA$4-2,_xlpm.col) +
INDEX(_xlpm.rango,$BA$4-1,_xlpm.col) +
INDEX(_xlpm.rango,$BA$4, _xlpm.col)
)</f>
        <v/>
      </c>
      <c r="V82" s="95">
        <f t="array" ref="V82">_xlfn.LET(
_xlpm.rango, INDIRECT("S!$C$" &amp; $BA$8 &amp; ":$DR$" &amp; $BA$9),
_xlpm.col, V$72+$D81*10,
INDEX(_xlpm.rango,$BA$4-3,_xlpm.col) +
INDEX(_xlpm.rango,$BA$4-2,_xlpm.col) +
INDEX(_xlpm.rango,$BA$4-1,_xlpm.col) +
INDEX(_xlpm.rango,$BA$4, _xlpm.col)
)</f>
        <v/>
      </c>
      <c r="W82" s="95">
        <f t="array" ref="W82">_xlfn.LET(
_xlpm.rango, INDIRECT("S!$C$" &amp; $BA$8 &amp; ":$DR$" &amp; $BA$9),
_xlpm.col, W$72+$D81*10,
INDEX(_xlpm.rango,$BA$4-3,_xlpm.col) +
INDEX(_xlpm.rango,$BA$4-2,_xlpm.col) +
INDEX(_xlpm.rango,$BA$4-1,_xlpm.col) +
INDEX(_xlpm.rango,$BA$4, _xlpm.col)
)</f>
        <v/>
      </c>
      <c r="X82" s="95">
        <f t="array" ref="X82">_xlfn.LET(
_xlpm.rango, INDIRECT("S!$C$" &amp; $BA$8 &amp; ":$DR$" &amp; $BA$9),
_xlpm.col, X$72+$D81*10,
INDEX(_xlpm.rango,$BA$4-3,_xlpm.col) +
INDEX(_xlpm.rango,$BA$4-2,_xlpm.col) +
INDEX(_xlpm.rango,$BA$4-1,_xlpm.col) +
INDEX(_xlpm.rango,$BA$4, _xlpm.col)
)</f>
        <v/>
      </c>
      <c r="Y82" s="95">
        <f t="array" ref="Y82">_xlfn.LET(
_xlpm.rango, INDIRECT("S!$C$" &amp; $BA$8 &amp; ":$DR$" &amp; $BA$9),
_xlpm.col, Y$72+$D81*10,
INDEX(_xlpm.rango,$BA$4-3,_xlpm.col) +
INDEX(_xlpm.rango,$BA$4-2,_xlpm.col) +
INDEX(_xlpm.rango,$BA$4-1,_xlpm.col) +
INDEX(_xlpm.rango,$BA$4, _xlpm.col)
)</f>
        <v/>
      </c>
      <c r="Z82" s="100">
        <f t="array" ref="Z82">_xlfn.LET(
_xlpm.rango, INDIRECT("E!$C$" &amp; $BA$8 &amp; ":$DR$" &amp; $BA$9),
_xlpm.col, Z$72+$D81*10,
INDEX(_xlpm.rango,$BA$4-3,_xlpm.col) +
INDEX(_xlpm.rango,$BA$4-2,_xlpm.col) +
INDEX(_xlpm.rango,$BA$4-1,_xlpm.col) +
INDEX(_xlpm.rango,$BA$4, _xlpm.col)
)</f>
        <v/>
      </c>
      <c r="AA82" s="95">
        <f t="array" ref="AA82">_xlfn.LET(
_xlpm.rango, INDIRECT("E!$C$" &amp; $BA$8 &amp; ":$DR$" &amp; $BA$9),
_xlpm.col, AA$72+$D81*10,
INDEX(_xlpm.rango,$BA$4-3,_xlpm.col) +
INDEX(_xlpm.rango,$BA$4-2,_xlpm.col) +
INDEX(_xlpm.rango,$BA$4-1,_xlpm.col) +
INDEX(_xlpm.rango,$BA$4, _xlpm.col)
)</f>
        <v/>
      </c>
      <c r="AB82" s="95">
        <f t="array" ref="AB82">_xlfn.LET(
_xlpm.rango, INDIRECT("E!$C$" &amp; $BA$8 &amp; ":$DR$" &amp; $BA$9),
_xlpm.col, AB$72+$D81*10,
INDEX(_xlpm.rango,$BA$4-3,_xlpm.col) +
INDEX(_xlpm.rango,$BA$4-2,_xlpm.col) +
INDEX(_xlpm.rango,$BA$4-1,_xlpm.col) +
INDEX(_xlpm.rango,$BA$4, _xlpm.col)
)</f>
        <v/>
      </c>
      <c r="AC82" s="95">
        <f t="array" ref="AC82">_xlfn.LET(
_xlpm.rango, INDIRECT("E!$C$" &amp; $BA$8 &amp; ":$DR$" &amp; $BA$9),
_xlpm.col, AC$72+$D81*10,
INDEX(_xlpm.rango,$BA$4-3,_xlpm.col) +
INDEX(_xlpm.rango,$BA$4-2,_xlpm.col) +
INDEX(_xlpm.rango,$BA$4-1,_xlpm.col) +
INDEX(_xlpm.rango,$BA$4, _xlpm.col)
)</f>
        <v/>
      </c>
      <c r="AD82" s="95">
        <f t="array" ref="AD82">_xlfn.LET(
_xlpm.rango, INDIRECT("E!$C$" &amp; $BA$8 &amp; ":$DR$" &amp; $BA$9),
_xlpm.col, AD$72+$D81*10,
INDEX(_xlpm.rango,$BA$4-3,_xlpm.col) +
INDEX(_xlpm.rango,$BA$4-2,_xlpm.col) +
INDEX(_xlpm.rango,$BA$4-1,_xlpm.col) +
INDEX(_xlpm.rango,$BA$4, _xlpm.col)
)</f>
        <v/>
      </c>
      <c r="AE82" s="95">
        <f t="array" ref="AE82">_xlfn.LET(
_xlpm.rango, INDIRECT("E!$C$" &amp; $BA$8 &amp; ":$DR$" &amp; $BA$9),
_xlpm.col, AE$72+$D81*10,
INDEX(_xlpm.rango,$BA$4-3,_xlpm.col) +
INDEX(_xlpm.rango,$BA$4-2,_xlpm.col) +
INDEX(_xlpm.rango,$BA$4-1,_xlpm.col) +
INDEX(_xlpm.rango,$BA$4, _xlpm.col)
)</f>
        <v/>
      </c>
      <c r="AF82" s="95">
        <f t="array" ref="AF82">_xlfn.LET(
_xlpm.rango, INDIRECT("E!$C$" &amp; $BA$8 &amp; ":$DR$" &amp; $BA$9),
_xlpm.col, AF$72+$D81*10,
INDEX(_xlpm.rango,$BA$4-3,_xlpm.col) +
INDEX(_xlpm.rango,$BA$4-2,_xlpm.col) +
INDEX(_xlpm.rango,$BA$4-1,_xlpm.col) +
INDEX(_xlpm.rango,$BA$4, _xlpm.col)
)</f>
        <v/>
      </c>
      <c r="AG82" s="95">
        <f t="array" ref="AG82">_xlfn.LET(
_xlpm.rango, INDIRECT("E!$C$" &amp; $BA$8 &amp; ":$DR$" &amp; $BA$9),
_xlpm.col, AG$72+$D81*10,
INDEX(_xlpm.rango,$BA$4-3,_xlpm.col) +
INDEX(_xlpm.rango,$BA$4-2,_xlpm.col) +
INDEX(_xlpm.rango,$BA$4-1,_xlpm.col) +
INDEX(_xlpm.rango,$BA$4, _xlpm.col)
)</f>
        <v/>
      </c>
      <c r="AH82" s="95">
        <f t="array" ref="AH82">_xlfn.LET(
_xlpm.rango, INDIRECT("E!$C$" &amp; $BA$8 &amp; ":$DR$" &amp; $BA$9),
_xlpm.col, AH$72+$D81*10,
INDEX(_xlpm.rango,$BA$4-3,_xlpm.col) +
INDEX(_xlpm.rango,$BA$4-2,_xlpm.col) +
INDEX(_xlpm.rango,$BA$4-1,_xlpm.col) +
INDEX(_xlpm.rango,$BA$4, _xlpm.col)
)</f>
        <v/>
      </c>
      <c r="AI82" s="96">
        <f t="array" ref="AI82">_xlfn.LET(
_xlpm.rango, INDIRECT("E!$C$" &amp; $BA$8 &amp; ":$DR$" &amp; $BA$9),
_xlpm.col, AI$72+$D81*10,
INDEX(_xlpm.rango,$BA$4-3,_xlpm.col) +
INDEX(_xlpm.rango,$BA$4-2,_xlpm.col) +
INDEX(_xlpm.rango,$BA$4-1,_xlpm.col) +
INDEX(_xlpm.rango,$BA$4, _xlpm.col)
)</f>
        <v/>
      </c>
      <c r="AJ82" s="95">
        <f t="array" ref="AJ82">_xlfn.LET(
_xlpm.rango, INDIRECT("E!$C$" &amp; $BA$8 &amp; ":$DR$" &amp; $BA$9),
_xlpm.col, AJ$72+$D81*10,
INDEX(_xlpm.rango,$BA$4-3,_xlpm.col) +
INDEX(_xlpm.rango,$BA$4-2,_xlpm.col) +
INDEX(_xlpm.rango,$BA$4-1,_xlpm.col) +
INDEX(_xlpm.rango,$BA$4, _xlpm.col)
)</f>
        <v/>
      </c>
      <c r="AK82" s="95">
        <f t="array" ref="AK82">_xlfn.LET(
_xlpm.rango, INDIRECT("E!$C$" &amp; $BA$8 &amp; ":$DR$" &amp; $BA$9),
_xlpm.col, AK$72+$D81*10,
INDEX(_xlpm.rango,$BA$4-3,_xlpm.col) +
INDEX(_xlpm.rango,$BA$4-2,_xlpm.col) +
INDEX(_xlpm.rango,$BA$4-1,_xlpm.col) +
INDEX(_xlpm.rango,$BA$4, _xlpm.col)
)</f>
        <v/>
      </c>
      <c r="AL82" s="95">
        <f t="array" ref="AL82">_xlfn.LET(
_xlpm.rango, INDIRECT("E!$C$" &amp; $BA$8 &amp; ":$DR$" &amp; $BA$9),
_xlpm.col, AL$72+$D81*10,
INDEX(_xlpm.rango,$BA$4-3,_xlpm.col) +
INDEX(_xlpm.rango,$BA$4-2,_xlpm.col) +
INDEX(_xlpm.rango,$BA$4-1,_xlpm.col) +
INDEX(_xlpm.rango,$BA$4, _xlpm.col)
)</f>
        <v/>
      </c>
      <c r="AM82" s="95">
        <f t="array" ref="AM82">_xlfn.LET(
_xlpm.rango, INDIRECT("E!$C$" &amp; $BA$8 &amp; ":$DR$" &amp; $BA$9),
_xlpm.col, AM$72+$D81*10,
INDEX(_xlpm.rango,$BA$4-3,_xlpm.col) +
INDEX(_xlpm.rango,$BA$4-2,_xlpm.col) +
INDEX(_xlpm.rango,$BA$4-1,_xlpm.col) +
INDEX(_xlpm.rango,$BA$4, _xlpm.col)
)</f>
        <v/>
      </c>
      <c r="AN82" s="95">
        <f t="array" ref="AN82">_xlfn.LET(
_xlpm.rango, INDIRECT("E!$C$" &amp; $BA$8 &amp; ":$DR$" &amp; $BA$9),
_xlpm.col, AN$72+$D81*10,
INDEX(_xlpm.rango,$BA$4-3,_xlpm.col) +
INDEX(_xlpm.rango,$BA$4-2,_xlpm.col) +
INDEX(_xlpm.rango,$BA$4-1,_xlpm.col) +
INDEX(_xlpm.rango,$BA$4, _xlpm.col)
)</f>
        <v/>
      </c>
      <c r="AO82" s="95">
        <f t="array" ref="AO82">_xlfn.LET(
_xlpm.rango, INDIRECT("E!$C$" &amp; $BA$8 &amp; ":$DR$" &amp; $BA$9),
_xlpm.col, AO$72+$D81*10,
INDEX(_xlpm.rango,$BA$4-3,_xlpm.col) +
INDEX(_xlpm.rango,$BA$4-2,_xlpm.col) +
INDEX(_xlpm.rango,$BA$4-1,_xlpm.col) +
INDEX(_xlpm.rango,$BA$4, _xlpm.col)
)</f>
        <v/>
      </c>
      <c r="AP82" s="95">
        <f t="array" ref="AP82">_xlfn.LET(
_xlpm.rango, INDIRECT("E!$C$" &amp; $BA$8 &amp; ":$DR$" &amp; $BA$9),
_xlpm.col, AP$72+$D81*10,
INDEX(_xlpm.rango,$BA$4-3,_xlpm.col) +
INDEX(_xlpm.rango,$BA$4-2,_xlpm.col) +
INDEX(_xlpm.rango,$BA$4-1,_xlpm.col) +
INDEX(_xlpm.rango,$BA$4, _xlpm.col)
)</f>
        <v/>
      </c>
      <c r="AQ82" s="95">
        <f t="array" ref="AQ82">_xlfn.LET(
_xlpm.rango, INDIRECT("E!$C$" &amp; $BA$8 &amp; ":$DR$" &amp; $BA$9),
_xlpm.col, AQ$72+$D81*10,
INDEX(_xlpm.rango,$BA$4-3,_xlpm.col) +
INDEX(_xlpm.rango,$BA$4-2,_xlpm.col) +
INDEX(_xlpm.rango,$BA$4-1,_xlpm.col) +
INDEX(_xlpm.rango,$BA$4, _xlpm.col)
)</f>
        <v/>
      </c>
      <c r="AR82" s="95">
        <f t="array" ref="AR82">_xlfn.LET(
_xlpm.rango, INDIRECT("E!$C$" &amp; $BA$8 &amp; ":$DR$" &amp; $BA$9),
_xlpm.col, AR$72+$D81*10,
INDEX(_xlpm.rango,$BA$4-3,_xlpm.col) +
INDEX(_xlpm.rango,$BA$4-2,_xlpm.col) +
INDEX(_xlpm.rango,$BA$4-1,_xlpm.col) +
INDEX(_xlpm.rango,$BA$4, _xlpm.col)
)</f>
        <v/>
      </c>
      <c r="AS82" s="112">
        <f t="array" ref="AS82">_xlfn.LET(
_xlpm.rango, INDIRECT("E!$C$" &amp; $BA$8 &amp; ":$DR$" &amp; $BA$9),
_xlpm.col, AS$72+$D81*10,
INDEX(_xlpm.rango,$BA$4-3,_xlpm.col) +
INDEX(_xlpm.rango,$BA$4-2,_xlpm.col) +
INDEX(_xlpm.rango,$BA$4-1,_xlpm.col) +
INDEX(_xlpm.rango,$BA$4, _xlpm.col)
)</f>
        <v/>
      </c>
      <c r="AT82" s="118">
        <f>SUM(F82:AS82)</f>
        <v/>
      </c>
      <c r="AU82" s="120">
        <f>AT82/$AT$88</f>
        <v/>
      </c>
    </row>
    <row r="83">
      <c r="D83" t="n">
        <v>8</v>
      </c>
      <c r="E83" s="106">
        <f>Inicio!V11</f>
        <v/>
      </c>
      <c r="F83" s="100">
        <f t="array" ref="F83">_xlfn.LET(
_xlpm.rango, INDIRECT("N!$C$" &amp; $BA$8 &amp; ":$DR$" &amp; $BA$9),
_xlpm.col, F$72+$D82*10,
INDEX(_xlpm.rango,$BA$4-3,_xlpm.col) +
INDEX(_xlpm.rango,$BA$4-2,_xlpm.col) +
INDEX(_xlpm.rango,$BA$4-1,_xlpm.col) +
INDEX(_xlpm.rango,$BA$4, _xlpm.col)
)</f>
        <v/>
      </c>
      <c r="G83" s="95">
        <f t="array" ref="G83">_xlfn.LET(
_xlpm.rango, INDIRECT("N!$C$" &amp; $BA$8 &amp; ":$DR$" &amp; $BA$9),
_xlpm.col, G$72+$D82*10,
INDEX(_xlpm.rango,$BA$4-3,_xlpm.col) +
INDEX(_xlpm.rango,$BA$4-2,_xlpm.col) +
INDEX(_xlpm.rango,$BA$4-1,_xlpm.col) +
INDEX(_xlpm.rango,$BA$4, _xlpm.col)
)</f>
        <v/>
      </c>
      <c r="H83" s="95">
        <f t="array" ref="H83">_xlfn.LET(
_xlpm.rango, INDIRECT("N!$C$" &amp; $BA$8 &amp; ":$DR$" &amp; $BA$9),
_xlpm.col, H$72+$D82*10,
INDEX(_xlpm.rango,$BA$4-3,_xlpm.col) +
INDEX(_xlpm.rango,$BA$4-2,_xlpm.col) +
INDEX(_xlpm.rango,$BA$4-1,_xlpm.col) +
INDEX(_xlpm.rango,$BA$4, _xlpm.col)
)</f>
        <v/>
      </c>
      <c r="I83" s="95">
        <f t="array" ref="I83">_xlfn.LET(
_xlpm.rango, INDIRECT("N!$C$" &amp; $BA$8 &amp; ":$DR$" &amp; $BA$9),
_xlpm.col, I$72+$D82*10,
INDEX(_xlpm.rango,$BA$4-3,_xlpm.col) +
INDEX(_xlpm.rango,$BA$4-2,_xlpm.col) +
INDEX(_xlpm.rango,$BA$4-1,_xlpm.col) +
INDEX(_xlpm.rango,$BA$4, _xlpm.col)
)</f>
        <v/>
      </c>
      <c r="J83" s="95">
        <f t="array" ref="J83">_xlfn.LET(
_xlpm.rango, INDIRECT("N!$C$" &amp; $BA$8 &amp; ":$DR$" &amp; $BA$9),
_xlpm.col, J$72+$D82*10,
INDEX(_xlpm.rango,$BA$4-3,_xlpm.col) +
INDEX(_xlpm.rango,$BA$4-2,_xlpm.col) +
INDEX(_xlpm.rango,$BA$4-1,_xlpm.col) +
INDEX(_xlpm.rango,$BA$4, _xlpm.col)
)</f>
        <v/>
      </c>
      <c r="K83" s="95">
        <f t="array" ref="K83">_xlfn.LET(
_xlpm.rango, INDIRECT("N!$C$" &amp; $BA$8 &amp; ":$DR$" &amp; $BA$9),
_xlpm.col, K$72+$D82*10,
INDEX(_xlpm.rango,$BA$4-3,_xlpm.col) +
INDEX(_xlpm.rango,$BA$4-2,_xlpm.col) +
INDEX(_xlpm.rango,$BA$4-1,_xlpm.col) +
INDEX(_xlpm.rango,$BA$4, _xlpm.col)
)</f>
        <v/>
      </c>
      <c r="L83" s="95">
        <f t="array" ref="L83">_xlfn.LET(
_xlpm.rango, INDIRECT("N!$C$" &amp; $BA$8 &amp; ":$DR$" &amp; $BA$9),
_xlpm.col, L$72+$D82*10,
INDEX(_xlpm.rango,$BA$4-3,_xlpm.col) +
INDEX(_xlpm.rango,$BA$4-2,_xlpm.col) +
INDEX(_xlpm.rango,$BA$4-1,_xlpm.col) +
INDEX(_xlpm.rango,$BA$4, _xlpm.col)
)</f>
        <v/>
      </c>
      <c r="M83" s="95">
        <f t="array" ref="M83">_xlfn.LET(
_xlpm.rango, INDIRECT("N!$C$" &amp; $BA$8 &amp; ":$DR$" &amp; $BA$9),
_xlpm.col, M$72+$D82*10,
INDEX(_xlpm.rango,$BA$4-3,_xlpm.col) +
INDEX(_xlpm.rango,$BA$4-2,_xlpm.col) +
INDEX(_xlpm.rango,$BA$4-1,_xlpm.col) +
INDEX(_xlpm.rango,$BA$4, _xlpm.col)
)</f>
        <v/>
      </c>
      <c r="N83" s="95">
        <f t="array" ref="N83">_xlfn.LET(
_xlpm.rango, INDIRECT("N!$C$" &amp; $BA$8 &amp; ":$DR$" &amp; $BA$9),
_xlpm.col, N$72+$D82*10,
INDEX(_xlpm.rango,$BA$4-3,_xlpm.col) +
INDEX(_xlpm.rango,$BA$4-2,_xlpm.col) +
INDEX(_xlpm.rango,$BA$4-1,_xlpm.col) +
INDEX(_xlpm.rango,$BA$4, _xlpm.col)
)</f>
        <v/>
      </c>
      <c r="O83" s="96">
        <f t="array" ref="O83">_xlfn.LET(
_xlpm.rango, INDIRECT("N!$C$" &amp; $BA$8 &amp; ":$DR$" &amp; $BA$9),
_xlpm.col, O$72+$D82*10,
INDEX(_xlpm.rango,$BA$4-3,_xlpm.col) +
INDEX(_xlpm.rango,$BA$4-2,_xlpm.col) +
INDEX(_xlpm.rango,$BA$4-1,_xlpm.col) +
INDEX(_xlpm.rango,$BA$4, _xlpm.col)
)</f>
        <v/>
      </c>
      <c r="P83" s="95">
        <f t="array" ref="P83">_xlfn.LET(
_xlpm.rango, INDIRECT("S!$C$" &amp; $BA$8 &amp; ":$DR$" &amp; $BA$9),
_xlpm.col, P$72+$D82*10,
INDEX(_xlpm.rango,$BA$4-3,_xlpm.col) +
INDEX(_xlpm.rango,$BA$4-2,_xlpm.col) +
INDEX(_xlpm.rango,$BA$4-1,_xlpm.col) +
INDEX(_xlpm.rango,$BA$4, _xlpm.col)
)</f>
        <v/>
      </c>
      <c r="Q83" s="95">
        <f t="array" ref="Q83">_xlfn.LET(
_xlpm.rango, INDIRECT("S!$C$" &amp; $BA$8 &amp; ":$DR$" &amp; $BA$9),
_xlpm.col, Q$72+$D82*10,
INDEX(_xlpm.rango,$BA$4-3,_xlpm.col) +
INDEX(_xlpm.rango,$BA$4-2,_xlpm.col) +
INDEX(_xlpm.rango,$BA$4-1,_xlpm.col) +
INDEX(_xlpm.rango,$BA$4, _xlpm.col)
)</f>
        <v/>
      </c>
      <c r="R83" s="95">
        <f t="array" ref="R83">_xlfn.LET(
_xlpm.rango, INDIRECT("S!$C$" &amp; $BA$8 &amp; ":$DR$" &amp; $BA$9),
_xlpm.col, R$72+$D82*10,
INDEX(_xlpm.rango,$BA$4-3,_xlpm.col) +
INDEX(_xlpm.rango,$BA$4-2,_xlpm.col) +
INDEX(_xlpm.rango,$BA$4-1,_xlpm.col) +
INDEX(_xlpm.rango,$BA$4, _xlpm.col)
)</f>
        <v/>
      </c>
      <c r="S83" s="95">
        <f t="array" ref="S83">_xlfn.LET(
_xlpm.rango, INDIRECT("S!$C$" &amp; $BA$8 &amp; ":$DR$" &amp; $BA$9),
_xlpm.col, S$72+$D82*10,
INDEX(_xlpm.rango,$BA$4-3,_xlpm.col) +
INDEX(_xlpm.rango,$BA$4-2,_xlpm.col) +
INDEX(_xlpm.rango,$BA$4-1,_xlpm.col) +
INDEX(_xlpm.rango,$BA$4, _xlpm.col)
)</f>
        <v/>
      </c>
      <c r="T83" s="95">
        <f t="array" ref="T83">_xlfn.LET(
_xlpm.rango, INDIRECT("S!$C$" &amp; $BA$8 &amp; ":$DR$" &amp; $BA$9),
_xlpm.col, T$72+$D82*10,
INDEX(_xlpm.rango,$BA$4-3,_xlpm.col) +
INDEX(_xlpm.rango,$BA$4-2,_xlpm.col) +
INDEX(_xlpm.rango,$BA$4-1,_xlpm.col) +
INDEX(_xlpm.rango,$BA$4, _xlpm.col)
)</f>
        <v/>
      </c>
      <c r="U83" s="95">
        <f t="array" ref="U83">_xlfn.LET(
_xlpm.rango, INDIRECT("S!$C$" &amp; $BA$8 &amp; ":$DR$" &amp; $BA$9),
_xlpm.col, U$72+$D82*10,
INDEX(_xlpm.rango,$BA$4-3,_xlpm.col) +
INDEX(_xlpm.rango,$BA$4-2,_xlpm.col) +
INDEX(_xlpm.rango,$BA$4-1,_xlpm.col) +
INDEX(_xlpm.rango,$BA$4, _xlpm.col)
)</f>
        <v/>
      </c>
      <c r="V83" s="95">
        <f t="array" ref="V83">_xlfn.LET(
_xlpm.rango, INDIRECT("S!$C$" &amp; $BA$8 &amp; ":$DR$" &amp; $BA$9),
_xlpm.col, V$72+$D82*10,
INDEX(_xlpm.rango,$BA$4-3,_xlpm.col) +
INDEX(_xlpm.rango,$BA$4-2,_xlpm.col) +
INDEX(_xlpm.rango,$BA$4-1,_xlpm.col) +
INDEX(_xlpm.rango,$BA$4, _xlpm.col)
)</f>
        <v/>
      </c>
      <c r="W83" s="95">
        <f t="array" ref="W83">_xlfn.LET(
_xlpm.rango, INDIRECT("S!$C$" &amp; $BA$8 &amp; ":$DR$" &amp; $BA$9),
_xlpm.col, W$72+$D82*10,
INDEX(_xlpm.rango,$BA$4-3,_xlpm.col) +
INDEX(_xlpm.rango,$BA$4-2,_xlpm.col) +
INDEX(_xlpm.rango,$BA$4-1,_xlpm.col) +
INDEX(_xlpm.rango,$BA$4, _xlpm.col)
)</f>
        <v/>
      </c>
      <c r="X83" s="95">
        <f t="array" ref="X83">_xlfn.LET(
_xlpm.rango, INDIRECT("S!$C$" &amp; $BA$8 &amp; ":$DR$" &amp; $BA$9),
_xlpm.col, X$72+$D82*10,
INDEX(_xlpm.rango,$BA$4-3,_xlpm.col) +
INDEX(_xlpm.rango,$BA$4-2,_xlpm.col) +
INDEX(_xlpm.rango,$BA$4-1,_xlpm.col) +
INDEX(_xlpm.rango,$BA$4, _xlpm.col)
)</f>
        <v/>
      </c>
      <c r="Y83" s="95">
        <f t="array" ref="Y83">_xlfn.LET(
_xlpm.rango, INDIRECT("S!$C$" &amp; $BA$8 &amp; ":$DR$" &amp; $BA$9),
_xlpm.col, Y$72+$D82*10,
INDEX(_xlpm.rango,$BA$4-3,_xlpm.col) +
INDEX(_xlpm.rango,$BA$4-2,_xlpm.col) +
INDEX(_xlpm.rango,$BA$4-1,_xlpm.col) +
INDEX(_xlpm.rango,$BA$4, _xlpm.col)
)</f>
        <v/>
      </c>
      <c r="Z83" s="100">
        <f t="array" ref="Z83">_xlfn.LET(
_xlpm.rango, INDIRECT("E!$C$" &amp; $BA$8 &amp; ":$DR$" &amp; $BA$9),
_xlpm.col, Z$72+$D82*10,
INDEX(_xlpm.rango,$BA$4-3,_xlpm.col) +
INDEX(_xlpm.rango,$BA$4-2,_xlpm.col) +
INDEX(_xlpm.rango,$BA$4-1,_xlpm.col) +
INDEX(_xlpm.rango,$BA$4, _xlpm.col)
)</f>
        <v/>
      </c>
      <c r="AA83" s="95">
        <f t="array" ref="AA83">_xlfn.LET(
_xlpm.rango, INDIRECT("E!$C$" &amp; $BA$8 &amp; ":$DR$" &amp; $BA$9),
_xlpm.col, AA$72+$D82*10,
INDEX(_xlpm.rango,$BA$4-3,_xlpm.col) +
INDEX(_xlpm.rango,$BA$4-2,_xlpm.col) +
INDEX(_xlpm.rango,$BA$4-1,_xlpm.col) +
INDEX(_xlpm.rango,$BA$4, _xlpm.col)
)</f>
        <v/>
      </c>
      <c r="AB83" s="95">
        <f t="array" ref="AB83">_xlfn.LET(
_xlpm.rango, INDIRECT("E!$C$" &amp; $BA$8 &amp; ":$DR$" &amp; $BA$9),
_xlpm.col, AB$72+$D82*10,
INDEX(_xlpm.rango,$BA$4-3,_xlpm.col) +
INDEX(_xlpm.rango,$BA$4-2,_xlpm.col) +
INDEX(_xlpm.rango,$BA$4-1,_xlpm.col) +
INDEX(_xlpm.rango,$BA$4, _xlpm.col)
)</f>
        <v/>
      </c>
      <c r="AC83" s="95">
        <f t="array" ref="AC83">_xlfn.LET(
_xlpm.rango, INDIRECT("E!$C$" &amp; $BA$8 &amp; ":$DR$" &amp; $BA$9),
_xlpm.col, AC$72+$D82*10,
INDEX(_xlpm.rango,$BA$4-3,_xlpm.col) +
INDEX(_xlpm.rango,$BA$4-2,_xlpm.col) +
INDEX(_xlpm.rango,$BA$4-1,_xlpm.col) +
INDEX(_xlpm.rango,$BA$4, _xlpm.col)
)</f>
        <v/>
      </c>
      <c r="AD83" s="95">
        <f t="array" ref="AD83">_xlfn.LET(
_xlpm.rango, INDIRECT("E!$C$" &amp; $BA$8 &amp; ":$DR$" &amp; $BA$9),
_xlpm.col, AD$72+$D82*10,
INDEX(_xlpm.rango,$BA$4-3,_xlpm.col) +
INDEX(_xlpm.rango,$BA$4-2,_xlpm.col) +
INDEX(_xlpm.rango,$BA$4-1,_xlpm.col) +
INDEX(_xlpm.rango,$BA$4, _xlpm.col)
)</f>
        <v/>
      </c>
      <c r="AE83" s="95">
        <f t="array" ref="AE83">_xlfn.LET(
_xlpm.rango, INDIRECT("E!$C$" &amp; $BA$8 &amp; ":$DR$" &amp; $BA$9),
_xlpm.col, AE$72+$D82*10,
INDEX(_xlpm.rango,$BA$4-3,_xlpm.col) +
INDEX(_xlpm.rango,$BA$4-2,_xlpm.col) +
INDEX(_xlpm.rango,$BA$4-1,_xlpm.col) +
INDEX(_xlpm.rango,$BA$4, _xlpm.col)
)</f>
        <v/>
      </c>
      <c r="AF83" s="95">
        <f t="array" ref="AF83">_xlfn.LET(
_xlpm.rango, INDIRECT("E!$C$" &amp; $BA$8 &amp; ":$DR$" &amp; $BA$9),
_xlpm.col, AF$72+$D82*10,
INDEX(_xlpm.rango,$BA$4-3,_xlpm.col) +
INDEX(_xlpm.rango,$BA$4-2,_xlpm.col) +
INDEX(_xlpm.rango,$BA$4-1,_xlpm.col) +
INDEX(_xlpm.rango,$BA$4, _xlpm.col)
)</f>
        <v/>
      </c>
      <c r="AG83" s="95">
        <f t="array" ref="AG83">_xlfn.LET(
_xlpm.rango, INDIRECT("E!$C$" &amp; $BA$8 &amp; ":$DR$" &amp; $BA$9),
_xlpm.col, AG$72+$D82*10,
INDEX(_xlpm.rango,$BA$4-3,_xlpm.col) +
INDEX(_xlpm.rango,$BA$4-2,_xlpm.col) +
INDEX(_xlpm.rango,$BA$4-1,_xlpm.col) +
INDEX(_xlpm.rango,$BA$4, _xlpm.col)
)</f>
        <v/>
      </c>
      <c r="AH83" s="95">
        <f t="array" ref="AH83">_xlfn.LET(
_xlpm.rango, INDIRECT("E!$C$" &amp; $BA$8 &amp; ":$DR$" &amp; $BA$9),
_xlpm.col, AH$72+$D82*10,
INDEX(_xlpm.rango,$BA$4-3,_xlpm.col) +
INDEX(_xlpm.rango,$BA$4-2,_xlpm.col) +
INDEX(_xlpm.rango,$BA$4-1,_xlpm.col) +
INDEX(_xlpm.rango,$BA$4, _xlpm.col)
)</f>
        <v/>
      </c>
      <c r="AI83" s="96">
        <f t="array" ref="AI83">_xlfn.LET(
_xlpm.rango, INDIRECT("E!$C$" &amp; $BA$8 &amp; ":$DR$" &amp; $BA$9),
_xlpm.col, AI$72+$D82*10,
INDEX(_xlpm.rango,$BA$4-3,_xlpm.col) +
INDEX(_xlpm.rango,$BA$4-2,_xlpm.col) +
INDEX(_xlpm.rango,$BA$4-1,_xlpm.col) +
INDEX(_xlpm.rango,$BA$4, _xlpm.col)
)</f>
        <v/>
      </c>
      <c r="AJ83" s="95">
        <f t="array" ref="AJ83">_xlfn.LET(
_xlpm.rango, INDIRECT("E!$C$" &amp; $BA$8 &amp; ":$DR$" &amp; $BA$9),
_xlpm.col, AJ$72+$D82*10,
INDEX(_xlpm.rango,$BA$4-3,_xlpm.col) +
INDEX(_xlpm.rango,$BA$4-2,_xlpm.col) +
INDEX(_xlpm.rango,$BA$4-1,_xlpm.col) +
INDEX(_xlpm.rango,$BA$4, _xlpm.col)
)</f>
        <v/>
      </c>
      <c r="AK83" s="95">
        <f t="array" ref="AK83">_xlfn.LET(
_xlpm.rango, INDIRECT("E!$C$" &amp; $BA$8 &amp; ":$DR$" &amp; $BA$9),
_xlpm.col, AK$72+$D82*10,
INDEX(_xlpm.rango,$BA$4-3,_xlpm.col) +
INDEX(_xlpm.rango,$BA$4-2,_xlpm.col) +
INDEX(_xlpm.rango,$BA$4-1,_xlpm.col) +
INDEX(_xlpm.rango,$BA$4, _xlpm.col)
)</f>
        <v/>
      </c>
      <c r="AL83" s="95">
        <f t="array" ref="AL83">_xlfn.LET(
_xlpm.rango, INDIRECT("E!$C$" &amp; $BA$8 &amp; ":$DR$" &amp; $BA$9),
_xlpm.col, AL$72+$D82*10,
INDEX(_xlpm.rango,$BA$4-3,_xlpm.col) +
INDEX(_xlpm.rango,$BA$4-2,_xlpm.col) +
INDEX(_xlpm.rango,$BA$4-1,_xlpm.col) +
INDEX(_xlpm.rango,$BA$4, _xlpm.col)
)</f>
        <v/>
      </c>
      <c r="AM83" s="95">
        <f t="array" ref="AM83">_xlfn.LET(
_xlpm.rango, INDIRECT("E!$C$" &amp; $BA$8 &amp; ":$DR$" &amp; $BA$9),
_xlpm.col, AM$72+$D82*10,
INDEX(_xlpm.rango,$BA$4-3,_xlpm.col) +
INDEX(_xlpm.rango,$BA$4-2,_xlpm.col) +
INDEX(_xlpm.rango,$BA$4-1,_xlpm.col) +
INDEX(_xlpm.rango,$BA$4, _xlpm.col)
)</f>
        <v/>
      </c>
      <c r="AN83" s="95">
        <f t="array" ref="AN83">_xlfn.LET(
_xlpm.rango, INDIRECT("E!$C$" &amp; $BA$8 &amp; ":$DR$" &amp; $BA$9),
_xlpm.col, AN$72+$D82*10,
INDEX(_xlpm.rango,$BA$4-3,_xlpm.col) +
INDEX(_xlpm.rango,$BA$4-2,_xlpm.col) +
INDEX(_xlpm.rango,$BA$4-1,_xlpm.col) +
INDEX(_xlpm.rango,$BA$4, _xlpm.col)
)</f>
        <v/>
      </c>
      <c r="AO83" s="95">
        <f t="array" ref="AO83">_xlfn.LET(
_xlpm.rango, INDIRECT("E!$C$" &amp; $BA$8 &amp; ":$DR$" &amp; $BA$9),
_xlpm.col, AO$72+$D82*10,
INDEX(_xlpm.rango,$BA$4-3,_xlpm.col) +
INDEX(_xlpm.rango,$BA$4-2,_xlpm.col) +
INDEX(_xlpm.rango,$BA$4-1,_xlpm.col) +
INDEX(_xlpm.rango,$BA$4, _xlpm.col)
)</f>
        <v/>
      </c>
      <c r="AP83" s="95">
        <f t="array" ref="AP83">_xlfn.LET(
_xlpm.rango, INDIRECT("E!$C$" &amp; $BA$8 &amp; ":$DR$" &amp; $BA$9),
_xlpm.col, AP$72+$D82*10,
INDEX(_xlpm.rango,$BA$4-3,_xlpm.col) +
INDEX(_xlpm.rango,$BA$4-2,_xlpm.col) +
INDEX(_xlpm.rango,$BA$4-1,_xlpm.col) +
INDEX(_xlpm.rango,$BA$4, _xlpm.col)
)</f>
        <v/>
      </c>
      <c r="AQ83" s="95">
        <f t="array" ref="AQ83">_xlfn.LET(
_xlpm.rango, INDIRECT("E!$C$" &amp; $BA$8 &amp; ":$DR$" &amp; $BA$9),
_xlpm.col, AQ$72+$D82*10,
INDEX(_xlpm.rango,$BA$4-3,_xlpm.col) +
INDEX(_xlpm.rango,$BA$4-2,_xlpm.col) +
INDEX(_xlpm.rango,$BA$4-1,_xlpm.col) +
INDEX(_xlpm.rango,$BA$4, _xlpm.col)
)</f>
        <v/>
      </c>
      <c r="AR83" s="95">
        <f t="array" ref="AR83">_xlfn.LET(
_xlpm.rango, INDIRECT("E!$C$" &amp; $BA$8 &amp; ":$DR$" &amp; $BA$9),
_xlpm.col, AR$72+$D82*10,
INDEX(_xlpm.rango,$BA$4-3,_xlpm.col) +
INDEX(_xlpm.rango,$BA$4-2,_xlpm.col) +
INDEX(_xlpm.rango,$BA$4-1,_xlpm.col) +
INDEX(_xlpm.rango,$BA$4, _xlpm.col)
)</f>
        <v/>
      </c>
      <c r="AS83" s="112">
        <f t="array" ref="AS83">_xlfn.LET(
_xlpm.rango, INDIRECT("E!$C$" &amp; $BA$8 &amp; ":$DR$" &amp; $BA$9),
_xlpm.col, AS$72+$D82*10,
INDEX(_xlpm.rango,$BA$4-3,_xlpm.col) +
INDEX(_xlpm.rango,$BA$4-2,_xlpm.col) +
INDEX(_xlpm.rango,$BA$4-1,_xlpm.col) +
INDEX(_xlpm.rango,$BA$4, _xlpm.col)
)</f>
        <v/>
      </c>
      <c r="AT83" s="118">
        <f>SUM(F83:AS83)</f>
        <v/>
      </c>
      <c r="AU83" s="120">
        <f>AT83/$AT$88</f>
        <v/>
      </c>
    </row>
    <row r="84">
      <c r="D84" t="n">
        <v>9</v>
      </c>
      <c r="E84" s="106">
        <f>Inicio!V12</f>
        <v/>
      </c>
      <c r="F84" s="100">
        <f t="array" ref="F84">_xlfn.LET(
_xlpm.rango, INDIRECT("N!$C$" &amp; $BA$8 &amp; ":$DR$" &amp; $BA$9),
_xlpm.col, F$72+$D83*10,
INDEX(_xlpm.rango,$BA$4-3,_xlpm.col) +
INDEX(_xlpm.rango,$BA$4-2,_xlpm.col) +
INDEX(_xlpm.rango,$BA$4-1,_xlpm.col) +
INDEX(_xlpm.rango,$BA$4, _xlpm.col)
)</f>
        <v/>
      </c>
      <c r="G84" s="95">
        <f t="array" ref="G84">_xlfn.LET(
_xlpm.rango, INDIRECT("N!$C$" &amp; $BA$8 &amp; ":$DR$" &amp; $BA$9),
_xlpm.col, G$72+$D83*10,
INDEX(_xlpm.rango,$BA$4-3,_xlpm.col) +
INDEX(_xlpm.rango,$BA$4-2,_xlpm.col) +
INDEX(_xlpm.rango,$BA$4-1,_xlpm.col) +
INDEX(_xlpm.rango,$BA$4, _xlpm.col)
)</f>
        <v/>
      </c>
      <c r="H84" s="95">
        <f t="array" ref="H84">_xlfn.LET(
_xlpm.rango, INDIRECT("N!$C$" &amp; $BA$8 &amp; ":$DR$" &amp; $BA$9),
_xlpm.col, H$72+$D83*10,
INDEX(_xlpm.rango,$BA$4-3,_xlpm.col) +
INDEX(_xlpm.rango,$BA$4-2,_xlpm.col) +
INDEX(_xlpm.rango,$BA$4-1,_xlpm.col) +
INDEX(_xlpm.rango,$BA$4, _xlpm.col)
)</f>
        <v/>
      </c>
      <c r="I84" s="95">
        <f t="array" ref="I84">_xlfn.LET(
_xlpm.rango, INDIRECT("N!$C$" &amp; $BA$8 &amp; ":$DR$" &amp; $BA$9),
_xlpm.col, I$72+$D83*10,
INDEX(_xlpm.rango,$BA$4-3,_xlpm.col) +
INDEX(_xlpm.rango,$BA$4-2,_xlpm.col) +
INDEX(_xlpm.rango,$BA$4-1,_xlpm.col) +
INDEX(_xlpm.rango,$BA$4, _xlpm.col)
)</f>
        <v/>
      </c>
      <c r="J84" s="95">
        <f t="array" ref="J84">_xlfn.LET(
_xlpm.rango, INDIRECT("N!$C$" &amp; $BA$8 &amp; ":$DR$" &amp; $BA$9),
_xlpm.col, J$72+$D83*10,
INDEX(_xlpm.rango,$BA$4-3,_xlpm.col) +
INDEX(_xlpm.rango,$BA$4-2,_xlpm.col) +
INDEX(_xlpm.rango,$BA$4-1,_xlpm.col) +
INDEX(_xlpm.rango,$BA$4, _xlpm.col)
)</f>
        <v/>
      </c>
      <c r="K84" s="95">
        <f t="array" ref="K84">_xlfn.LET(
_xlpm.rango, INDIRECT("N!$C$" &amp; $BA$8 &amp; ":$DR$" &amp; $BA$9),
_xlpm.col, K$72+$D83*10,
INDEX(_xlpm.rango,$BA$4-3,_xlpm.col) +
INDEX(_xlpm.rango,$BA$4-2,_xlpm.col) +
INDEX(_xlpm.rango,$BA$4-1,_xlpm.col) +
INDEX(_xlpm.rango,$BA$4, _xlpm.col)
)</f>
        <v/>
      </c>
      <c r="L84" s="95">
        <f t="array" ref="L84">_xlfn.LET(
_xlpm.rango, INDIRECT("N!$C$" &amp; $BA$8 &amp; ":$DR$" &amp; $BA$9),
_xlpm.col, L$72+$D83*10,
INDEX(_xlpm.rango,$BA$4-3,_xlpm.col) +
INDEX(_xlpm.rango,$BA$4-2,_xlpm.col) +
INDEX(_xlpm.rango,$BA$4-1,_xlpm.col) +
INDEX(_xlpm.rango,$BA$4, _xlpm.col)
)</f>
        <v/>
      </c>
      <c r="M84" s="95">
        <f t="array" ref="M84">_xlfn.LET(
_xlpm.rango, INDIRECT("N!$C$" &amp; $BA$8 &amp; ":$DR$" &amp; $BA$9),
_xlpm.col, M$72+$D83*10,
INDEX(_xlpm.rango,$BA$4-3,_xlpm.col) +
INDEX(_xlpm.rango,$BA$4-2,_xlpm.col) +
INDEX(_xlpm.rango,$BA$4-1,_xlpm.col) +
INDEX(_xlpm.rango,$BA$4, _xlpm.col)
)</f>
        <v/>
      </c>
      <c r="N84" s="95">
        <f t="array" ref="N84">_xlfn.LET(
_xlpm.rango, INDIRECT("N!$C$" &amp; $BA$8 &amp; ":$DR$" &amp; $BA$9),
_xlpm.col, N$72+$D83*10,
INDEX(_xlpm.rango,$BA$4-3,_xlpm.col) +
INDEX(_xlpm.rango,$BA$4-2,_xlpm.col) +
INDEX(_xlpm.rango,$BA$4-1,_xlpm.col) +
INDEX(_xlpm.rango,$BA$4, _xlpm.col)
)</f>
        <v/>
      </c>
      <c r="O84" s="96">
        <f t="array" ref="O84">_xlfn.LET(
_xlpm.rango, INDIRECT("N!$C$" &amp; $BA$8 &amp; ":$DR$" &amp; $BA$9),
_xlpm.col, O$72+$D83*10,
INDEX(_xlpm.rango,$BA$4-3,_xlpm.col) +
INDEX(_xlpm.rango,$BA$4-2,_xlpm.col) +
INDEX(_xlpm.rango,$BA$4-1,_xlpm.col) +
INDEX(_xlpm.rango,$BA$4, _xlpm.col)
)</f>
        <v/>
      </c>
      <c r="P84" s="95">
        <f t="array" ref="P84">_xlfn.LET(
_xlpm.rango, INDIRECT("S!$C$" &amp; $BA$8 &amp; ":$DR$" &amp; $BA$9),
_xlpm.col, P$72+$D83*10,
INDEX(_xlpm.rango,$BA$4-3,_xlpm.col) +
INDEX(_xlpm.rango,$BA$4-2,_xlpm.col) +
INDEX(_xlpm.rango,$BA$4-1,_xlpm.col) +
INDEX(_xlpm.rango,$BA$4, _xlpm.col)
)</f>
        <v/>
      </c>
      <c r="Q84" s="95">
        <f t="array" ref="Q84">_xlfn.LET(
_xlpm.rango, INDIRECT("S!$C$" &amp; $BA$8 &amp; ":$DR$" &amp; $BA$9),
_xlpm.col, Q$72+$D83*10,
INDEX(_xlpm.rango,$BA$4-3,_xlpm.col) +
INDEX(_xlpm.rango,$BA$4-2,_xlpm.col) +
INDEX(_xlpm.rango,$BA$4-1,_xlpm.col) +
INDEX(_xlpm.rango,$BA$4, _xlpm.col)
)</f>
        <v/>
      </c>
      <c r="R84" s="95">
        <f t="array" ref="R84">_xlfn.LET(
_xlpm.rango, INDIRECT("S!$C$" &amp; $BA$8 &amp; ":$DR$" &amp; $BA$9),
_xlpm.col, R$72+$D83*10,
INDEX(_xlpm.rango,$BA$4-3,_xlpm.col) +
INDEX(_xlpm.rango,$BA$4-2,_xlpm.col) +
INDEX(_xlpm.rango,$BA$4-1,_xlpm.col) +
INDEX(_xlpm.rango,$BA$4, _xlpm.col)
)</f>
        <v/>
      </c>
      <c r="S84" s="95">
        <f t="array" ref="S84">_xlfn.LET(
_xlpm.rango, INDIRECT("S!$C$" &amp; $BA$8 &amp; ":$DR$" &amp; $BA$9),
_xlpm.col, S$72+$D83*10,
INDEX(_xlpm.rango,$BA$4-3,_xlpm.col) +
INDEX(_xlpm.rango,$BA$4-2,_xlpm.col) +
INDEX(_xlpm.rango,$BA$4-1,_xlpm.col) +
INDEX(_xlpm.rango,$BA$4, _xlpm.col)
)</f>
        <v/>
      </c>
      <c r="T84" s="95">
        <f t="array" ref="T84">_xlfn.LET(
_xlpm.rango, INDIRECT("S!$C$" &amp; $BA$8 &amp; ":$DR$" &amp; $BA$9),
_xlpm.col, T$72+$D83*10,
INDEX(_xlpm.rango,$BA$4-3,_xlpm.col) +
INDEX(_xlpm.rango,$BA$4-2,_xlpm.col) +
INDEX(_xlpm.rango,$BA$4-1,_xlpm.col) +
INDEX(_xlpm.rango,$BA$4, _xlpm.col)
)</f>
        <v/>
      </c>
      <c r="U84" s="95">
        <f t="array" ref="U84">_xlfn.LET(
_xlpm.rango, INDIRECT("S!$C$" &amp; $BA$8 &amp; ":$DR$" &amp; $BA$9),
_xlpm.col, U$72+$D83*10,
INDEX(_xlpm.rango,$BA$4-3,_xlpm.col) +
INDEX(_xlpm.rango,$BA$4-2,_xlpm.col) +
INDEX(_xlpm.rango,$BA$4-1,_xlpm.col) +
INDEX(_xlpm.rango,$BA$4, _xlpm.col)
)</f>
        <v/>
      </c>
      <c r="V84" s="95">
        <f t="array" ref="V84">_xlfn.LET(
_xlpm.rango, INDIRECT("S!$C$" &amp; $BA$8 &amp; ":$DR$" &amp; $BA$9),
_xlpm.col, V$72+$D83*10,
INDEX(_xlpm.rango,$BA$4-3,_xlpm.col) +
INDEX(_xlpm.rango,$BA$4-2,_xlpm.col) +
INDEX(_xlpm.rango,$BA$4-1,_xlpm.col) +
INDEX(_xlpm.rango,$BA$4, _xlpm.col)
)</f>
        <v/>
      </c>
      <c r="W84" s="95">
        <f t="array" ref="W84">_xlfn.LET(
_xlpm.rango, INDIRECT("S!$C$" &amp; $BA$8 &amp; ":$DR$" &amp; $BA$9),
_xlpm.col, W$72+$D83*10,
INDEX(_xlpm.rango,$BA$4-3,_xlpm.col) +
INDEX(_xlpm.rango,$BA$4-2,_xlpm.col) +
INDEX(_xlpm.rango,$BA$4-1,_xlpm.col) +
INDEX(_xlpm.rango,$BA$4, _xlpm.col)
)</f>
        <v/>
      </c>
      <c r="X84" s="95">
        <f t="array" ref="X84">_xlfn.LET(
_xlpm.rango, INDIRECT("S!$C$" &amp; $BA$8 &amp; ":$DR$" &amp; $BA$9),
_xlpm.col, X$72+$D83*10,
INDEX(_xlpm.rango,$BA$4-3,_xlpm.col) +
INDEX(_xlpm.rango,$BA$4-2,_xlpm.col) +
INDEX(_xlpm.rango,$BA$4-1,_xlpm.col) +
INDEX(_xlpm.rango,$BA$4, _xlpm.col)
)</f>
        <v/>
      </c>
      <c r="Y84" s="95">
        <f t="array" ref="Y84">_xlfn.LET(
_xlpm.rango, INDIRECT("S!$C$" &amp; $BA$8 &amp; ":$DR$" &amp; $BA$9),
_xlpm.col, Y$72+$D83*10,
INDEX(_xlpm.rango,$BA$4-3,_xlpm.col) +
INDEX(_xlpm.rango,$BA$4-2,_xlpm.col) +
INDEX(_xlpm.rango,$BA$4-1,_xlpm.col) +
INDEX(_xlpm.rango,$BA$4, _xlpm.col)
)</f>
        <v/>
      </c>
      <c r="Z84" s="100">
        <f t="array" ref="Z84">_xlfn.LET(
_xlpm.rango, INDIRECT("E!$C$" &amp; $BA$8 &amp; ":$DR$" &amp; $BA$9),
_xlpm.col, Z$72+$D83*10,
INDEX(_xlpm.rango,$BA$4-3,_xlpm.col) +
INDEX(_xlpm.rango,$BA$4-2,_xlpm.col) +
INDEX(_xlpm.rango,$BA$4-1,_xlpm.col) +
INDEX(_xlpm.rango,$BA$4, _xlpm.col)
)</f>
        <v/>
      </c>
      <c r="AA84" s="95">
        <f t="array" ref="AA84">_xlfn.LET(
_xlpm.rango, INDIRECT("E!$C$" &amp; $BA$8 &amp; ":$DR$" &amp; $BA$9),
_xlpm.col, AA$72+$D83*10,
INDEX(_xlpm.rango,$BA$4-3,_xlpm.col) +
INDEX(_xlpm.rango,$BA$4-2,_xlpm.col) +
INDEX(_xlpm.rango,$BA$4-1,_xlpm.col) +
INDEX(_xlpm.rango,$BA$4, _xlpm.col)
)</f>
        <v/>
      </c>
      <c r="AB84" s="95">
        <f t="array" ref="AB84">_xlfn.LET(
_xlpm.rango, INDIRECT("E!$C$" &amp; $BA$8 &amp; ":$DR$" &amp; $BA$9),
_xlpm.col, AB$72+$D83*10,
INDEX(_xlpm.rango,$BA$4-3,_xlpm.col) +
INDEX(_xlpm.rango,$BA$4-2,_xlpm.col) +
INDEX(_xlpm.rango,$BA$4-1,_xlpm.col) +
INDEX(_xlpm.rango,$BA$4, _xlpm.col)
)</f>
        <v/>
      </c>
      <c r="AC84" s="95">
        <f t="array" ref="AC84">_xlfn.LET(
_xlpm.rango, INDIRECT("E!$C$" &amp; $BA$8 &amp; ":$DR$" &amp; $BA$9),
_xlpm.col, AC$72+$D83*10,
INDEX(_xlpm.rango,$BA$4-3,_xlpm.col) +
INDEX(_xlpm.rango,$BA$4-2,_xlpm.col) +
INDEX(_xlpm.rango,$BA$4-1,_xlpm.col) +
INDEX(_xlpm.rango,$BA$4, _xlpm.col)
)</f>
        <v/>
      </c>
      <c r="AD84" s="95">
        <f t="array" ref="AD84">_xlfn.LET(
_xlpm.rango, INDIRECT("E!$C$" &amp; $BA$8 &amp; ":$DR$" &amp; $BA$9),
_xlpm.col, AD$72+$D83*10,
INDEX(_xlpm.rango,$BA$4-3,_xlpm.col) +
INDEX(_xlpm.rango,$BA$4-2,_xlpm.col) +
INDEX(_xlpm.rango,$BA$4-1,_xlpm.col) +
INDEX(_xlpm.rango,$BA$4, _xlpm.col)
)</f>
        <v/>
      </c>
      <c r="AE84" s="95">
        <f t="array" ref="AE84">_xlfn.LET(
_xlpm.rango, INDIRECT("E!$C$" &amp; $BA$8 &amp; ":$DR$" &amp; $BA$9),
_xlpm.col, AE$72+$D83*10,
INDEX(_xlpm.rango,$BA$4-3,_xlpm.col) +
INDEX(_xlpm.rango,$BA$4-2,_xlpm.col) +
INDEX(_xlpm.rango,$BA$4-1,_xlpm.col) +
INDEX(_xlpm.rango,$BA$4, _xlpm.col)
)</f>
        <v/>
      </c>
      <c r="AF84" s="95">
        <f t="array" ref="AF84">_xlfn.LET(
_xlpm.rango, INDIRECT("E!$C$" &amp; $BA$8 &amp; ":$DR$" &amp; $BA$9),
_xlpm.col, AF$72+$D83*10,
INDEX(_xlpm.rango,$BA$4-3,_xlpm.col) +
INDEX(_xlpm.rango,$BA$4-2,_xlpm.col) +
INDEX(_xlpm.rango,$BA$4-1,_xlpm.col) +
INDEX(_xlpm.rango,$BA$4, _xlpm.col)
)</f>
        <v/>
      </c>
      <c r="AG84" s="95">
        <f t="array" ref="AG84">_xlfn.LET(
_xlpm.rango, INDIRECT("E!$C$" &amp; $BA$8 &amp; ":$DR$" &amp; $BA$9),
_xlpm.col, AG$72+$D83*10,
INDEX(_xlpm.rango,$BA$4-3,_xlpm.col) +
INDEX(_xlpm.rango,$BA$4-2,_xlpm.col) +
INDEX(_xlpm.rango,$BA$4-1,_xlpm.col) +
INDEX(_xlpm.rango,$BA$4, _xlpm.col)
)</f>
        <v/>
      </c>
      <c r="AH84" s="95">
        <f t="array" ref="AH84">_xlfn.LET(
_xlpm.rango, INDIRECT("E!$C$" &amp; $BA$8 &amp; ":$DR$" &amp; $BA$9),
_xlpm.col, AH$72+$D83*10,
INDEX(_xlpm.rango,$BA$4-3,_xlpm.col) +
INDEX(_xlpm.rango,$BA$4-2,_xlpm.col) +
INDEX(_xlpm.rango,$BA$4-1,_xlpm.col) +
INDEX(_xlpm.rango,$BA$4, _xlpm.col)
)</f>
        <v/>
      </c>
      <c r="AI84" s="96">
        <f t="array" ref="AI84">_xlfn.LET(
_xlpm.rango, INDIRECT("E!$C$" &amp; $BA$8 &amp; ":$DR$" &amp; $BA$9),
_xlpm.col, AI$72+$D83*10,
INDEX(_xlpm.rango,$BA$4-3,_xlpm.col) +
INDEX(_xlpm.rango,$BA$4-2,_xlpm.col) +
INDEX(_xlpm.rango,$BA$4-1,_xlpm.col) +
INDEX(_xlpm.rango,$BA$4, _xlpm.col)
)</f>
        <v/>
      </c>
      <c r="AJ84" s="95">
        <f t="array" ref="AJ84">_xlfn.LET(
_xlpm.rango, INDIRECT("E!$C$" &amp; $BA$8 &amp; ":$DR$" &amp; $BA$9),
_xlpm.col, AJ$72+$D83*10,
INDEX(_xlpm.rango,$BA$4-3,_xlpm.col) +
INDEX(_xlpm.rango,$BA$4-2,_xlpm.col) +
INDEX(_xlpm.rango,$BA$4-1,_xlpm.col) +
INDEX(_xlpm.rango,$BA$4, _xlpm.col)
)</f>
        <v/>
      </c>
      <c r="AK84" s="95">
        <f t="array" ref="AK84">_xlfn.LET(
_xlpm.rango, INDIRECT("E!$C$" &amp; $BA$8 &amp; ":$DR$" &amp; $BA$9),
_xlpm.col, AK$72+$D83*10,
INDEX(_xlpm.rango,$BA$4-3,_xlpm.col) +
INDEX(_xlpm.rango,$BA$4-2,_xlpm.col) +
INDEX(_xlpm.rango,$BA$4-1,_xlpm.col) +
INDEX(_xlpm.rango,$BA$4, _xlpm.col)
)</f>
        <v/>
      </c>
      <c r="AL84" s="95">
        <f t="array" ref="AL84">_xlfn.LET(
_xlpm.rango, INDIRECT("E!$C$" &amp; $BA$8 &amp; ":$DR$" &amp; $BA$9),
_xlpm.col, AL$72+$D83*10,
INDEX(_xlpm.rango,$BA$4-3,_xlpm.col) +
INDEX(_xlpm.rango,$BA$4-2,_xlpm.col) +
INDEX(_xlpm.rango,$BA$4-1,_xlpm.col) +
INDEX(_xlpm.rango,$BA$4, _xlpm.col)
)</f>
        <v/>
      </c>
      <c r="AM84" s="95">
        <f t="array" ref="AM84">_xlfn.LET(
_xlpm.rango, INDIRECT("E!$C$" &amp; $BA$8 &amp; ":$DR$" &amp; $BA$9),
_xlpm.col, AM$72+$D83*10,
INDEX(_xlpm.rango,$BA$4-3,_xlpm.col) +
INDEX(_xlpm.rango,$BA$4-2,_xlpm.col) +
INDEX(_xlpm.rango,$BA$4-1,_xlpm.col) +
INDEX(_xlpm.rango,$BA$4, _xlpm.col)
)</f>
        <v/>
      </c>
      <c r="AN84" s="95">
        <f t="array" ref="AN84">_xlfn.LET(
_xlpm.rango, INDIRECT("E!$C$" &amp; $BA$8 &amp; ":$DR$" &amp; $BA$9),
_xlpm.col, AN$72+$D83*10,
INDEX(_xlpm.rango,$BA$4-3,_xlpm.col) +
INDEX(_xlpm.rango,$BA$4-2,_xlpm.col) +
INDEX(_xlpm.rango,$BA$4-1,_xlpm.col) +
INDEX(_xlpm.rango,$BA$4, _xlpm.col)
)</f>
        <v/>
      </c>
      <c r="AO84" s="95">
        <f t="array" ref="AO84">_xlfn.LET(
_xlpm.rango, INDIRECT("E!$C$" &amp; $BA$8 &amp; ":$DR$" &amp; $BA$9),
_xlpm.col, AO$72+$D83*10,
INDEX(_xlpm.rango,$BA$4-3,_xlpm.col) +
INDEX(_xlpm.rango,$BA$4-2,_xlpm.col) +
INDEX(_xlpm.rango,$BA$4-1,_xlpm.col) +
INDEX(_xlpm.rango,$BA$4, _xlpm.col)
)</f>
        <v/>
      </c>
      <c r="AP84" s="95">
        <f t="array" ref="AP84">_xlfn.LET(
_xlpm.rango, INDIRECT("E!$C$" &amp; $BA$8 &amp; ":$DR$" &amp; $BA$9),
_xlpm.col, AP$72+$D83*10,
INDEX(_xlpm.rango,$BA$4-3,_xlpm.col) +
INDEX(_xlpm.rango,$BA$4-2,_xlpm.col) +
INDEX(_xlpm.rango,$BA$4-1,_xlpm.col) +
INDEX(_xlpm.rango,$BA$4, _xlpm.col)
)</f>
        <v/>
      </c>
      <c r="AQ84" s="95">
        <f t="array" ref="AQ84">_xlfn.LET(
_xlpm.rango, INDIRECT("E!$C$" &amp; $BA$8 &amp; ":$DR$" &amp; $BA$9),
_xlpm.col, AQ$72+$D83*10,
INDEX(_xlpm.rango,$BA$4-3,_xlpm.col) +
INDEX(_xlpm.rango,$BA$4-2,_xlpm.col) +
INDEX(_xlpm.rango,$BA$4-1,_xlpm.col) +
INDEX(_xlpm.rango,$BA$4, _xlpm.col)
)</f>
        <v/>
      </c>
      <c r="AR84" s="95">
        <f t="array" ref="AR84">_xlfn.LET(
_xlpm.rango, INDIRECT("E!$C$" &amp; $BA$8 &amp; ":$DR$" &amp; $BA$9),
_xlpm.col, AR$72+$D83*10,
INDEX(_xlpm.rango,$BA$4-3,_xlpm.col) +
INDEX(_xlpm.rango,$BA$4-2,_xlpm.col) +
INDEX(_xlpm.rango,$BA$4-1,_xlpm.col) +
INDEX(_xlpm.rango,$BA$4, _xlpm.col)
)</f>
        <v/>
      </c>
      <c r="AS84" s="112">
        <f t="array" ref="AS84">_xlfn.LET(
_xlpm.rango, INDIRECT("E!$C$" &amp; $BA$8 &amp; ":$DR$" &amp; $BA$9),
_xlpm.col, AS$72+$D83*10,
INDEX(_xlpm.rango,$BA$4-3,_xlpm.col) +
INDEX(_xlpm.rango,$BA$4-2,_xlpm.col) +
INDEX(_xlpm.rango,$BA$4-1,_xlpm.col) +
INDEX(_xlpm.rango,$BA$4, _xlpm.col)
)</f>
        <v/>
      </c>
      <c r="AT84" s="118">
        <f>SUM(F84:AS84)</f>
        <v/>
      </c>
      <c r="AU84" s="120">
        <f>AT84/$AT$88</f>
        <v/>
      </c>
    </row>
    <row r="85">
      <c r="D85" t="n">
        <v>10</v>
      </c>
      <c r="E85" s="106">
        <f>Inicio!V13</f>
        <v/>
      </c>
      <c r="F85" s="100">
        <f t="array" ref="F85">_xlfn.LET(
_xlpm.rango, INDIRECT("N!$C$" &amp; $BA$8 &amp; ":$DR$" &amp; $BA$9),
_xlpm.col, F$72+$D84*10,
INDEX(_xlpm.rango,$BA$4-3,_xlpm.col) +
INDEX(_xlpm.rango,$BA$4-2,_xlpm.col) +
INDEX(_xlpm.rango,$BA$4-1,_xlpm.col) +
INDEX(_xlpm.rango,$BA$4, _xlpm.col)
)</f>
        <v/>
      </c>
      <c r="G85" s="95">
        <f t="array" ref="G85">_xlfn.LET(
_xlpm.rango, INDIRECT("N!$C$" &amp; $BA$8 &amp; ":$DR$" &amp; $BA$9),
_xlpm.col, G$72+$D84*10,
INDEX(_xlpm.rango,$BA$4-3,_xlpm.col) +
INDEX(_xlpm.rango,$BA$4-2,_xlpm.col) +
INDEX(_xlpm.rango,$BA$4-1,_xlpm.col) +
INDEX(_xlpm.rango,$BA$4, _xlpm.col)
)</f>
        <v/>
      </c>
      <c r="H85" s="95">
        <f t="array" ref="H85">_xlfn.LET(
_xlpm.rango, INDIRECT("N!$C$" &amp; $BA$8 &amp; ":$DR$" &amp; $BA$9),
_xlpm.col, H$72+$D84*10,
INDEX(_xlpm.rango,$BA$4-3,_xlpm.col) +
INDEX(_xlpm.rango,$BA$4-2,_xlpm.col) +
INDEX(_xlpm.rango,$BA$4-1,_xlpm.col) +
INDEX(_xlpm.rango,$BA$4, _xlpm.col)
)</f>
        <v/>
      </c>
      <c r="I85" s="95">
        <f t="array" ref="I85">_xlfn.LET(
_xlpm.rango, INDIRECT("N!$C$" &amp; $BA$8 &amp; ":$DR$" &amp; $BA$9),
_xlpm.col, I$72+$D84*10,
INDEX(_xlpm.rango,$BA$4-3,_xlpm.col) +
INDEX(_xlpm.rango,$BA$4-2,_xlpm.col) +
INDEX(_xlpm.rango,$BA$4-1,_xlpm.col) +
INDEX(_xlpm.rango,$BA$4, _xlpm.col)
)</f>
        <v/>
      </c>
      <c r="J85" s="95">
        <f t="array" ref="J85">_xlfn.LET(
_xlpm.rango, INDIRECT("N!$C$" &amp; $BA$8 &amp; ":$DR$" &amp; $BA$9),
_xlpm.col, J$72+$D84*10,
INDEX(_xlpm.rango,$BA$4-3,_xlpm.col) +
INDEX(_xlpm.rango,$BA$4-2,_xlpm.col) +
INDEX(_xlpm.rango,$BA$4-1,_xlpm.col) +
INDEX(_xlpm.rango,$BA$4, _xlpm.col)
)</f>
        <v/>
      </c>
      <c r="K85" s="95">
        <f t="array" ref="K85">_xlfn.LET(
_xlpm.rango, INDIRECT("N!$C$" &amp; $BA$8 &amp; ":$DR$" &amp; $BA$9),
_xlpm.col, K$72+$D84*10,
INDEX(_xlpm.rango,$BA$4-3,_xlpm.col) +
INDEX(_xlpm.rango,$BA$4-2,_xlpm.col) +
INDEX(_xlpm.rango,$BA$4-1,_xlpm.col) +
INDEX(_xlpm.rango,$BA$4, _xlpm.col)
)</f>
        <v/>
      </c>
      <c r="L85" s="95">
        <f t="array" ref="L85">_xlfn.LET(
_xlpm.rango, INDIRECT("N!$C$" &amp; $BA$8 &amp; ":$DR$" &amp; $BA$9),
_xlpm.col, L$72+$D84*10,
INDEX(_xlpm.rango,$BA$4-3,_xlpm.col) +
INDEX(_xlpm.rango,$BA$4-2,_xlpm.col) +
INDEX(_xlpm.rango,$BA$4-1,_xlpm.col) +
INDEX(_xlpm.rango,$BA$4, _xlpm.col)
)</f>
        <v/>
      </c>
      <c r="M85" s="95">
        <f t="array" ref="M85">_xlfn.LET(
_xlpm.rango, INDIRECT("N!$C$" &amp; $BA$8 &amp; ":$DR$" &amp; $BA$9),
_xlpm.col, M$72+$D84*10,
INDEX(_xlpm.rango,$BA$4-3,_xlpm.col) +
INDEX(_xlpm.rango,$BA$4-2,_xlpm.col) +
INDEX(_xlpm.rango,$BA$4-1,_xlpm.col) +
INDEX(_xlpm.rango,$BA$4, _xlpm.col)
)</f>
        <v/>
      </c>
      <c r="N85" s="95">
        <f t="array" ref="N85">_xlfn.LET(
_xlpm.rango, INDIRECT("N!$C$" &amp; $BA$8 &amp; ":$DR$" &amp; $BA$9),
_xlpm.col, N$72+$D84*10,
INDEX(_xlpm.rango,$BA$4-3,_xlpm.col) +
INDEX(_xlpm.rango,$BA$4-2,_xlpm.col) +
INDEX(_xlpm.rango,$BA$4-1,_xlpm.col) +
INDEX(_xlpm.rango,$BA$4, _xlpm.col)
)</f>
        <v/>
      </c>
      <c r="O85" s="96">
        <f t="array" ref="O85">_xlfn.LET(
_xlpm.rango, INDIRECT("N!$C$" &amp; $BA$8 &amp; ":$DR$" &amp; $BA$9),
_xlpm.col, O$72+$D84*10,
INDEX(_xlpm.rango,$BA$4-3,_xlpm.col) +
INDEX(_xlpm.rango,$BA$4-2,_xlpm.col) +
INDEX(_xlpm.rango,$BA$4-1,_xlpm.col) +
INDEX(_xlpm.rango,$BA$4, _xlpm.col)
)</f>
        <v/>
      </c>
      <c r="P85" s="95">
        <f t="array" ref="P85">_xlfn.LET(
_xlpm.rango, INDIRECT("S!$C$" &amp; $BA$8 &amp; ":$DR$" &amp; $BA$9),
_xlpm.col, P$72+$D84*10,
INDEX(_xlpm.rango,$BA$4-3,_xlpm.col) +
INDEX(_xlpm.rango,$BA$4-2,_xlpm.col) +
INDEX(_xlpm.rango,$BA$4-1,_xlpm.col) +
INDEX(_xlpm.rango,$BA$4, _xlpm.col)
)</f>
        <v/>
      </c>
      <c r="Q85" s="95">
        <f t="array" ref="Q85">_xlfn.LET(
_xlpm.rango, INDIRECT("S!$C$" &amp; $BA$8 &amp; ":$DR$" &amp; $BA$9),
_xlpm.col, Q$72+$D84*10,
INDEX(_xlpm.rango,$BA$4-3,_xlpm.col) +
INDEX(_xlpm.rango,$BA$4-2,_xlpm.col) +
INDEX(_xlpm.rango,$BA$4-1,_xlpm.col) +
INDEX(_xlpm.rango,$BA$4, _xlpm.col)
)</f>
        <v/>
      </c>
      <c r="R85" s="95">
        <f t="array" ref="R85">_xlfn.LET(
_xlpm.rango, INDIRECT("S!$C$" &amp; $BA$8 &amp; ":$DR$" &amp; $BA$9),
_xlpm.col, R$72+$D84*10,
INDEX(_xlpm.rango,$BA$4-3,_xlpm.col) +
INDEX(_xlpm.rango,$BA$4-2,_xlpm.col) +
INDEX(_xlpm.rango,$BA$4-1,_xlpm.col) +
INDEX(_xlpm.rango,$BA$4, _xlpm.col)
)</f>
        <v/>
      </c>
      <c r="S85" s="95">
        <f t="array" ref="S85">_xlfn.LET(
_xlpm.rango, INDIRECT("S!$C$" &amp; $BA$8 &amp; ":$DR$" &amp; $BA$9),
_xlpm.col, S$72+$D84*10,
INDEX(_xlpm.rango,$BA$4-3,_xlpm.col) +
INDEX(_xlpm.rango,$BA$4-2,_xlpm.col) +
INDEX(_xlpm.rango,$BA$4-1,_xlpm.col) +
INDEX(_xlpm.rango,$BA$4, _xlpm.col)
)</f>
        <v/>
      </c>
      <c r="T85" s="95">
        <f t="array" ref="T85">_xlfn.LET(
_xlpm.rango, INDIRECT("S!$C$" &amp; $BA$8 &amp; ":$DR$" &amp; $BA$9),
_xlpm.col, T$72+$D84*10,
INDEX(_xlpm.rango,$BA$4-3,_xlpm.col) +
INDEX(_xlpm.rango,$BA$4-2,_xlpm.col) +
INDEX(_xlpm.rango,$BA$4-1,_xlpm.col) +
INDEX(_xlpm.rango,$BA$4, _xlpm.col)
)</f>
        <v/>
      </c>
      <c r="U85" s="95">
        <f t="array" ref="U85">_xlfn.LET(
_xlpm.rango, INDIRECT("S!$C$" &amp; $BA$8 &amp; ":$DR$" &amp; $BA$9),
_xlpm.col, U$72+$D84*10,
INDEX(_xlpm.rango,$BA$4-3,_xlpm.col) +
INDEX(_xlpm.rango,$BA$4-2,_xlpm.col) +
INDEX(_xlpm.rango,$BA$4-1,_xlpm.col) +
INDEX(_xlpm.rango,$BA$4, _xlpm.col)
)</f>
        <v/>
      </c>
      <c r="V85" s="95">
        <f t="array" ref="V85">_xlfn.LET(
_xlpm.rango, INDIRECT("S!$C$" &amp; $BA$8 &amp; ":$DR$" &amp; $BA$9),
_xlpm.col, V$72+$D84*10,
INDEX(_xlpm.rango,$BA$4-3,_xlpm.col) +
INDEX(_xlpm.rango,$BA$4-2,_xlpm.col) +
INDEX(_xlpm.rango,$BA$4-1,_xlpm.col) +
INDEX(_xlpm.rango,$BA$4, _xlpm.col)
)</f>
        <v/>
      </c>
      <c r="W85" s="95">
        <f t="array" ref="W85">_xlfn.LET(
_xlpm.rango, INDIRECT("S!$C$" &amp; $BA$8 &amp; ":$DR$" &amp; $BA$9),
_xlpm.col, W$72+$D84*10,
INDEX(_xlpm.rango,$BA$4-3,_xlpm.col) +
INDEX(_xlpm.rango,$BA$4-2,_xlpm.col) +
INDEX(_xlpm.rango,$BA$4-1,_xlpm.col) +
INDEX(_xlpm.rango,$BA$4, _xlpm.col)
)</f>
        <v/>
      </c>
      <c r="X85" s="95">
        <f t="array" ref="X85">_xlfn.LET(
_xlpm.rango, INDIRECT("S!$C$" &amp; $BA$8 &amp; ":$DR$" &amp; $BA$9),
_xlpm.col, X$72+$D84*10,
INDEX(_xlpm.rango,$BA$4-3,_xlpm.col) +
INDEX(_xlpm.rango,$BA$4-2,_xlpm.col) +
INDEX(_xlpm.rango,$BA$4-1,_xlpm.col) +
INDEX(_xlpm.rango,$BA$4, _xlpm.col)
)</f>
        <v/>
      </c>
      <c r="Y85" s="95">
        <f t="array" ref="Y85">_xlfn.LET(
_xlpm.rango, INDIRECT("S!$C$" &amp; $BA$8 &amp; ":$DR$" &amp; $BA$9),
_xlpm.col, Y$72+$D84*10,
INDEX(_xlpm.rango,$BA$4-3,_xlpm.col) +
INDEX(_xlpm.rango,$BA$4-2,_xlpm.col) +
INDEX(_xlpm.rango,$BA$4-1,_xlpm.col) +
INDEX(_xlpm.rango,$BA$4, _xlpm.col)
)</f>
        <v/>
      </c>
      <c r="Z85" s="100">
        <f t="array" ref="Z85">_xlfn.LET(
_xlpm.rango, INDIRECT("E!$C$" &amp; $BA$8 &amp; ":$DR$" &amp; $BA$9),
_xlpm.col, Z$72+$D84*10,
INDEX(_xlpm.rango,$BA$4-3,_xlpm.col) +
INDEX(_xlpm.rango,$BA$4-2,_xlpm.col) +
INDEX(_xlpm.rango,$BA$4-1,_xlpm.col) +
INDEX(_xlpm.rango,$BA$4, _xlpm.col)
)</f>
        <v/>
      </c>
      <c r="AA85" s="95">
        <f t="array" ref="AA85">_xlfn.LET(
_xlpm.rango, INDIRECT("E!$C$" &amp; $BA$8 &amp; ":$DR$" &amp; $BA$9),
_xlpm.col, AA$72+$D84*10,
INDEX(_xlpm.rango,$BA$4-3,_xlpm.col) +
INDEX(_xlpm.rango,$BA$4-2,_xlpm.col) +
INDEX(_xlpm.rango,$BA$4-1,_xlpm.col) +
INDEX(_xlpm.rango,$BA$4, _xlpm.col)
)</f>
        <v/>
      </c>
      <c r="AB85" s="95">
        <f t="array" ref="AB85">_xlfn.LET(
_xlpm.rango, INDIRECT("E!$C$" &amp; $BA$8 &amp; ":$DR$" &amp; $BA$9),
_xlpm.col, AB$72+$D84*10,
INDEX(_xlpm.rango,$BA$4-3,_xlpm.col) +
INDEX(_xlpm.rango,$BA$4-2,_xlpm.col) +
INDEX(_xlpm.rango,$BA$4-1,_xlpm.col) +
INDEX(_xlpm.rango,$BA$4, _xlpm.col)
)</f>
        <v/>
      </c>
      <c r="AC85" s="95">
        <f t="array" ref="AC85">_xlfn.LET(
_xlpm.rango, INDIRECT("E!$C$" &amp; $BA$8 &amp; ":$DR$" &amp; $BA$9),
_xlpm.col, AC$72+$D84*10,
INDEX(_xlpm.rango,$BA$4-3,_xlpm.col) +
INDEX(_xlpm.rango,$BA$4-2,_xlpm.col) +
INDEX(_xlpm.rango,$BA$4-1,_xlpm.col) +
INDEX(_xlpm.rango,$BA$4, _xlpm.col)
)</f>
        <v/>
      </c>
      <c r="AD85" s="95">
        <f t="array" ref="AD85">_xlfn.LET(
_xlpm.rango, INDIRECT("E!$C$" &amp; $BA$8 &amp; ":$DR$" &amp; $BA$9),
_xlpm.col, AD$72+$D84*10,
INDEX(_xlpm.rango,$BA$4-3,_xlpm.col) +
INDEX(_xlpm.rango,$BA$4-2,_xlpm.col) +
INDEX(_xlpm.rango,$BA$4-1,_xlpm.col) +
INDEX(_xlpm.rango,$BA$4, _xlpm.col)
)</f>
        <v/>
      </c>
      <c r="AE85" s="95">
        <f t="array" ref="AE85">_xlfn.LET(
_xlpm.rango, INDIRECT("E!$C$" &amp; $BA$8 &amp; ":$DR$" &amp; $BA$9),
_xlpm.col, AE$72+$D84*10,
INDEX(_xlpm.rango,$BA$4-3,_xlpm.col) +
INDEX(_xlpm.rango,$BA$4-2,_xlpm.col) +
INDEX(_xlpm.rango,$BA$4-1,_xlpm.col) +
INDEX(_xlpm.rango,$BA$4, _xlpm.col)
)</f>
        <v/>
      </c>
      <c r="AF85" s="95">
        <f t="array" ref="AF85">_xlfn.LET(
_xlpm.rango, INDIRECT("E!$C$" &amp; $BA$8 &amp; ":$DR$" &amp; $BA$9),
_xlpm.col, AF$72+$D84*10,
INDEX(_xlpm.rango,$BA$4-3,_xlpm.col) +
INDEX(_xlpm.rango,$BA$4-2,_xlpm.col) +
INDEX(_xlpm.rango,$BA$4-1,_xlpm.col) +
INDEX(_xlpm.rango,$BA$4, _xlpm.col)
)</f>
        <v/>
      </c>
      <c r="AG85" s="95">
        <f t="array" ref="AG85">_xlfn.LET(
_xlpm.rango, INDIRECT("E!$C$" &amp; $BA$8 &amp; ":$DR$" &amp; $BA$9),
_xlpm.col, AG$72+$D84*10,
INDEX(_xlpm.rango,$BA$4-3,_xlpm.col) +
INDEX(_xlpm.rango,$BA$4-2,_xlpm.col) +
INDEX(_xlpm.rango,$BA$4-1,_xlpm.col) +
INDEX(_xlpm.rango,$BA$4, _xlpm.col)
)</f>
        <v/>
      </c>
      <c r="AH85" s="95">
        <f t="array" ref="AH85">_xlfn.LET(
_xlpm.rango, INDIRECT("E!$C$" &amp; $BA$8 &amp; ":$DR$" &amp; $BA$9),
_xlpm.col, AH$72+$D84*10,
INDEX(_xlpm.rango,$BA$4-3,_xlpm.col) +
INDEX(_xlpm.rango,$BA$4-2,_xlpm.col) +
INDEX(_xlpm.rango,$BA$4-1,_xlpm.col) +
INDEX(_xlpm.rango,$BA$4, _xlpm.col)
)</f>
        <v/>
      </c>
      <c r="AI85" s="96">
        <f t="array" ref="AI85">_xlfn.LET(
_xlpm.rango, INDIRECT("E!$C$" &amp; $BA$8 &amp; ":$DR$" &amp; $BA$9),
_xlpm.col, AI$72+$D84*10,
INDEX(_xlpm.rango,$BA$4-3,_xlpm.col) +
INDEX(_xlpm.rango,$BA$4-2,_xlpm.col) +
INDEX(_xlpm.rango,$BA$4-1,_xlpm.col) +
INDEX(_xlpm.rango,$BA$4, _xlpm.col)
)</f>
        <v/>
      </c>
      <c r="AJ85" s="95">
        <f t="array" ref="AJ85">_xlfn.LET(
_xlpm.rango, INDIRECT("E!$C$" &amp; $BA$8 &amp; ":$DR$" &amp; $BA$9),
_xlpm.col, AJ$72+$D84*10,
INDEX(_xlpm.rango,$BA$4-3,_xlpm.col) +
INDEX(_xlpm.rango,$BA$4-2,_xlpm.col) +
INDEX(_xlpm.rango,$BA$4-1,_xlpm.col) +
INDEX(_xlpm.rango,$BA$4, _xlpm.col)
)</f>
        <v/>
      </c>
      <c r="AK85" s="95">
        <f t="array" ref="AK85">_xlfn.LET(
_xlpm.rango, INDIRECT("E!$C$" &amp; $BA$8 &amp; ":$DR$" &amp; $BA$9),
_xlpm.col, AK$72+$D84*10,
INDEX(_xlpm.rango,$BA$4-3,_xlpm.col) +
INDEX(_xlpm.rango,$BA$4-2,_xlpm.col) +
INDEX(_xlpm.rango,$BA$4-1,_xlpm.col) +
INDEX(_xlpm.rango,$BA$4, _xlpm.col)
)</f>
        <v/>
      </c>
      <c r="AL85" s="95">
        <f t="array" ref="AL85">_xlfn.LET(
_xlpm.rango, INDIRECT("E!$C$" &amp; $BA$8 &amp; ":$DR$" &amp; $BA$9),
_xlpm.col, AL$72+$D84*10,
INDEX(_xlpm.rango,$BA$4-3,_xlpm.col) +
INDEX(_xlpm.rango,$BA$4-2,_xlpm.col) +
INDEX(_xlpm.rango,$BA$4-1,_xlpm.col) +
INDEX(_xlpm.rango,$BA$4, _xlpm.col)
)</f>
        <v/>
      </c>
      <c r="AM85" s="95">
        <f t="array" ref="AM85">_xlfn.LET(
_xlpm.rango, INDIRECT("E!$C$" &amp; $BA$8 &amp; ":$DR$" &amp; $BA$9),
_xlpm.col, AM$72+$D84*10,
INDEX(_xlpm.rango,$BA$4-3,_xlpm.col) +
INDEX(_xlpm.rango,$BA$4-2,_xlpm.col) +
INDEX(_xlpm.rango,$BA$4-1,_xlpm.col) +
INDEX(_xlpm.rango,$BA$4, _xlpm.col)
)</f>
        <v/>
      </c>
      <c r="AN85" s="95">
        <f t="array" ref="AN85">_xlfn.LET(
_xlpm.rango, INDIRECT("E!$C$" &amp; $BA$8 &amp; ":$DR$" &amp; $BA$9),
_xlpm.col, AN$72+$D84*10,
INDEX(_xlpm.rango,$BA$4-3,_xlpm.col) +
INDEX(_xlpm.rango,$BA$4-2,_xlpm.col) +
INDEX(_xlpm.rango,$BA$4-1,_xlpm.col) +
INDEX(_xlpm.rango,$BA$4, _xlpm.col)
)</f>
        <v/>
      </c>
      <c r="AO85" s="95">
        <f t="array" ref="AO85">_xlfn.LET(
_xlpm.rango, INDIRECT("E!$C$" &amp; $BA$8 &amp; ":$DR$" &amp; $BA$9),
_xlpm.col, AO$72+$D84*10,
INDEX(_xlpm.rango,$BA$4-3,_xlpm.col) +
INDEX(_xlpm.rango,$BA$4-2,_xlpm.col) +
INDEX(_xlpm.rango,$BA$4-1,_xlpm.col) +
INDEX(_xlpm.rango,$BA$4, _xlpm.col)
)</f>
        <v/>
      </c>
      <c r="AP85" s="95">
        <f t="array" ref="AP85">_xlfn.LET(
_xlpm.rango, INDIRECT("E!$C$" &amp; $BA$8 &amp; ":$DR$" &amp; $BA$9),
_xlpm.col, AP$72+$D84*10,
INDEX(_xlpm.rango,$BA$4-3,_xlpm.col) +
INDEX(_xlpm.rango,$BA$4-2,_xlpm.col) +
INDEX(_xlpm.rango,$BA$4-1,_xlpm.col) +
INDEX(_xlpm.rango,$BA$4, _xlpm.col)
)</f>
        <v/>
      </c>
      <c r="AQ85" s="95">
        <f t="array" ref="AQ85">_xlfn.LET(
_xlpm.rango, INDIRECT("E!$C$" &amp; $BA$8 &amp; ":$DR$" &amp; $BA$9),
_xlpm.col, AQ$72+$D84*10,
INDEX(_xlpm.rango,$BA$4-3,_xlpm.col) +
INDEX(_xlpm.rango,$BA$4-2,_xlpm.col) +
INDEX(_xlpm.rango,$BA$4-1,_xlpm.col) +
INDEX(_xlpm.rango,$BA$4, _xlpm.col)
)</f>
        <v/>
      </c>
      <c r="AR85" s="95">
        <f t="array" ref="AR85">_xlfn.LET(
_xlpm.rango, INDIRECT("E!$C$" &amp; $BA$8 &amp; ":$DR$" &amp; $BA$9),
_xlpm.col, AR$72+$D84*10,
INDEX(_xlpm.rango,$BA$4-3,_xlpm.col) +
INDEX(_xlpm.rango,$BA$4-2,_xlpm.col) +
INDEX(_xlpm.rango,$BA$4-1,_xlpm.col) +
INDEX(_xlpm.rango,$BA$4, _xlpm.col)
)</f>
        <v/>
      </c>
      <c r="AS85" s="112">
        <f t="array" ref="AS85">_xlfn.LET(
_xlpm.rango, INDIRECT("E!$C$" &amp; $BA$8 &amp; ":$DR$" &amp; $BA$9),
_xlpm.col, AS$72+$D84*10,
INDEX(_xlpm.rango,$BA$4-3,_xlpm.col) +
INDEX(_xlpm.rango,$BA$4-2,_xlpm.col) +
INDEX(_xlpm.rango,$BA$4-1,_xlpm.col) +
INDEX(_xlpm.rango,$BA$4, _xlpm.col)
)</f>
        <v/>
      </c>
      <c r="AT85" s="118">
        <f>SUM(F85:AS85)</f>
        <v/>
      </c>
      <c r="AU85" s="120">
        <f>AT85/$AT$88</f>
        <v/>
      </c>
    </row>
    <row r="86">
      <c r="D86" t="n">
        <v>11</v>
      </c>
      <c r="E86" s="106">
        <f>Inicio!V14</f>
        <v/>
      </c>
      <c r="F86" s="100">
        <f t="array" ref="F86">_xlfn.LET(
_xlpm.rango, INDIRECT("N!$C$" &amp; $BA$8 &amp; ":$DR$" &amp; $BA$9),
_xlpm.col, F$72+$D85*10,
INDEX(_xlpm.rango,$BA$4-3,_xlpm.col) +
INDEX(_xlpm.rango,$BA$4-2,_xlpm.col) +
INDEX(_xlpm.rango,$BA$4-1,_xlpm.col) +
INDEX(_xlpm.rango,$BA$4, _xlpm.col)
)</f>
        <v/>
      </c>
      <c r="G86" s="95">
        <f t="array" ref="G86">_xlfn.LET(
_xlpm.rango, INDIRECT("N!$C$" &amp; $BA$8 &amp; ":$DR$" &amp; $BA$9),
_xlpm.col, G$72+$D85*10,
INDEX(_xlpm.rango,$BA$4-3,_xlpm.col) +
INDEX(_xlpm.rango,$BA$4-2,_xlpm.col) +
INDEX(_xlpm.rango,$BA$4-1,_xlpm.col) +
INDEX(_xlpm.rango,$BA$4, _xlpm.col)
)</f>
        <v/>
      </c>
      <c r="H86" s="95">
        <f t="array" ref="H86">_xlfn.LET(
_xlpm.rango, INDIRECT("N!$C$" &amp; $BA$8 &amp; ":$DR$" &amp; $BA$9),
_xlpm.col, H$72+$D85*10,
INDEX(_xlpm.rango,$BA$4-3,_xlpm.col) +
INDEX(_xlpm.rango,$BA$4-2,_xlpm.col) +
INDEX(_xlpm.rango,$BA$4-1,_xlpm.col) +
INDEX(_xlpm.rango,$BA$4, _xlpm.col)
)</f>
        <v/>
      </c>
      <c r="I86" s="95">
        <f t="array" ref="I86">_xlfn.LET(
_xlpm.rango, INDIRECT("N!$C$" &amp; $BA$8 &amp; ":$DR$" &amp; $BA$9),
_xlpm.col, I$72+$D85*10,
INDEX(_xlpm.rango,$BA$4-3,_xlpm.col) +
INDEX(_xlpm.rango,$BA$4-2,_xlpm.col) +
INDEX(_xlpm.rango,$BA$4-1,_xlpm.col) +
INDEX(_xlpm.rango,$BA$4, _xlpm.col)
)</f>
        <v/>
      </c>
      <c r="J86" s="95">
        <f t="array" ref="J86">_xlfn.LET(
_xlpm.rango, INDIRECT("N!$C$" &amp; $BA$8 &amp; ":$DR$" &amp; $BA$9),
_xlpm.col, J$72+$D85*10,
INDEX(_xlpm.rango,$BA$4-3,_xlpm.col) +
INDEX(_xlpm.rango,$BA$4-2,_xlpm.col) +
INDEX(_xlpm.rango,$BA$4-1,_xlpm.col) +
INDEX(_xlpm.rango,$BA$4, _xlpm.col)
)</f>
        <v/>
      </c>
      <c r="K86" s="95">
        <f t="array" ref="K86">_xlfn.LET(
_xlpm.rango, INDIRECT("N!$C$" &amp; $BA$8 &amp; ":$DR$" &amp; $BA$9),
_xlpm.col, K$72+$D85*10,
INDEX(_xlpm.rango,$BA$4-3,_xlpm.col) +
INDEX(_xlpm.rango,$BA$4-2,_xlpm.col) +
INDEX(_xlpm.rango,$BA$4-1,_xlpm.col) +
INDEX(_xlpm.rango,$BA$4, _xlpm.col)
)</f>
        <v/>
      </c>
      <c r="L86" s="95">
        <f t="array" ref="L86">_xlfn.LET(
_xlpm.rango, INDIRECT("N!$C$" &amp; $BA$8 &amp; ":$DR$" &amp; $BA$9),
_xlpm.col, L$72+$D85*10,
INDEX(_xlpm.rango,$BA$4-3,_xlpm.col) +
INDEX(_xlpm.rango,$BA$4-2,_xlpm.col) +
INDEX(_xlpm.rango,$BA$4-1,_xlpm.col) +
INDEX(_xlpm.rango,$BA$4, _xlpm.col)
)</f>
        <v/>
      </c>
      <c r="M86" s="95">
        <f t="array" ref="M86">_xlfn.LET(
_xlpm.rango, INDIRECT("N!$C$" &amp; $BA$8 &amp; ":$DR$" &amp; $BA$9),
_xlpm.col, M$72+$D85*10,
INDEX(_xlpm.rango,$BA$4-3,_xlpm.col) +
INDEX(_xlpm.rango,$BA$4-2,_xlpm.col) +
INDEX(_xlpm.rango,$BA$4-1,_xlpm.col) +
INDEX(_xlpm.rango,$BA$4, _xlpm.col)
)</f>
        <v/>
      </c>
      <c r="N86" s="95">
        <f t="array" ref="N86">_xlfn.LET(
_xlpm.rango, INDIRECT("N!$C$" &amp; $BA$8 &amp; ":$DR$" &amp; $BA$9),
_xlpm.col, N$72+$D85*10,
INDEX(_xlpm.rango,$BA$4-3,_xlpm.col) +
INDEX(_xlpm.rango,$BA$4-2,_xlpm.col) +
INDEX(_xlpm.rango,$BA$4-1,_xlpm.col) +
INDEX(_xlpm.rango,$BA$4, _xlpm.col)
)</f>
        <v/>
      </c>
      <c r="O86" s="96">
        <f t="array" ref="O86">_xlfn.LET(
_xlpm.rango, INDIRECT("N!$C$" &amp; $BA$8 &amp; ":$DR$" &amp; $BA$9),
_xlpm.col, O$72+$D85*10,
INDEX(_xlpm.rango,$BA$4-3,_xlpm.col) +
INDEX(_xlpm.rango,$BA$4-2,_xlpm.col) +
INDEX(_xlpm.rango,$BA$4-1,_xlpm.col) +
INDEX(_xlpm.rango,$BA$4, _xlpm.col)
)</f>
        <v/>
      </c>
      <c r="P86" s="95">
        <f t="array" ref="P86">_xlfn.LET(
_xlpm.rango, INDIRECT("S!$C$" &amp; $BA$8 &amp; ":$DR$" &amp; $BA$9),
_xlpm.col, P$72+$D85*10,
INDEX(_xlpm.rango,$BA$4-3,_xlpm.col) +
INDEX(_xlpm.rango,$BA$4-2,_xlpm.col) +
INDEX(_xlpm.rango,$BA$4-1,_xlpm.col) +
INDEX(_xlpm.rango,$BA$4, _xlpm.col)
)</f>
        <v/>
      </c>
      <c r="Q86" s="95">
        <f t="array" ref="Q86">_xlfn.LET(
_xlpm.rango, INDIRECT("S!$C$" &amp; $BA$8 &amp; ":$DR$" &amp; $BA$9),
_xlpm.col, Q$72+$D85*10,
INDEX(_xlpm.rango,$BA$4-3,_xlpm.col) +
INDEX(_xlpm.rango,$BA$4-2,_xlpm.col) +
INDEX(_xlpm.rango,$BA$4-1,_xlpm.col) +
INDEX(_xlpm.rango,$BA$4, _xlpm.col)
)</f>
        <v/>
      </c>
      <c r="R86" s="95">
        <f t="array" ref="R86">_xlfn.LET(
_xlpm.rango, INDIRECT("S!$C$" &amp; $BA$8 &amp; ":$DR$" &amp; $BA$9),
_xlpm.col, R$72+$D85*10,
INDEX(_xlpm.rango,$BA$4-3,_xlpm.col) +
INDEX(_xlpm.rango,$BA$4-2,_xlpm.col) +
INDEX(_xlpm.rango,$BA$4-1,_xlpm.col) +
INDEX(_xlpm.rango,$BA$4, _xlpm.col)
)</f>
        <v/>
      </c>
      <c r="S86" s="95">
        <f t="array" ref="S86">_xlfn.LET(
_xlpm.rango, INDIRECT("S!$C$" &amp; $BA$8 &amp; ":$DR$" &amp; $BA$9),
_xlpm.col, S$72+$D85*10,
INDEX(_xlpm.rango,$BA$4-3,_xlpm.col) +
INDEX(_xlpm.rango,$BA$4-2,_xlpm.col) +
INDEX(_xlpm.rango,$BA$4-1,_xlpm.col) +
INDEX(_xlpm.rango,$BA$4, _xlpm.col)
)</f>
        <v/>
      </c>
      <c r="T86" s="95">
        <f t="array" ref="T86">_xlfn.LET(
_xlpm.rango, INDIRECT("S!$C$" &amp; $BA$8 &amp; ":$DR$" &amp; $BA$9),
_xlpm.col, T$72+$D85*10,
INDEX(_xlpm.rango,$BA$4-3,_xlpm.col) +
INDEX(_xlpm.rango,$BA$4-2,_xlpm.col) +
INDEX(_xlpm.rango,$BA$4-1,_xlpm.col) +
INDEX(_xlpm.rango,$BA$4, _xlpm.col)
)</f>
        <v/>
      </c>
      <c r="U86" s="95">
        <f t="array" ref="U86">_xlfn.LET(
_xlpm.rango, INDIRECT("S!$C$" &amp; $BA$8 &amp; ":$DR$" &amp; $BA$9),
_xlpm.col, U$72+$D85*10,
INDEX(_xlpm.rango,$BA$4-3,_xlpm.col) +
INDEX(_xlpm.rango,$BA$4-2,_xlpm.col) +
INDEX(_xlpm.rango,$BA$4-1,_xlpm.col) +
INDEX(_xlpm.rango,$BA$4, _xlpm.col)
)</f>
        <v/>
      </c>
      <c r="V86" s="95">
        <f t="array" ref="V86">_xlfn.LET(
_xlpm.rango, INDIRECT("S!$C$" &amp; $BA$8 &amp; ":$DR$" &amp; $BA$9),
_xlpm.col, V$72+$D85*10,
INDEX(_xlpm.rango,$BA$4-3,_xlpm.col) +
INDEX(_xlpm.rango,$BA$4-2,_xlpm.col) +
INDEX(_xlpm.rango,$BA$4-1,_xlpm.col) +
INDEX(_xlpm.rango,$BA$4, _xlpm.col)
)</f>
        <v/>
      </c>
      <c r="W86" s="95">
        <f t="array" ref="W86">_xlfn.LET(
_xlpm.rango, INDIRECT("S!$C$" &amp; $BA$8 &amp; ":$DR$" &amp; $BA$9),
_xlpm.col, W$72+$D85*10,
INDEX(_xlpm.rango,$BA$4-3,_xlpm.col) +
INDEX(_xlpm.rango,$BA$4-2,_xlpm.col) +
INDEX(_xlpm.rango,$BA$4-1,_xlpm.col) +
INDEX(_xlpm.rango,$BA$4, _xlpm.col)
)</f>
        <v/>
      </c>
      <c r="X86" s="95">
        <f t="array" ref="X86">_xlfn.LET(
_xlpm.rango, INDIRECT("S!$C$" &amp; $BA$8 &amp; ":$DR$" &amp; $BA$9),
_xlpm.col, X$72+$D85*10,
INDEX(_xlpm.rango,$BA$4-3,_xlpm.col) +
INDEX(_xlpm.rango,$BA$4-2,_xlpm.col) +
INDEX(_xlpm.rango,$BA$4-1,_xlpm.col) +
INDEX(_xlpm.rango,$BA$4, _xlpm.col)
)</f>
        <v/>
      </c>
      <c r="Y86" s="95">
        <f t="array" ref="Y86">_xlfn.LET(
_xlpm.rango, INDIRECT("S!$C$" &amp; $BA$8 &amp; ":$DR$" &amp; $BA$9),
_xlpm.col, Y$72+$D85*10,
INDEX(_xlpm.rango,$BA$4-3,_xlpm.col) +
INDEX(_xlpm.rango,$BA$4-2,_xlpm.col) +
INDEX(_xlpm.rango,$BA$4-1,_xlpm.col) +
INDEX(_xlpm.rango,$BA$4, _xlpm.col)
)</f>
        <v/>
      </c>
      <c r="Z86" s="100">
        <f t="array" ref="Z86">_xlfn.LET(
_xlpm.rango, INDIRECT("E!$C$" &amp; $BA$8 &amp; ":$DR$" &amp; $BA$9),
_xlpm.col, Z$72+$D85*10,
INDEX(_xlpm.rango,$BA$4-3,_xlpm.col) +
INDEX(_xlpm.rango,$BA$4-2,_xlpm.col) +
INDEX(_xlpm.rango,$BA$4-1,_xlpm.col) +
INDEX(_xlpm.rango,$BA$4, _xlpm.col)
)</f>
        <v/>
      </c>
      <c r="AA86" s="95">
        <f t="array" ref="AA86">_xlfn.LET(
_xlpm.rango, INDIRECT("E!$C$" &amp; $BA$8 &amp; ":$DR$" &amp; $BA$9),
_xlpm.col, AA$72+$D85*10,
INDEX(_xlpm.rango,$BA$4-3,_xlpm.col) +
INDEX(_xlpm.rango,$BA$4-2,_xlpm.col) +
INDEX(_xlpm.rango,$BA$4-1,_xlpm.col) +
INDEX(_xlpm.rango,$BA$4, _xlpm.col)
)</f>
        <v/>
      </c>
      <c r="AB86" s="95">
        <f t="array" ref="AB86">_xlfn.LET(
_xlpm.rango, INDIRECT("E!$C$" &amp; $BA$8 &amp; ":$DR$" &amp; $BA$9),
_xlpm.col, AB$72+$D85*10,
INDEX(_xlpm.rango,$BA$4-3,_xlpm.col) +
INDEX(_xlpm.rango,$BA$4-2,_xlpm.col) +
INDEX(_xlpm.rango,$BA$4-1,_xlpm.col) +
INDEX(_xlpm.rango,$BA$4, _xlpm.col)
)</f>
        <v/>
      </c>
      <c r="AC86" s="95">
        <f t="array" ref="AC86">_xlfn.LET(
_xlpm.rango, INDIRECT("E!$C$" &amp; $BA$8 &amp; ":$DR$" &amp; $BA$9),
_xlpm.col, AC$72+$D85*10,
INDEX(_xlpm.rango,$BA$4-3,_xlpm.col) +
INDEX(_xlpm.rango,$BA$4-2,_xlpm.col) +
INDEX(_xlpm.rango,$BA$4-1,_xlpm.col) +
INDEX(_xlpm.rango,$BA$4, _xlpm.col)
)</f>
        <v/>
      </c>
      <c r="AD86" s="95">
        <f t="array" ref="AD86">_xlfn.LET(
_xlpm.rango, INDIRECT("E!$C$" &amp; $BA$8 &amp; ":$DR$" &amp; $BA$9),
_xlpm.col, AD$72+$D85*10,
INDEX(_xlpm.rango,$BA$4-3,_xlpm.col) +
INDEX(_xlpm.rango,$BA$4-2,_xlpm.col) +
INDEX(_xlpm.rango,$BA$4-1,_xlpm.col) +
INDEX(_xlpm.rango,$BA$4, _xlpm.col)
)</f>
        <v/>
      </c>
      <c r="AE86" s="95">
        <f t="array" ref="AE86">_xlfn.LET(
_xlpm.rango, INDIRECT("E!$C$" &amp; $BA$8 &amp; ":$DR$" &amp; $BA$9),
_xlpm.col, AE$72+$D85*10,
INDEX(_xlpm.rango,$BA$4-3,_xlpm.col) +
INDEX(_xlpm.rango,$BA$4-2,_xlpm.col) +
INDEX(_xlpm.rango,$BA$4-1,_xlpm.col) +
INDEX(_xlpm.rango,$BA$4, _xlpm.col)
)</f>
        <v/>
      </c>
      <c r="AF86" s="95">
        <f t="array" ref="AF86">_xlfn.LET(
_xlpm.rango, INDIRECT("E!$C$" &amp; $BA$8 &amp; ":$DR$" &amp; $BA$9),
_xlpm.col, AF$72+$D85*10,
INDEX(_xlpm.rango,$BA$4-3,_xlpm.col) +
INDEX(_xlpm.rango,$BA$4-2,_xlpm.col) +
INDEX(_xlpm.rango,$BA$4-1,_xlpm.col) +
INDEX(_xlpm.rango,$BA$4, _xlpm.col)
)</f>
        <v/>
      </c>
      <c r="AG86" s="95">
        <f t="array" ref="AG86">_xlfn.LET(
_xlpm.rango, INDIRECT("E!$C$" &amp; $BA$8 &amp; ":$DR$" &amp; $BA$9),
_xlpm.col, AG$72+$D85*10,
INDEX(_xlpm.rango,$BA$4-3,_xlpm.col) +
INDEX(_xlpm.rango,$BA$4-2,_xlpm.col) +
INDEX(_xlpm.rango,$BA$4-1,_xlpm.col) +
INDEX(_xlpm.rango,$BA$4, _xlpm.col)
)</f>
        <v/>
      </c>
      <c r="AH86" s="95">
        <f t="array" ref="AH86">_xlfn.LET(
_xlpm.rango, INDIRECT("E!$C$" &amp; $BA$8 &amp; ":$DR$" &amp; $BA$9),
_xlpm.col, AH$72+$D85*10,
INDEX(_xlpm.rango,$BA$4-3,_xlpm.col) +
INDEX(_xlpm.rango,$BA$4-2,_xlpm.col) +
INDEX(_xlpm.rango,$BA$4-1,_xlpm.col) +
INDEX(_xlpm.rango,$BA$4, _xlpm.col)
)</f>
        <v/>
      </c>
      <c r="AI86" s="96">
        <f t="array" ref="AI86">_xlfn.LET(
_xlpm.rango, INDIRECT("E!$C$" &amp; $BA$8 &amp; ":$DR$" &amp; $BA$9),
_xlpm.col, AI$72+$D85*10,
INDEX(_xlpm.rango,$BA$4-3,_xlpm.col) +
INDEX(_xlpm.rango,$BA$4-2,_xlpm.col) +
INDEX(_xlpm.rango,$BA$4-1,_xlpm.col) +
INDEX(_xlpm.rango,$BA$4, _xlpm.col)
)</f>
        <v/>
      </c>
      <c r="AJ86" s="95">
        <f t="array" ref="AJ86">_xlfn.LET(
_xlpm.rango, INDIRECT("E!$C$" &amp; $BA$8 &amp; ":$DR$" &amp; $BA$9),
_xlpm.col, AJ$72+$D85*10,
INDEX(_xlpm.rango,$BA$4-3,_xlpm.col) +
INDEX(_xlpm.rango,$BA$4-2,_xlpm.col) +
INDEX(_xlpm.rango,$BA$4-1,_xlpm.col) +
INDEX(_xlpm.rango,$BA$4, _xlpm.col)
)</f>
        <v/>
      </c>
      <c r="AK86" s="95">
        <f t="array" ref="AK86">_xlfn.LET(
_xlpm.rango, INDIRECT("E!$C$" &amp; $BA$8 &amp; ":$DR$" &amp; $BA$9),
_xlpm.col, AK$72+$D85*10,
INDEX(_xlpm.rango,$BA$4-3,_xlpm.col) +
INDEX(_xlpm.rango,$BA$4-2,_xlpm.col) +
INDEX(_xlpm.rango,$BA$4-1,_xlpm.col) +
INDEX(_xlpm.rango,$BA$4, _xlpm.col)
)</f>
        <v/>
      </c>
      <c r="AL86" s="95">
        <f t="array" ref="AL86">_xlfn.LET(
_xlpm.rango, INDIRECT("E!$C$" &amp; $BA$8 &amp; ":$DR$" &amp; $BA$9),
_xlpm.col, AL$72+$D85*10,
INDEX(_xlpm.rango,$BA$4-3,_xlpm.col) +
INDEX(_xlpm.rango,$BA$4-2,_xlpm.col) +
INDEX(_xlpm.rango,$BA$4-1,_xlpm.col) +
INDEX(_xlpm.rango,$BA$4, _xlpm.col)
)</f>
        <v/>
      </c>
      <c r="AM86" s="95">
        <f t="array" ref="AM86">_xlfn.LET(
_xlpm.rango, INDIRECT("E!$C$" &amp; $BA$8 &amp; ":$DR$" &amp; $BA$9),
_xlpm.col, AM$72+$D85*10,
INDEX(_xlpm.rango,$BA$4-3,_xlpm.col) +
INDEX(_xlpm.rango,$BA$4-2,_xlpm.col) +
INDEX(_xlpm.rango,$BA$4-1,_xlpm.col) +
INDEX(_xlpm.rango,$BA$4, _xlpm.col)
)</f>
        <v/>
      </c>
      <c r="AN86" s="95">
        <f t="array" ref="AN86">_xlfn.LET(
_xlpm.rango, INDIRECT("E!$C$" &amp; $BA$8 &amp; ":$DR$" &amp; $BA$9),
_xlpm.col, AN$72+$D85*10,
INDEX(_xlpm.rango,$BA$4-3,_xlpm.col) +
INDEX(_xlpm.rango,$BA$4-2,_xlpm.col) +
INDEX(_xlpm.rango,$BA$4-1,_xlpm.col) +
INDEX(_xlpm.rango,$BA$4, _xlpm.col)
)</f>
        <v/>
      </c>
      <c r="AO86" s="95">
        <f t="array" ref="AO86">_xlfn.LET(
_xlpm.rango, INDIRECT("E!$C$" &amp; $BA$8 &amp; ":$DR$" &amp; $BA$9),
_xlpm.col, AO$72+$D85*10,
INDEX(_xlpm.rango,$BA$4-3,_xlpm.col) +
INDEX(_xlpm.rango,$BA$4-2,_xlpm.col) +
INDEX(_xlpm.rango,$BA$4-1,_xlpm.col) +
INDEX(_xlpm.rango,$BA$4, _xlpm.col)
)</f>
        <v/>
      </c>
      <c r="AP86" s="95">
        <f t="array" ref="AP86">_xlfn.LET(
_xlpm.rango, INDIRECT("E!$C$" &amp; $BA$8 &amp; ":$DR$" &amp; $BA$9),
_xlpm.col, AP$72+$D85*10,
INDEX(_xlpm.rango,$BA$4-3,_xlpm.col) +
INDEX(_xlpm.rango,$BA$4-2,_xlpm.col) +
INDEX(_xlpm.rango,$BA$4-1,_xlpm.col) +
INDEX(_xlpm.rango,$BA$4, _xlpm.col)
)</f>
        <v/>
      </c>
      <c r="AQ86" s="95">
        <f t="array" ref="AQ86">_xlfn.LET(
_xlpm.rango, INDIRECT("E!$C$" &amp; $BA$8 &amp; ":$DR$" &amp; $BA$9),
_xlpm.col, AQ$72+$D85*10,
INDEX(_xlpm.rango,$BA$4-3,_xlpm.col) +
INDEX(_xlpm.rango,$BA$4-2,_xlpm.col) +
INDEX(_xlpm.rango,$BA$4-1,_xlpm.col) +
INDEX(_xlpm.rango,$BA$4, _xlpm.col)
)</f>
        <v/>
      </c>
      <c r="AR86" s="95">
        <f t="array" ref="AR86">_xlfn.LET(
_xlpm.rango, INDIRECT("E!$C$" &amp; $BA$8 &amp; ":$DR$" &amp; $BA$9),
_xlpm.col, AR$72+$D85*10,
INDEX(_xlpm.rango,$BA$4-3,_xlpm.col) +
INDEX(_xlpm.rango,$BA$4-2,_xlpm.col) +
INDEX(_xlpm.rango,$BA$4-1,_xlpm.col) +
INDEX(_xlpm.rango,$BA$4, _xlpm.col)
)</f>
        <v/>
      </c>
      <c r="AS86" s="112">
        <f t="array" ref="AS86">_xlfn.LET(
_xlpm.rango, INDIRECT("E!$C$" &amp; $BA$8 &amp; ":$DR$" &amp; $BA$9),
_xlpm.col, AS$72+$D85*10,
INDEX(_xlpm.rango,$BA$4-3,_xlpm.col) +
INDEX(_xlpm.rango,$BA$4-2,_xlpm.col) +
INDEX(_xlpm.rango,$BA$4-1,_xlpm.col) +
INDEX(_xlpm.rango,$BA$4, _xlpm.col)
)</f>
        <v/>
      </c>
      <c r="AT86" s="118">
        <f>SUM(F86:AS86)</f>
        <v/>
      </c>
      <c r="AU86" s="120">
        <f>AT86/$AT$88</f>
        <v/>
      </c>
    </row>
    <row r="87">
      <c r="D87" t="n">
        <v>12</v>
      </c>
      <c r="E87" s="113">
        <f>Inicio!V15</f>
        <v/>
      </c>
      <c r="F87" s="101">
        <f t="array" ref="F87">_xlfn.LET(
_xlpm.rango, INDIRECT("N!$C$" &amp; $BA$8 &amp; ":$DR$" &amp; $BA$9),
_xlpm.col, F$72+$D86*10,
INDEX(_xlpm.rango,$BA$4-3,_xlpm.col) +
INDEX(_xlpm.rango,$BA$4-2,_xlpm.col) +
INDEX(_xlpm.rango,$BA$4-1,_xlpm.col) +
INDEX(_xlpm.rango,$BA$4, _xlpm.col)
)</f>
        <v/>
      </c>
      <c r="G87" s="97">
        <f t="array" ref="G87">_xlfn.LET(
_xlpm.rango, INDIRECT("N!$C$" &amp; $BA$8 &amp; ":$DR$" &amp; $BA$9),
_xlpm.col, G$72+$D86*10,
INDEX(_xlpm.rango,$BA$4-3,_xlpm.col) +
INDEX(_xlpm.rango,$BA$4-2,_xlpm.col) +
INDEX(_xlpm.rango,$BA$4-1,_xlpm.col) +
INDEX(_xlpm.rango,$BA$4, _xlpm.col)
)</f>
        <v/>
      </c>
      <c r="H87" s="97">
        <f t="array" ref="H87">_xlfn.LET(
_xlpm.rango, INDIRECT("N!$C$" &amp; $BA$8 &amp; ":$DR$" &amp; $BA$9),
_xlpm.col, H$72+$D86*10,
INDEX(_xlpm.rango,$BA$4-3,_xlpm.col) +
INDEX(_xlpm.rango,$BA$4-2,_xlpm.col) +
INDEX(_xlpm.rango,$BA$4-1,_xlpm.col) +
INDEX(_xlpm.rango,$BA$4, _xlpm.col)
)</f>
        <v/>
      </c>
      <c r="I87" s="97">
        <f t="array" ref="I87">_xlfn.LET(
_xlpm.rango, INDIRECT("N!$C$" &amp; $BA$8 &amp; ":$DR$" &amp; $BA$9),
_xlpm.col, I$72+$D86*10,
INDEX(_xlpm.rango,$BA$4-3,_xlpm.col) +
INDEX(_xlpm.rango,$BA$4-2,_xlpm.col) +
INDEX(_xlpm.rango,$BA$4-1,_xlpm.col) +
INDEX(_xlpm.rango,$BA$4, _xlpm.col)
)</f>
        <v/>
      </c>
      <c r="J87" s="97">
        <f t="array" ref="J87">_xlfn.LET(
_xlpm.rango, INDIRECT("N!$C$" &amp; $BA$8 &amp; ":$DR$" &amp; $BA$9),
_xlpm.col, J$72+$D86*10,
INDEX(_xlpm.rango,$BA$4-3,_xlpm.col) +
INDEX(_xlpm.rango,$BA$4-2,_xlpm.col) +
INDEX(_xlpm.rango,$BA$4-1,_xlpm.col) +
INDEX(_xlpm.rango,$BA$4, _xlpm.col)
)</f>
        <v/>
      </c>
      <c r="K87" s="97">
        <f t="array" ref="K87">_xlfn.LET(
_xlpm.rango, INDIRECT("N!$C$" &amp; $BA$8 &amp; ":$DR$" &amp; $BA$9),
_xlpm.col, K$72+$D86*10,
INDEX(_xlpm.rango,$BA$4-3,_xlpm.col) +
INDEX(_xlpm.rango,$BA$4-2,_xlpm.col) +
INDEX(_xlpm.rango,$BA$4-1,_xlpm.col) +
INDEX(_xlpm.rango,$BA$4, _xlpm.col)
)</f>
        <v/>
      </c>
      <c r="L87" s="97">
        <f t="array" ref="L87">_xlfn.LET(
_xlpm.rango, INDIRECT("N!$C$" &amp; $BA$8 &amp; ":$DR$" &amp; $BA$9),
_xlpm.col, L$72+$D86*10,
INDEX(_xlpm.rango,$BA$4-3,_xlpm.col) +
INDEX(_xlpm.rango,$BA$4-2,_xlpm.col) +
INDEX(_xlpm.rango,$BA$4-1,_xlpm.col) +
INDEX(_xlpm.rango,$BA$4, _xlpm.col)
)</f>
        <v/>
      </c>
      <c r="M87" s="97">
        <f t="array" ref="M87">_xlfn.LET(
_xlpm.rango, INDIRECT("N!$C$" &amp; $BA$8 &amp; ":$DR$" &amp; $BA$9),
_xlpm.col, M$72+$D86*10,
INDEX(_xlpm.rango,$BA$4-3,_xlpm.col) +
INDEX(_xlpm.rango,$BA$4-2,_xlpm.col) +
INDEX(_xlpm.rango,$BA$4-1,_xlpm.col) +
INDEX(_xlpm.rango,$BA$4, _xlpm.col)
)</f>
        <v/>
      </c>
      <c r="N87" s="97">
        <f t="array" ref="N87">_xlfn.LET(
_xlpm.rango, INDIRECT("N!$C$" &amp; $BA$8 &amp; ":$DR$" &amp; $BA$9),
_xlpm.col, N$72+$D86*10,
INDEX(_xlpm.rango,$BA$4-3,_xlpm.col) +
INDEX(_xlpm.rango,$BA$4-2,_xlpm.col) +
INDEX(_xlpm.rango,$BA$4-1,_xlpm.col) +
INDEX(_xlpm.rango,$BA$4, _xlpm.col)
)</f>
        <v/>
      </c>
      <c r="O87" s="98">
        <f t="array" ref="O87">_xlfn.LET(
_xlpm.rango, INDIRECT("N!$C$" &amp; $BA$8 &amp; ":$DR$" &amp; $BA$9),
_xlpm.col, O$72+$D86*10,
INDEX(_xlpm.rango,$BA$4-3,_xlpm.col) +
INDEX(_xlpm.rango,$BA$4-2,_xlpm.col) +
INDEX(_xlpm.rango,$BA$4-1,_xlpm.col) +
INDEX(_xlpm.rango,$BA$4, _xlpm.col)
)</f>
        <v/>
      </c>
      <c r="P87" s="97">
        <f t="array" ref="P87">_xlfn.LET(
_xlpm.rango, INDIRECT("S!$C$" &amp; $BA$8 &amp; ":$DR$" &amp; $BA$9),
_xlpm.col, P$72+$D86*10,
INDEX(_xlpm.rango,$BA$4-3,_xlpm.col) +
INDEX(_xlpm.rango,$BA$4-2,_xlpm.col) +
INDEX(_xlpm.rango,$BA$4-1,_xlpm.col) +
INDEX(_xlpm.rango,$BA$4, _xlpm.col)
)</f>
        <v/>
      </c>
      <c r="Q87" s="97">
        <f t="array" ref="Q87">_xlfn.LET(
_xlpm.rango, INDIRECT("S!$C$" &amp; $BA$8 &amp; ":$DR$" &amp; $BA$9),
_xlpm.col, Q$72+$D86*10,
INDEX(_xlpm.rango,$BA$4-3,_xlpm.col) +
INDEX(_xlpm.rango,$BA$4-2,_xlpm.col) +
INDEX(_xlpm.rango,$BA$4-1,_xlpm.col) +
INDEX(_xlpm.rango,$BA$4, _xlpm.col)
)</f>
        <v/>
      </c>
      <c r="R87" s="97">
        <f t="array" ref="R87">_xlfn.LET(
_xlpm.rango, INDIRECT("S!$C$" &amp; $BA$8 &amp; ":$DR$" &amp; $BA$9),
_xlpm.col, R$72+$D86*10,
INDEX(_xlpm.rango,$BA$4-3,_xlpm.col) +
INDEX(_xlpm.rango,$BA$4-2,_xlpm.col) +
INDEX(_xlpm.rango,$BA$4-1,_xlpm.col) +
INDEX(_xlpm.rango,$BA$4, _xlpm.col)
)</f>
        <v/>
      </c>
      <c r="S87" s="97">
        <f t="array" ref="S87">_xlfn.LET(
_xlpm.rango, INDIRECT("S!$C$" &amp; $BA$8 &amp; ":$DR$" &amp; $BA$9),
_xlpm.col, S$72+$D86*10,
INDEX(_xlpm.rango,$BA$4-3,_xlpm.col) +
INDEX(_xlpm.rango,$BA$4-2,_xlpm.col) +
INDEX(_xlpm.rango,$BA$4-1,_xlpm.col) +
INDEX(_xlpm.rango,$BA$4, _xlpm.col)
)</f>
        <v/>
      </c>
      <c r="T87" s="97">
        <f t="array" ref="T87">_xlfn.LET(
_xlpm.rango, INDIRECT("S!$C$" &amp; $BA$8 &amp; ":$DR$" &amp; $BA$9),
_xlpm.col, T$72+$D86*10,
INDEX(_xlpm.rango,$BA$4-3,_xlpm.col) +
INDEX(_xlpm.rango,$BA$4-2,_xlpm.col) +
INDEX(_xlpm.rango,$BA$4-1,_xlpm.col) +
INDEX(_xlpm.rango,$BA$4, _xlpm.col)
)</f>
        <v/>
      </c>
      <c r="U87" s="97">
        <f t="array" ref="U87">_xlfn.LET(
_xlpm.rango, INDIRECT("S!$C$" &amp; $BA$8 &amp; ":$DR$" &amp; $BA$9),
_xlpm.col, U$72+$D86*10,
INDEX(_xlpm.rango,$BA$4-3,_xlpm.col) +
INDEX(_xlpm.rango,$BA$4-2,_xlpm.col) +
INDEX(_xlpm.rango,$BA$4-1,_xlpm.col) +
INDEX(_xlpm.rango,$BA$4, _xlpm.col)
)</f>
        <v/>
      </c>
      <c r="V87" s="97">
        <f t="array" ref="V87">_xlfn.LET(
_xlpm.rango, INDIRECT("S!$C$" &amp; $BA$8 &amp; ":$DR$" &amp; $BA$9),
_xlpm.col, V$72+$D86*10,
INDEX(_xlpm.rango,$BA$4-3,_xlpm.col) +
INDEX(_xlpm.rango,$BA$4-2,_xlpm.col) +
INDEX(_xlpm.rango,$BA$4-1,_xlpm.col) +
INDEX(_xlpm.rango,$BA$4, _xlpm.col)
)</f>
        <v/>
      </c>
      <c r="W87" s="97">
        <f t="array" ref="W87">_xlfn.LET(
_xlpm.rango, INDIRECT("S!$C$" &amp; $BA$8 &amp; ":$DR$" &amp; $BA$9),
_xlpm.col, W$72+$D86*10,
INDEX(_xlpm.rango,$BA$4-3,_xlpm.col) +
INDEX(_xlpm.rango,$BA$4-2,_xlpm.col) +
INDEX(_xlpm.rango,$BA$4-1,_xlpm.col) +
INDEX(_xlpm.rango,$BA$4, _xlpm.col)
)</f>
        <v/>
      </c>
      <c r="X87" s="97">
        <f t="array" ref="X87">_xlfn.LET(
_xlpm.rango, INDIRECT("S!$C$" &amp; $BA$8 &amp; ":$DR$" &amp; $BA$9),
_xlpm.col, X$72+$D86*10,
INDEX(_xlpm.rango,$BA$4-3,_xlpm.col) +
INDEX(_xlpm.rango,$BA$4-2,_xlpm.col) +
INDEX(_xlpm.rango,$BA$4-1,_xlpm.col) +
INDEX(_xlpm.rango,$BA$4, _xlpm.col)
)</f>
        <v/>
      </c>
      <c r="Y87" s="97">
        <f t="array" ref="Y87">_xlfn.LET(
_xlpm.rango, INDIRECT("S!$C$" &amp; $BA$8 &amp; ":$DR$" &amp; $BA$9),
_xlpm.col, Y$72+$D86*10,
INDEX(_xlpm.rango,$BA$4-3,_xlpm.col) +
INDEX(_xlpm.rango,$BA$4-2,_xlpm.col) +
INDEX(_xlpm.rango,$BA$4-1,_xlpm.col) +
INDEX(_xlpm.rango,$BA$4, _xlpm.col)
)</f>
        <v/>
      </c>
      <c r="Z87" s="101">
        <f t="array" ref="Z87">_xlfn.LET(
_xlpm.rango, INDIRECT("E!$C$" &amp; $BA$8 &amp; ":$DR$" &amp; $BA$9),
_xlpm.col, Z$72+$D86*10,
INDEX(_xlpm.rango,$BA$4-3,_xlpm.col) +
INDEX(_xlpm.rango,$BA$4-2,_xlpm.col) +
INDEX(_xlpm.rango,$BA$4-1,_xlpm.col) +
INDEX(_xlpm.rango,$BA$4, _xlpm.col)
)</f>
        <v/>
      </c>
      <c r="AA87" s="97">
        <f t="array" ref="AA87">_xlfn.LET(
_xlpm.rango, INDIRECT("E!$C$" &amp; $BA$8 &amp; ":$DR$" &amp; $BA$9),
_xlpm.col, AA$72+$D86*10,
INDEX(_xlpm.rango,$BA$4-3,_xlpm.col) +
INDEX(_xlpm.rango,$BA$4-2,_xlpm.col) +
INDEX(_xlpm.rango,$BA$4-1,_xlpm.col) +
INDEX(_xlpm.rango,$BA$4, _xlpm.col)
)</f>
        <v/>
      </c>
      <c r="AB87" s="97">
        <f t="array" ref="AB87">_xlfn.LET(
_xlpm.rango, INDIRECT("E!$C$" &amp; $BA$8 &amp; ":$DR$" &amp; $BA$9),
_xlpm.col, AB$72+$D86*10,
INDEX(_xlpm.rango,$BA$4-3,_xlpm.col) +
INDEX(_xlpm.rango,$BA$4-2,_xlpm.col) +
INDEX(_xlpm.rango,$BA$4-1,_xlpm.col) +
INDEX(_xlpm.rango,$BA$4, _xlpm.col)
)</f>
        <v/>
      </c>
      <c r="AC87" s="97">
        <f t="array" ref="AC87">_xlfn.LET(
_xlpm.rango, INDIRECT("E!$C$" &amp; $BA$8 &amp; ":$DR$" &amp; $BA$9),
_xlpm.col, AC$72+$D86*10,
INDEX(_xlpm.rango,$BA$4-3,_xlpm.col) +
INDEX(_xlpm.rango,$BA$4-2,_xlpm.col) +
INDEX(_xlpm.rango,$BA$4-1,_xlpm.col) +
INDEX(_xlpm.rango,$BA$4, _xlpm.col)
)</f>
        <v/>
      </c>
      <c r="AD87" s="97">
        <f t="array" ref="AD87">_xlfn.LET(
_xlpm.rango, INDIRECT("E!$C$" &amp; $BA$8 &amp; ":$DR$" &amp; $BA$9),
_xlpm.col, AD$72+$D86*10,
INDEX(_xlpm.rango,$BA$4-3,_xlpm.col) +
INDEX(_xlpm.rango,$BA$4-2,_xlpm.col) +
INDEX(_xlpm.rango,$BA$4-1,_xlpm.col) +
INDEX(_xlpm.rango,$BA$4, _xlpm.col)
)</f>
        <v/>
      </c>
      <c r="AE87" s="97">
        <f t="array" ref="AE87">_xlfn.LET(
_xlpm.rango, INDIRECT("E!$C$" &amp; $BA$8 &amp; ":$DR$" &amp; $BA$9),
_xlpm.col, AE$72+$D86*10,
INDEX(_xlpm.rango,$BA$4-3,_xlpm.col) +
INDEX(_xlpm.rango,$BA$4-2,_xlpm.col) +
INDEX(_xlpm.rango,$BA$4-1,_xlpm.col) +
INDEX(_xlpm.rango,$BA$4, _xlpm.col)
)</f>
        <v/>
      </c>
      <c r="AF87" s="97">
        <f t="array" ref="AF87">_xlfn.LET(
_xlpm.rango, INDIRECT("E!$C$" &amp; $BA$8 &amp; ":$DR$" &amp; $BA$9),
_xlpm.col, AF$72+$D86*10,
INDEX(_xlpm.rango,$BA$4-3,_xlpm.col) +
INDEX(_xlpm.rango,$BA$4-2,_xlpm.col) +
INDEX(_xlpm.rango,$BA$4-1,_xlpm.col) +
INDEX(_xlpm.rango,$BA$4, _xlpm.col)
)</f>
        <v/>
      </c>
      <c r="AG87" s="97">
        <f t="array" ref="AG87">_xlfn.LET(
_xlpm.rango, INDIRECT("E!$C$" &amp; $BA$8 &amp; ":$DR$" &amp; $BA$9),
_xlpm.col, AG$72+$D86*10,
INDEX(_xlpm.rango,$BA$4-3,_xlpm.col) +
INDEX(_xlpm.rango,$BA$4-2,_xlpm.col) +
INDEX(_xlpm.rango,$BA$4-1,_xlpm.col) +
INDEX(_xlpm.rango,$BA$4, _xlpm.col)
)</f>
        <v/>
      </c>
      <c r="AH87" s="97">
        <f t="array" ref="AH87">_xlfn.LET(
_xlpm.rango, INDIRECT("E!$C$" &amp; $BA$8 &amp; ":$DR$" &amp; $BA$9),
_xlpm.col, AH$72+$D86*10,
INDEX(_xlpm.rango,$BA$4-3,_xlpm.col) +
INDEX(_xlpm.rango,$BA$4-2,_xlpm.col) +
INDEX(_xlpm.rango,$BA$4-1,_xlpm.col) +
INDEX(_xlpm.rango,$BA$4, _xlpm.col)
)</f>
        <v/>
      </c>
      <c r="AI87" s="98">
        <f t="array" ref="AI87">_xlfn.LET(
_xlpm.rango, INDIRECT("E!$C$" &amp; $BA$8 &amp; ":$DR$" &amp; $BA$9),
_xlpm.col, AI$72+$D86*10,
INDEX(_xlpm.rango,$BA$4-3,_xlpm.col) +
INDEX(_xlpm.rango,$BA$4-2,_xlpm.col) +
INDEX(_xlpm.rango,$BA$4-1,_xlpm.col) +
INDEX(_xlpm.rango,$BA$4, _xlpm.col)
)</f>
        <v/>
      </c>
      <c r="AJ87" s="97">
        <f t="array" ref="AJ87">_xlfn.LET(
_xlpm.rango, INDIRECT("E!$C$" &amp; $BA$8 &amp; ":$DR$" &amp; $BA$9),
_xlpm.col, AJ$72+$D86*10,
INDEX(_xlpm.rango,$BA$4-3,_xlpm.col) +
INDEX(_xlpm.rango,$BA$4-2,_xlpm.col) +
INDEX(_xlpm.rango,$BA$4-1,_xlpm.col) +
INDEX(_xlpm.rango,$BA$4, _xlpm.col)
)</f>
        <v/>
      </c>
      <c r="AK87" s="97">
        <f t="array" ref="AK87">_xlfn.LET(
_xlpm.rango, INDIRECT("E!$C$" &amp; $BA$8 &amp; ":$DR$" &amp; $BA$9),
_xlpm.col, AK$72+$D86*10,
INDEX(_xlpm.rango,$BA$4-3,_xlpm.col) +
INDEX(_xlpm.rango,$BA$4-2,_xlpm.col) +
INDEX(_xlpm.rango,$BA$4-1,_xlpm.col) +
INDEX(_xlpm.rango,$BA$4, _xlpm.col)
)</f>
        <v/>
      </c>
      <c r="AL87" s="97">
        <f t="array" ref="AL87">_xlfn.LET(
_xlpm.rango, INDIRECT("E!$C$" &amp; $BA$8 &amp; ":$DR$" &amp; $BA$9),
_xlpm.col, AL$72+$D86*10,
INDEX(_xlpm.rango,$BA$4-3,_xlpm.col) +
INDEX(_xlpm.rango,$BA$4-2,_xlpm.col) +
INDEX(_xlpm.rango,$BA$4-1,_xlpm.col) +
INDEX(_xlpm.rango,$BA$4, _xlpm.col)
)</f>
        <v/>
      </c>
      <c r="AM87" s="97">
        <f t="array" ref="AM87">_xlfn.LET(
_xlpm.rango, INDIRECT("E!$C$" &amp; $BA$8 &amp; ":$DR$" &amp; $BA$9),
_xlpm.col, AM$72+$D86*10,
INDEX(_xlpm.rango,$BA$4-3,_xlpm.col) +
INDEX(_xlpm.rango,$BA$4-2,_xlpm.col) +
INDEX(_xlpm.rango,$BA$4-1,_xlpm.col) +
INDEX(_xlpm.rango,$BA$4, _xlpm.col)
)</f>
        <v/>
      </c>
      <c r="AN87" s="97">
        <f t="array" ref="AN87">_xlfn.LET(
_xlpm.rango, INDIRECT("E!$C$" &amp; $BA$8 &amp; ":$DR$" &amp; $BA$9),
_xlpm.col, AN$72+$D86*10,
INDEX(_xlpm.rango,$BA$4-3,_xlpm.col) +
INDEX(_xlpm.rango,$BA$4-2,_xlpm.col) +
INDEX(_xlpm.rango,$BA$4-1,_xlpm.col) +
INDEX(_xlpm.rango,$BA$4, _xlpm.col)
)</f>
        <v/>
      </c>
      <c r="AO87" s="97">
        <f t="array" ref="AO87">_xlfn.LET(
_xlpm.rango, INDIRECT("E!$C$" &amp; $BA$8 &amp; ":$DR$" &amp; $BA$9),
_xlpm.col, AO$72+$D86*10,
INDEX(_xlpm.rango,$BA$4-3,_xlpm.col) +
INDEX(_xlpm.rango,$BA$4-2,_xlpm.col) +
INDEX(_xlpm.rango,$BA$4-1,_xlpm.col) +
INDEX(_xlpm.rango,$BA$4, _xlpm.col)
)</f>
        <v/>
      </c>
      <c r="AP87" s="97">
        <f t="array" ref="AP87">_xlfn.LET(
_xlpm.rango, INDIRECT("E!$C$" &amp; $BA$8 &amp; ":$DR$" &amp; $BA$9),
_xlpm.col, AP$72+$D86*10,
INDEX(_xlpm.rango,$BA$4-3,_xlpm.col) +
INDEX(_xlpm.rango,$BA$4-2,_xlpm.col) +
INDEX(_xlpm.rango,$BA$4-1,_xlpm.col) +
INDEX(_xlpm.rango,$BA$4, _xlpm.col)
)</f>
        <v/>
      </c>
      <c r="AQ87" s="97">
        <f t="array" ref="AQ87">_xlfn.LET(
_xlpm.rango, INDIRECT("E!$C$" &amp; $BA$8 &amp; ":$DR$" &amp; $BA$9),
_xlpm.col, AQ$72+$D86*10,
INDEX(_xlpm.rango,$BA$4-3,_xlpm.col) +
INDEX(_xlpm.rango,$BA$4-2,_xlpm.col) +
INDEX(_xlpm.rango,$BA$4-1,_xlpm.col) +
INDEX(_xlpm.rango,$BA$4, _xlpm.col)
)</f>
        <v/>
      </c>
      <c r="AR87" s="97">
        <f t="array" ref="AR87">_xlfn.LET(
_xlpm.rango, INDIRECT("E!$C$" &amp; $BA$8 &amp; ":$DR$" &amp; $BA$9),
_xlpm.col, AR$72+$D86*10,
INDEX(_xlpm.rango,$BA$4-3,_xlpm.col) +
INDEX(_xlpm.rango,$BA$4-2,_xlpm.col) +
INDEX(_xlpm.rango,$BA$4-1,_xlpm.col) +
INDEX(_xlpm.rango,$BA$4, _xlpm.col)
)</f>
        <v/>
      </c>
      <c r="AS87" s="114">
        <f t="array" ref="AS87">_xlfn.LET(
_xlpm.rango, INDIRECT("E!$C$" &amp; $BA$8 &amp; ":$DR$" &amp; $BA$9),
_xlpm.col, AS$72+$D86*10,
INDEX(_xlpm.rango,$BA$4-3,_xlpm.col) +
INDEX(_xlpm.rango,$BA$4-2,_xlpm.col) +
INDEX(_xlpm.rango,$BA$4-1,_xlpm.col) +
INDEX(_xlpm.rango,$BA$4, _xlpm.col)
)</f>
        <v/>
      </c>
      <c r="AT87" s="121">
        <f>SUM(F87:AS87)</f>
        <v/>
      </c>
      <c r="AU87" s="122">
        <f>AT87/$AT$88</f>
        <v/>
      </c>
    </row>
    <row r="88" ht="15.75" customHeight="1" thickBot="1">
      <c r="E88" s="115" t="inlineStr">
        <is>
          <t>Total</t>
        </is>
      </c>
      <c r="F88" s="92">
        <f>SUM(F76:F87)</f>
        <v/>
      </c>
      <c r="G88" s="92">
        <f>SUM(G76:G87)</f>
        <v/>
      </c>
      <c r="H88" s="92">
        <f>SUM(H76:H87)</f>
        <v/>
      </c>
      <c r="I88" s="92">
        <f>SUM(I76:I87)</f>
        <v/>
      </c>
      <c r="J88" s="92">
        <f>SUM(J76:J87)</f>
        <v/>
      </c>
      <c r="K88" s="92">
        <f>SUM(K76:K87)</f>
        <v/>
      </c>
      <c r="L88" s="92">
        <f>SUM(L76:L87)</f>
        <v/>
      </c>
      <c r="M88" s="92">
        <f>SUM(M76:M87)</f>
        <v/>
      </c>
      <c r="N88" s="92">
        <f>SUM(N76:N87)</f>
        <v/>
      </c>
      <c r="O88" s="92">
        <f>SUM(O76:O87)</f>
        <v/>
      </c>
      <c r="P88" s="92">
        <f>SUM(P76:P87)</f>
        <v/>
      </c>
      <c r="Q88" s="92">
        <f>SUM(Q76:Q87)</f>
        <v/>
      </c>
      <c r="R88" s="92">
        <f>SUM(R76:R87)</f>
        <v/>
      </c>
      <c r="S88" s="92">
        <f>SUM(S76:S87)</f>
        <v/>
      </c>
      <c r="T88" s="92">
        <f>SUM(T76:T87)</f>
        <v/>
      </c>
      <c r="U88" s="92">
        <f>SUM(U76:U87)</f>
        <v/>
      </c>
      <c r="V88" s="92">
        <f>SUM(V76:V87)</f>
        <v/>
      </c>
      <c r="W88" s="92">
        <f>SUM(W76:W87)</f>
        <v/>
      </c>
      <c r="X88" s="92">
        <f>SUM(X76:X87)</f>
        <v/>
      </c>
      <c r="Y88" s="92">
        <f>SUM(Y76:Y87)</f>
        <v/>
      </c>
      <c r="Z88" s="92">
        <f>SUM(Z76:Z87)</f>
        <v/>
      </c>
      <c r="AA88" s="92">
        <f>SUM(AA76:AA87)</f>
        <v/>
      </c>
      <c r="AB88" s="92">
        <f>SUM(AB76:AB87)</f>
        <v/>
      </c>
      <c r="AC88" s="92">
        <f>SUM(AC76:AC87)</f>
        <v/>
      </c>
      <c r="AD88" s="92">
        <f>SUM(AD76:AD87)</f>
        <v/>
      </c>
      <c r="AE88" s="92">
        <f>SUM(AE76:AE87)</f>
        <v/>
      </c>
      <c r="AF88" s="92">
        <f>SUM(AF76:AF87)</f>
        <v/>
      </c>
      <c r="AG88" s="92">
        <f>SUM(AG76:AG87)</f>
        <v/>
      </c>
      <c r="AH88" s="92">
        <f>SUM(AH76:AH87)</f>
        <v/>
      </c>
      <c r="AI88" s="92">
        <f>SUM(AI76:AI87)</f>
        <v/>
      </c>
      <c r="AJ88" s="92">
        <f>SUM(AJ76:AJ87)</f>
        <v/>
      </c>
      <c r="AK88" s="92">
        <f>SUM(AK76:AK87)</f>
        <v/>
      </c>
      <c r="AL88" s="92">
        <f>SUM(AL76:AL87)</f>
        <v/>
      </c>
      <c r="AM88" s="92">
        <f>SUM(AM76:AM87)</f>
        <v/>
      </c>
      <c r="AN88" s="92">
        <f>SUM(AN76:AN87)</f>
        <v/>
      </c>
      <c r="AO88" s="92">
        <f>SUM(AO76:AO87)</f>
        <v/>
      </c>
      <c r="AP88" s="92">
        <f>SUM(AP76:AP87)</f>
        <v/>
      </c>
      <c r="AQ88" s="92">
        <f>SUM(AQ76:AQ87)</f>
        <v/>
      </c>
      <c r="AR88" s="92">
        <f>SUM(AR76:AR87)</f>
        <v/>
      </c>
      <c r="AS88" s="116">
        <f>SUM(AS76:AS87)</f>
        <v/>
      </c>
      <c r="AT88" s="123">
        <f>SUM(AT76:AT87)</f>
        <v/>
      </c>
      <c r="AU88" s="124">
        <f>SUM(AU76:AU87)</f>
        <v/>
      </c>
    </row>
    <row r="89" ht="15.75" customHeight="1" thickBot="1">
      <c r="E89" s="117" t="inlineStr">
        <is>
          <t>UCP</t>
        </is>
      </c>
      <c r="F89" s="226">
        <f>F76*Inicio!$W$4+F77*Inicio!$W$5+F78*Inicio!$W$6+F79*Inicio!$W$7+F80*Inicio!$W$8+F81*Inicio!$W$9+F82*Inicio!$W$10+F83*Inicio!$W$11+F84*Inicio!$W$12+F85*Inicio!$W$13+F86*Inicio!$W$14+F87*Inicio!$W$15</f>
        <v/>
      </c>
      <c r="G89" s="226">
        <f>G76*Inicio!$W$4+G77*Inicio!$W$5+G78*Inicio!$W$6+G79*Inicio!$W$7+G80*Inicio!$W$8+G81*Inicio!$W$9+G82*Inicio!$W$10+G83*Inicio!$W$11+G84*Inicio!$W$12+G85*Inicio!$W$13+G86*Inicio!$W$14+G87*Inicio!$W$15</f>
        <v/>
      </c>
      <c r="H89" s="226">
        <f>H76*Inicio!$W$4+H77*Inicio!$W$5+H78*Inicio!$W$6+H79*Inicio!$W$7+H80*Inicio!$W$8+H81*Inicio!$W$9+H82*Inicio!$W$10+H83*Inicio!$W$11+H84*Inicio!$W$12+H85*Inicio!$W$13+H86*Inicio!$W$14+H87*Inicio!$W$15</f>
        <v/>
      </c>
      <c r="I89" s="226">
        <f>I76*Inicio!$W$4+I77*Inicio!$W$5+I78*Inicio!$W$6+I79*Inicio!$W$7+I80*Inicio!$W$8+I81*Inicio!$W$9+I82*Inicio!$W$10+I83*Inicio!$W$11+I84*Inicio!$W$12+I85*Inicio!$W$13+I86*Inicio!$W$14+I87*Inicio!$W$15</f>
        <v/>
      </c>
      <c r="J89" s="226">
        <f>J76*Inicio!$W$4+J77*Inicio!$W$5+J78*Inicio!$W$6+J79*Inicio!$W$7+J80*Inicio!$W$8+J81*Inicio!$W$9+J82*Inicio!$W$10+J83*Inicio!$W$11+J84*Inicio!$W$12+J85*Inicio!$W$13+J86*Inicio!$W$14+J87*Inicio!$W$15</f>
        <v/>
      </c>
      <c r="K89" s="226">
        <f>K76*Inicio!$W$4+K77*Inicio!$W$5+K78*Inicio!$W$6+K79*Inicio!$W$7+K80*Inicio!$W$8+K81*Inicio!$W$9+K82*Inicio!$W$10+K83*Inicio!$W$11+K84*Inicio!$W$12+K85*Inicio!$W$13+K86*Inicio!$W$14+K87*Inicio!$W$15</f>
        <v/>
      </c>
      <c r="L89" s="226">
        <f>L76*Inicio!$W$4+L77*Inicio!$W$5+L78*Inicio!$W$6+L79*Inicio!$W$7+L80*Inicio!$W$8+L81*Inicio!$W$9+L82*Inicio!$W$10+L83*Inicio!$W$11+L84*Inicio!$W$12+L85*Inicio!$W$13+L86*Inicio!$W$14+L87*Inicio!$W$15</f>
        <v/>
      </c>
      <c r="M89" s="226">
        <f>M76*Inicio!$W$4+M77*Inicio!$W$5+M78*Inicio!$W$6+M79*Inicio!$W$7+M80*Inicio!$W$8+M81*Inicio!$W$9+M82*Inicio!$W$10+M83*Inicio!$W$11+M84*Inicio!$W$12+M85*Inicio!$W$13+M86*Inicio!$W$14+M87*Inicio!$W$15</f>
        <v/>
      </c>
      <c r="N89" s="226">
        <f>N76*Inicio!$W$4+N77*Inicio!$W$5+N78*Inicio!$W$6+N79*Inicio!$W$7+N80*Inicio!$W$8+N81*Inicio!$W$9+N82*Inicio!$W$10+N83*Inicio!$W$11+N84*Inicio!$W$12+N85*Inicio!$W$13+N86*Inicio!$W$14+N87*Inicio!$W$15</f>
        <v/>
      </c>
      <c r="O89" s="226">
        <f>O76*Inicio!$W$4+O77*Inicio!$W$5+O78*Inicio!$W$6+O79*Inicio!$W$7+O80*Inicio!$W$8+O81*Inicio!$W$9+O82*Inicio!$W$10+O83*Inicio!$W$11+O84*Inicio!$W$12+O85*Inicio!$W$13+O86*Inicio!$W$14+O87*Inicio!$W$15</f>
        <v/>
      </c>
      <c r="P89" s="226">
        <f>P76*Inicio!$W$4+P77*Inicio!$W$5+P78*Inicio!$W$6+P79*Inicio!$W$7+P80*Inicio!$W$8+P81*Inicio!$W$9+P82*Inicio!$W$10+P83*Inicio!$W$11+P84*Inicio!$W$12+P85*Inicio!$W$13+P86*Inicio!$W$14+P87*Inicio!$W$15</f>
        <v/>
      </c>
      <c r="Q89" s="226">
        <f>Q76*Inicio!$W$4+Q77*Inicio!$W$5+Q78*Inicio!$W$6+Q79*Inicio!$W$7+Q80*Inicio!$W$8+Q81*Inicio!$W$9+Q82*Inicio!$W$10+Q83*Inicio!$W$11+Q84*Inicio!$W$12+Q85*Inicio!$W$13+Q86*Inicio!$W$14+Q87*Inicio!$W$15</f>
        <v/>
      </c>
      <c r="R89" s="226">
        <f>R76*Inicio!$W$4+R77*Inicio!$W$5+R78*Inicio!$W$6+R79*Inicio!$W$7+R80*Inicio!$W$8+R81*Inicio!$W$9+R82*Inicio!$W$10+R83*Inicio!$W$11+R84*Inicio!$W$12+R85*Inicio!$W$13+R86*Inicio!$W$14+R87*Inicio!$W$15</f>
        <v/>
      </c>
      <c r="S89" s="226">
        <f>S76*Inicio!$W$4+S77*Inicio!$W$5+S78*Inicio!$W$6+S79*Inicio!$W$7+S80*Inicio!$W$8+S81*Inicio!$W$9+S82*Inicio!$W$10+S83*Inicio!$W$11+S84*Inicio!$W$12+S85*Inicio!$W$13+S86*Inicio!$W$14+S87*Inicio!$W$15</f>
        <v/>
      </c>
      <c r="T89" s="226">
        <f>T76*Inicio!$W$4+T77*Inicio!$W$5+T78*Inicio!$W$6+T79*Inicio!$W$7+T80*Inicio!$W$8+T81*Inicio!$W$9+T82*Inicio!$W$10+T83*Inicio!$W$11+T84*Inicio!$W$12+T85*Inicio!$W$13+T86*Inicio!$W$14+T87*Inicio!$W$15</f>
        <v/>
      </c>
      <c r="U89" s="226">
        <f>U76*Inicio!$W$4+U77*Inicio!$W$5+U78*Inicio!$W$6+U79*Inicio!$W$7+U80*Inicio!$W$8+U81*Inicio!$W$9+U82*Inicio!$W$10+U83*Inicio!$W$11+U84*Inicio!$W$12+U85*Inicio!$W$13+U86*Inicio!$W$14+U87*Inicio!$W$15</f>
        <v/>
      </c>
      <c r="V89" s="226">
        <f>V76*Inicio!$W$4+V77*Inicio!$W$5+V78*Inicio!$W$6+V79*Inicio!$W$7+V80*Inicio!$W$8+V81*Inicio!$W$9+V82*Inicio!$W$10+V83*Inicio!$W$11+V84*Inicio!$W$12+V85*Inicio!$W$13+V86*Inicio!$W$14+V87*Inicio!$W$15</f>
        <v/>
      </c>
      <c r="W89" s="226">
        <f>W76*Inicio!$W$4+W77*Inicio!$W$5+W78*Inicio!$W$6+W79*Inicio!$W$7+W80*Inicio!$W$8+W81*Inicio!$W$9+W82*Inicio!$W$10+W83*Inicio!$W$11+W84*Inicio!$W$12+W85*Inicio!$W$13+W86*Inicio!$W$14+W87*Inicio!$W$15</f>
        <v/>
      </c>
      <c r="X89" s="226">
        <f>X76*Inicio!$W$4+X77*Inicio!$W$5+X78*Inicio!$W$6+X79*Inicio!$W$7+X80*Inicio!$W$8+X81*Inicio!$W$9+X82*Inicio!$W$10+X83*Inicio!$W$11+X84*Inicio!$W$12+X85*Inicio!$W$13+X86*Inicio!$W$14+X87*Inicio!$W$15</f>
        <v/>
      </c>
      <c r="Y89" s="226">
        <f>Y76*Inicio!$W$4+Y77*Inicio!$W$5+Y78*Inicio!$W$6+Y79*Inicio!$W$7+Y80*Inicio!$W$8+Y81*Inicio!$W$9+Y82*Inicio!$W$10+Y83*Inicio!$W$11+Y84*Inicio!$W$12+Y85*Inicio!$W$13+Y86*Inicio!$W$14+Y87*Inicio!$W$15</f>
        <v/>
      </c>
      <c r="Z89" s="226">
        <f>Z76*Inicio!$W$4+Z77*Inicio!$W$5+Z78*Inicio!$W$6+Z79*Inicio!$W$7+Z80*Inicio!$W$8+Z81*Inicio!$W$9+Z82*Inicio!$W$10+Z83*Inicio!$W$11+Z84*Inicio!$W$12+Z85*Inicio!$W$13+Z86*Inicio!$W$14+Z87*Inicio!$W$15</f>
        <v/>
      </c>
      <c r="AA89" s="226">
        <f>AA76*Inicio!$W$4+AA77*Inicio!$W$5+AA78*Inicio!$W$6+AA79*Inicio!$W$7+AA80*Inicio!$W$8+AA81*Inicio!$W$9+AA82*Inicio!$W$10+AA83*Inicio!$W$11+AA84*Inicio!$W$12+AA85*Inicio!$W$13+AA86*Inicio!$W$14+AA87*Inicio!$W$15</f>
        <v/>
      </c>
      <c r="AB89" s="226">
        <f>AB76*Inicio!$W$4+AB77*Inicio!$W$5+AB78*Inicio!$W$6+AB79*Inicio!$W$7+AB80*Inicio!$W$8+AB81*Inicio!$W$9+AB82*Inicio!$W$10+AB83*Inicio!$W$11+AB84*Inicio!$W$12+AB85*Inicio!$W$13+AB86*Inicio!$W$14+AB87*Inicio!$W$15</f>
        <v/>
      </c>
      <c r="AC89" s="226">
        <f>AC76*Inicio!$W$4+AC77*Inicio!$W$5+AC78*Inicio!$W$6+AC79*Inicio!$W$7+AC80*Inicio!$W$8+AC81*Inicio!$W$9+AC82*Inicio!$W$10+AC83*Inicio!$W$11+AC84*Inicio!$W$12+AC85*Inicio!$W$13+AC86*Inicio!$W$14+AC87*Inicio!$W$15</f>
        <v/>
      </c>
      <c r="AD89" s="226">
        <f>AD76*Inicio!$W$4+AD77*Inicio!$W$5+AD78*Inicio!$W$6+AD79*Inicio!$W$7+AD80*Inicio!$W$8+AD81*Inicio!$W$9+AD82*Inicio!$W$10+AD83*Inicio!$W$11+AD84*Inicio!$W$12+AD85*Inicio!$W$13+AD86*Inicio!$W$14+AD87*Inicio!$W$15</f>
        <v/>
      </c>
      <c r="AE89" s="226">
        <f>AE76*Inicio!$W$4+AE77*Inicio!$W$5+AE78*Inicio!$W$6+AE79*Inicio!$W$7+AE80*Inicio!$W$8+AE81*Inicio!$W$9+AE82*Inicio!$W$10+AE83*Inicio!$W$11+AE84*Inicio!$W$12+AE85*Inicio!$W$13+AE86*Inicio!$W$14+AE87*Inicio!$W$15</f>
        <v/>
      </c>
      <c r="AF89" s="226">
        <f>AF76*Inicio!$W$4+AF77*Inicio!$W$5+AF78*Inicio!$W$6+AF79*Inicio!$W$7+AF80*Inicio!$W$8+AF81*Inicio!$W$9+AF82*Inicio!$W$10+AF83*Inicio!$W$11+AF84*Inicio!$W$12+AF85*Inicio!$W$13+AF86*Inicio!$W$14+AF87*Inicio!$W$15</f>
        <v/>
      </c>
      <c r="AG89" s="226">
        <f>AG76*Inicio!$W$4+AG77*Inicio!$W$5+AG78*Inicio!$W$6+AG79*Inicio!$W$7+AG80*Inicio!$W$8+AG81*Inicio!$W$9+AG82*Inicio!$W$10+AG83*Inicio!$W$11+AG84*Inicio!$W$12+AG85*Inicio!$W$13+AG86*Inicio!$W$14+AG87*Inicio!$W$15</f>
        <v/>
      </c>
      <c r="AH89" s="226">
        <f>AH76*Inicio!$W$4+AH77*Inicio!$W$5+AH78*Inicio!$W$6+AH79*Inicio!$W$7+AH80*Inicio!$W$8+AH81*Inicio!$W$9+AH82*Inicio!$W$10+AH83*Inicio!$W$11+AH84*Inicio!$W$12+AH85*Inicio!$W$13+AH86*Inicio!$W$14+AH87*Inicio!$W$15</f>
        <v/>
      </c>
      <c r="AI89" s="226">
        <f>AI76*Inicio!$W$4+AI77*Inicio!$W$5+AI78*Inicio!$W$6+AI79*Inicio!$W$7+AI80*Inicio!$W$8+AI81*Inicio!$W$9+AI82*Inicio!$W$10+AI83*Inicio!$W$11+AI84*Inicio!$W$12+AI85*Inicio!$W$13+AI86*Inicio!$W$14+AI87*Inicio!$W$15</f>
        <v/>
      </c>
      <c r="AJ89" s="226">
        <f>AJ76*Inicio!$W$4+AJ77*Inicio!$W$5+AJ78*Inicio!$W$6+AJ79*Inicio!$W$7+AJ80*Inicio!$W$8+AJ81*Inicio!$W$9+AJ82*Inicio!$W$10+AJ83*Inicio!$W$11+AJ84*Inicio!$W$12+AJ85*Inicio!$W$13+AJ86*Inicio!$W$14+AJ87*Inicio!$W$15</f>
        <v/>
      </c>
      <c r="AK89" s="226">
        <f>AK76*Inicio!$W$4+AK77*Inicio!$W$5+AK78*Inicio!$W$6+AK79*Inicio!$W$7+AK80*Inicio!$W$8+AK81*Inicio!$W$9+AK82*Inicio!$W$10+AK83*Inicio!$W$11+AK84*Inicio!$W$12+AK85*Inicio!$W$13+AK86*Inicio!$W$14+AK87*Inicio!$W$15</f>
        <v/>
      </c>
      <c r="AL89" s="226">
        <f>AL76*Inicio!$W$4+AL77*Inicio!$W$5+AL78*Inicio!$W$6+AL79*Inicio!$W$7+AL80*Inicio!$W$8+AL81*Inicio!$W$9+AL82*Inicio!$W$10+AL83*Inicio!$W$11+AL84*Inicio!$W$12+AL85*Inicio!$W$13+AL86*Inicio!$W$14+AL87*Inicio!$W$15</f>
        <v/>
      </c>
      <c r="AM89" s="226">
        <f>AM76*Inicio!$W$4+AM77*Inicio!$W$5+AM78*Inicio!$W$6+AM79*Inicio!$W$7+AM80*Inicio!$W$8+AM81*Inicio!$W$9+AM82*Inicio!$W$10+AM83*Inicio!$W$11+AM84*Inicio!$W$12+AM85*Inicio!$W$13+AM86*Inicio!$W$14+AM87*Inicio!$W$15</f>
        <v/>
      </c>
      <c r="AN89" s="226">
        <f>AN76*Inicio!$W$4+AN77*Inicio!$W$5+AN78*Inicio!$W$6+AN79*Inicio!$W$7+AN80*Inicio!$W$8+AN81*Inicio!$W$9+AN82*Inicio!$W$10+AN83*Inicio!$W$11+AN84*Inicio!$W$12+AN85*Inicio!$W$13+AN86*Inicio!$W$14+AN87*Inicio!$W$15</f>
        <v/>
      </c>
      <c r="AO89" s="226">
        <f>AO76*Inicio!$W$4+AO77*Inicio!$W$5+AO78*Inicio!$W$6+AO79*Inicio!$W$7+AO80*Inicio!$W$8+AO81*Inicio!$W$9+AO82*Inicio!$W$10+AO83*Inicio!$W$11+AO84*Inicio!$W$12+AO85*Inicio!$W$13+AO86*Inicio!$W$14+AO87*Inicio!$W$15</f>
        <v/>
      </c>
      <c r="AP89" s="226">
        <f>AP76*Inicio!$W$4+AP77*Inicio!$W$5+AP78*Inicio!$W$6+AP79*Inicio!$W$7+AP80*Inicio!$W$8+AP81*Inicio!$W$9+AP82*Inicio!$W$10+AP83*Inicio!$W$11+AP84*Inicio!$W$12+AP85*Inicio!$W$13+AP86*Inicio!$W$14+AP87*Inicio!$W$15</f>
        <v/>
      </c>
      <c r="AQ89" s="226">
        <f>AQ76*Inicio!$W$4+AQ77*Inicio!$W$5+AQ78*Inicio!$W$6+AQ79*Inicio!$W$7+AQ80*Inicio!$W$8+AQ81*Inicio!$W$9+AQ82*Inicio!$W$10+AQ83*Inicio!$W$11+AQ84*Inicio!$W$12+AQ85*Inicio!$W$13+AQ86*Inicio!$W$14+AQ87*Inicio!$W$15</f>
        <v/>
      </c>
      <c r="AR89" s="226">
        <f>AR76*Inicio!$W$4+AR77*Inicio!$W$5+AR78*Inicio!$W$6+AR79*Inicio!$W$7+AR80*Inicio!$W$8+AR81*Inicio!$W$9+AR82*Inicio!$W$10+AR83*Inicio!$W$11+AR84*Inicio!$W$12+AR85*Inicio!$W$13+AR86*Inicio!$W$14+AR87*Inicio!$W$15</f>
        <v/>
      </c>
      <c r="AS89" s="227">
        <f>AS76*Inicio!$W$4+AS77*Inicio!$W$5+AS78*Inicio!$W$6+AS79*Inicio!$W$7+AS80*Inicio!$W$8+AS81*Inicio!$W$9+AS82*Inicio!$W$10+AS83*Inicio!$W$11+AS84*Inicio!$W$12+AS85*Inicio!$W$13+AS86*Inicio!$W$14+AS87*Inicio!$W$15</f>
        <v/>
      </c>
    </row>
  </sheetData>
  <mergeCells count="26">
    <mergeCell ref="AS6:AU6"/>
    <mergeCell ref="AJ74:AS74"/>
    <mergeCell ref="E2:AU2"/>
    <mergeCell ref="AT73:AT75"/>
    <mergeCell ref="F6:J6"/>
    <mergeCell ref="F7:J7"/>
    <mergeCell ref="AS7:AU7"/>
    <mergeCell ref="AQ7:AR7"/>
    <mergeCell ref="E9:AU68"/>
    <mergeCell ref="E70:AU70"/>
    <mergeCell ref="P74:Y74"/>
    <mergeCell ref="F73:O73"/>
    <mergeCell ref="Z74:AI74"/>
    <mergeCell ref="F5:J5"/>
    <mergeCell ref="P73:Y73"/>
    <mergeCell ref="E73:E75"/>
    <mergeCell ref="F74:O74"/>
    <mergeCell ref="AU73:AU75"/>
    <mergeCell ref="AS5:AU5"/>
    <mergeCell ref="AQ5:AR5"/>
    <mergeCell ref="AJ73:AS73"/>
    <mergeCell ref="AQ4:AR4"/>
    <mergeCell ref="AQ6:AR6"/>
    <mergeCell ref="AS4:AU4"/>
    <mergeCell ref="Z73:AI73"/>
    <mergeCell ref="F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BA89"/>
  <sheetViews>
    <sheetView zoomScale="70" zoomScaleNormal="70" workbookViewId="0">
      <selection activeCell="A1" sqref="A1"/>
    </sheetView>
  </sheetViews>
  <sheetFormatPr baseColWidth="10" defaultRowHeight="15" outlineLevelCol="0"/>
  <cols>
    <col width="11.42578125" customWidth="1" style="134" min="1" max="1"/>
    <col width="11.42578125" customWidth="1" style="134" min="2" max="3"/>
    <col hidden="1" width="4.140625" customWidth="1" min="4" max="4"/>
    <col width="14.85546875" customWidth="1" min="5" max="5"/>
    <col width="6.7109375" customWidth="1" min="6" max="45"/>
    <col width="7.28515625" customWidth="1" style="134" min="46" max="47"/>
    <col width="14.85546875" customWidth="1" min="48" max="49"/>
    <col width="14.42578125" bestFit="1" customWidth="1" min="53" max="53"/>
  </cols>
  <sheetData>
    <row r="1" ht="15.75" customFormat="1" customHeight="1" s="134" thickBot="1"/>
    <row r="2" ht="36.75" customFormat="1" customHeight="1" s="134" thickBot="1">
      <c r="E2" s="238" t="inlineStr">
        <is>
          <t>FLUJOGRAMA VEHICULAR DIRECCIONAL</t>
        </is>
      </c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39" t="n"/>
      <c r="AJ2" s="239" t="n"/>
      <c r="AK2" s="239" t="n"/>
      <c r="AL2" s="239" t="n"/>
      <c r="AM2" s="239" t="n"/>
      <c r="AN2" s="239" t="n"/>
      <c r="AO2" s="239" t="n"/>
      <c r="AP2" s="239" t="n"/>
      <c r="AQ2" s="239" t="n"/>
      <c r="AR2" s="239" t="n"/>
      <c r="AS2" s="239" t="n"/>
      <c r="AT2" s="239" t="n"/>
      <c r="AU2" s="240" t="n"/>
    </row>
    <row r="3" ht="15.75" customFormat="1" customHeight="1" s="134" thickBot="1">
      <c r="AZ3" s="126" t="inlineStr">
        <is>
          <t>Metadatos</t>
        </is>
      </c>
    </row>
    <row r="4" customFormat="1" s="134">
      <c r="E4" s="104" t="inlineStr">
        <is>
          <t>Intersección:</t>
        </is>
      </c>
      <c r="F4" s="186">
        <f>Inicio!G5</f>
        <v/>
      </c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105" t="n"/>
      <c r="AJ4" s="105" t="n"/>
      <c r="AK4" s="105" t="n"/>
      <c r="AL4" s="105" t="n"/>
      <c r="AM4" s="105" t="n"/>
      <c r="AN4" s="105" t="n"/>
      <c r="AO4" s="105" t="n"/>
      <c r="AP4" s="105" t="n"/>
      <c r="AQ4" s="187" t="inlineStr">
        <is>
          <t>Distrito:</t>
        </is>
      </c>
      <c r="AR4" s="105" t="n"/>
      <c r="AS4" s="188">
        <f>Inicio!G9</f>
        <v/>
      </c>
      <c r="AT4" s="105" t="n"/>
      <c r="AU4" s="241" t="n"/>
      <c r="AZ4" s="134" t="inlineStr">
        <is>
          <t>Fila HP:</t>
        </is>
      </c>
      <c r="BA4" s="134">
        <f>_xlfn.LET(
_xlpm.rango, INDIRECT("N!EJ" &amp; $BA$8 &amp; ":EJ" &amp; BA9),
MATCH(MAX(_xlpm.rango),_xlpm.rango,0)
)</f>
        <v/>
      </c>
    </row>
    <row r="5" customFormat="1" s="134">
      <c r="E5" s="106" t="inlineStr">
        <is>
          <t>Fecha:</t>
        </is>
      </c>
      <c r="F5" s="189">
        <f>Inicio!G6</f>
        <v/>
      </c>
      <c r="AQ5" s="178" t="inlineStr">
        <is>
          <t>Turno:</t>
        </is>
      </c>
      <c r="AS5" s="179" t="inlineStr">
        <is>
          <t>Mañana</t>
        </is>
      </c>
      <c r="AU5" s="242" t="n"/>
      <c r="AZ5" s="134" t="inlineStr">
        <is>
          <t>Fin:</t>
        </is>
      </c>
      <c r="BA5" s="90">
        <f>TIME(0,15,0)*BA4+TIME((BA8-9)/4,0,0)</f>
        <v/>
      </c>
    </row>
    <row r="6" customFormat="1" s="134">
      <c r="E6" s="106" t="inlineStr">
        <is>
          <t>Día:</t>
        </is>
      </c>
      <c r="F6" s="177">
        <f>Inicio!G8</f>
        <v/>
      </c>
      <c r="AQ6" s="178" t="inlineStr">
        <is>
          <t>Hora Punta:</t>
        </is>
      </c>
      <c r="AS6" s="179">
        <f>BA7</f>
        <v/>
      </c>
      <c r="AU6" s="242" t="n"/>
      <c r="AZ6" s="134" t="inlineStr">
        <is>
          <t>Inicio:</t>
        </is>
      </c>
      <c r="BA6" s="125">
        <f>TIME(0,15,0)*(BA4-4)+TIME((BA8-9)/4,0,0)</f>
        <v/>
      </c>
    </row>
    <row r="7" ht="15.75" customFormat="1" customHeight="1" s="134" thickBot="1">
      <c r="E7" s="107" t="inlineStr">
        <is>
          <t>Volumen:</t>
        </is>
      </c>
      <c r="F7" s="180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81" t="inlineStr">
        <is>
          <t>Volumen UCP:</t>
        </is>
      </c>
      <c r="AR7" s="108" t="n"/>
      <c r="AS7" s="182" t="n"/>
      <c r="AT7" s="108" t="n"/>
      <c r="AU7" s="243" t="n"/>
      <c r="AZ7" s="134" t="inlineStr">
        <is>
          <t>HP:</t>
        </is>
      </c>
      <c r="BA7" s="177">
        <f>TEXT(BA6, "[hh]:mm") &amp; " - " &amp; TEXT(BA5, "[hh]:mm")</f>
        <v/>
      </c>
    </row>
    <row r="8" ht="15.75" customFormat="1" customHeight="1" s="134" thickBot="1">
      <c r="AV8" s="178" t="n"/>
      <c r="AZ8" s="134" t="inlineStr">
        <is>
          <t>Fila Inicio</t>
        </is>
      </c>
      <c r="BA8" s="134" t="n">
        <v>33</v>
      </c>
    </row>
    <row r="9" customFormat="1" s="134">
      <c r="E9" s="244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5" t="n"/>
      <c r="W9" s="105" t="n"/>
      <c r="X9" s="105" t="n"/>
      <c r="Y9" s="105" t="n"/>
      <c r="Z9" s="105" t="n"/>
      <c r="AA9" s="105" t="n"/>
      <c r="AB9" s="105" t="n"/>
      <c r="AC9" s="105" t="n"/>
      <c r="AD9" s="105" t="n"/>
      <c r="AE9" s="105" t="n"/>
      <c r="AF9" s="105" t="n"/>
      <c r="AG9" s="105" t="n"/>
      <c r="AH9" s="105" t="n"/>
      <c r="AI9" s="105" t="n"/>
      <c r="AJ9" s="105" t="n"/>
      <c r="AK9" s="105" t="n"/>
      <c r="AL9" s="105" t="n"/>
      <c r="AM9" s="105" t="n"/>
      <c r="AN9" s="105" t="n"/>
      <c r="AO9" s="105" t="n"/>
      <c r="AP9" s="105" t="n"/>
      <c r="AQ9" s="105" t="n"/>
      <c r="AR9" s="105" t="n"/>
      <c r="AS9" s="105" t="n"/>
      <c r="AT9" s="105" t="n"/>
      <c r="AU9" s="241" t="n"/>
      <c r="AV9" s="178" t="n"/>
      <c r="AZ9" s="134" t="inlineStr">
        <is>
          <t>Fila Fin</t>
        </is>
      </c>
      <c r="BA9" s="134" t="n">
        <v>56</v>
      </c>
    </row>
    <row r="10" customFormat="1" s="134">
      <c r="E10" s="106" t="n"/>
      <c r="AU10" s="242" t="n"/>
      <c r="AV10" s="178" t="n"/>
    </row>
    <row r="11" customFormat="1" s="134">
      <c r="E11" s="106" t="n"/>
      <c r="AU11" s="242" t="n"/>
      <c r="AV11" s="178" t="n"/>
    </row>
    <row r="12" customFormat="1" s="134">
      <c r="E12" s="106" t="n"/>
      <c r="AU12" s="242" t="n"/>
      <c r="AV12" s="178" t="n"/>
    </row>
    <row r="13" customFormat="1" s="134">
      <c r="E13" s="106" t="n"/>
      <c r="AU13" s="242" t="n"/>
      <c r="AV13" s="178" t="n"/>
    </row>
    <row r="14" customFormat="1" s="134">
      <c r="E14" s="106" t="n"/>
      <c r="AU14" s="242" t="n"/>
      <c r="AV14" s="178" t="n"/>
      <c r="AX14" s="129" t="n"/>
    </row>
    <row r="15" customFormat="1" s="134">
      <c r="E15" s="106" t="n"/>
      <c r="AU15" s="242" t="n"/>
      <c r="AV15" s="178" t="n"/>
    </row>
    <row r="16" customFormat="1" s="134">
      <c r="E16" s="106" t="n"/>
      <c r="AU16" s="242" t="n"/>
      <c r="AV16" s="178" t="n"/>
    </row>
    <row r="17" customFormat="1" s="134">
      <c r="E17" s="106" t="n"/>
      <c r="AU17" s="242" t="n"/>
      <c r="AV17" s="178" t="n"/>
    </row>
    <row r="18" customFormat="1" s="134">
      <c r="E18" s="106" t="n"/>
      <c r="AU18" s="242" t="n"/>
      <c r="AV18" s="178" t="n"/>
    </row>
    <row r="19" customFormat="1" s="134">
      <c r="E19" s="106" t="n"/>
      <c r="AU19" s="242" t="n"/>
      <c r="AV19" s="178" t="n"/>
    </row>
    <row r="20" customFormat="1" s="134">
      <c r="E20" s="106" t="n"/>
      <c r="AU20" s="242" t="n"/>
      <c r="AV20" s="178" t="n"/>
    </row>
    <row r="21" customFormat="1" s="134">
      <c r="E21" s="106" t="n"/>
      <c r="AU21" s="242" t="n"/>
      <c r="AV21" s="178" t="n"/>
    </row>
    <row r="22" customFormat="1" s="134">
      <c r="E22" s="106" t="n"/>
      <c r="AU22" s="242" t="n"/>
      <c r="AV22" s="178" t="n"/>
    </row>
    <row r="23" customFormat="1" s="134">
      <c r="E23" s="106" t="n"/>
      <c r="AU23" s="242" t="n"/>
      <c r="AV23" s="178" t="n"/>
    </row>
    <row r="24" customFormat="1" s="134">
      <c r="E24" s="106" t="n"/>
      <c r="AU24" s="242" t="n"/>
      <c r="AV24" s="178" t="n"/>
    </row>
    <row r="25" customFormat="1" s="134">
      <c r="E25" s="106" t="n"/>
      <c r="AU25" s="242" t="n"/>
      <c r="AV25" s="178" t="n"/>
    </row>
    <row r="26" customFormat="1" s="134">
      <c r="E26" s="106" t="n"/>
      <c r="AU26" s="242" t="n"/>
      <c r="AV26" s="178" t="n"/>
    </row>
    <row r="27" customFormat="1" s="134">
      <c r="E27" s="106" t="n"/>
      <c r="AU27" s="242" t="n"/>
      <c r="AV27" s="178" t="n"/>
    </row>
    <row r="28" customFormat="1" s="134">
      <c r="E28" s="106" t="n"/>
      <c r="AU28" s="242" t="n"/>
      <c r="AV28" s="178" t="n"/>
    </row>
    <row r="29" customFormat="1" s="134">
      <c r="E29" s="106" t="n"/>
      <c r="AU29" s="242" t="n"/>
      <c r="AV29" s="178" t="n"/>
    </row>
    <row r="30" customFormat="1" s="134">
      <c r="E30" s="106" t="n"/>
      <c r="AU30" s="242" t="n"/>
      <c r="AV30" s="178" t="n"/>
    </row>
    <row r="31" customFormat="1" s="134">
      <c r="E31" s="106" t="n"/>
      <c r="AU31" s="242" t="n"/>
      <c r="AV31" s="178" t="n"/>
    </row>
    <row r="32" customFormat="1" s="134">
      <c r="E32" s="106" t="n"/>
      <c r="AU32" s="242" t="n"/>
      <c r="AV32" s="178" t="n"/>
    </row>
    <row r="33" customFormat="1" s="134">
      <c r="E33" s="106" t="n"/>
      <c r="AU33" s="242" t="n"/>
      <c r="AV33" s="178" t="n"/>
    </row>
    <row r="34" customFormat="1" s="134">
      <c r="E34" s="106" t="n"/>
      <c r="AU34" s="242" t="n"/>
      <c r="AV34" s="178" t="n"/>
    </row>
    <row r="35" customFormat="1" s="134">
      <c r="E35" s="106" t="n"/>
      <c r="AU35" s="242" t="n"/>
      <c r="AV35" s="178" t="n"/>
    </row>
    <row r="36" customFormat="1" s="134">
      <c r="E36" s="106" t="n"/>
      <c r="AU36" s="242" t="n"/>
      <c r="AV36" s="178" t="n"/>
    </row>
    <row r="37" customFormat="1" s="134">
      <c r="E37" s="106" t="n"/>
      <c r="AU37" s="242" t="n"/>
      <c r="AV37" s="178" t="n"/>
    </row>
    <row r="38" customFormat="1" s="134">
      <c r="E38" s="106" t="n"/>
      <c r="AU38" s="242" t="n"/>
      <c r="AV38" s="178" t="n"/>
    </row>
    <row r="39" customFormat="1" s="134">
      <c r="E39" s="106" t="n"/>
      <c r="AU39" s="242" t="n"/>
      <c r="AV39" s="178" t="n"/>
    </row>
    <row r="40" customFormat="1" s="134">
      <c r="E40" s="106" t="n"/>
      <c r="AU40" s="242" t="n"/>
      <c r="AV40" s="178" t="n"/>
    </row>
    <row r="41" customFormat="1" s="134">
      <c r="E41" s="106" t="n"/>
      <c r="AU41" s="242" t="n"/>
      <c r="AV41" s="178" t="n"/>
    </row>
    <row r="42" customFormat="1" s="134">
      <c r="E42" s="106" t="n"/>
      <c r="AU42" s="242" t="n"/>
      <c r="AV42" s="178" t="n"/>
    </row>
    <row r="43" customFormat="1" s="134">
      <c r="E43" s="106" t="n"/>
      <c r="AU43" s="242" t="n"/>
      <c r="AV43" s="178" t="n"/>
    </row>
    <row r="44" customFormat="1" s="134">
      <c r="E44" s="106" t="n"/>
      <c r="AU44" s="242" t="n"/>
      <c r="AV44" s="178" t="n"/>
    </row>
    <row r="45" customFormat="1" s="134">
      <c r="E45" s="106" t="n"/>
      <c r="AU45" s="242" t="n"/>
      <c r="AV45" s="178" t="n"/>
    </row>
    <row r="46" customFormat="1" s="134">
      <c r="E46" s="106" t="n"/>
      <c r="AU46" s="242" t="n"/>
      <c r="AV46" s="178" t="n"/>
    </row>
    <row r="47" customFormat="1" s="134">
      <c r="E47" s="106" t="n"/>
      <c r="AU47" s="242" t="n"/>
      <c r="AV47" s="178" t="n"/>
    </row>
    <row r="48" customFormat="1" s="134">
      <c r="E48" s="106" t="n"/>
      <c r="AU48" s="242" t="n"/>
      <c r="AV48" s="178" t="n"/>
    </row>
    <row r="49" customFormat="1" s="134">
      <c r="E49" s="106" t="n"/>
      <c r="AU49" s="242" t="n"/>
      <c r="AV49" s="178" t="n"/>
    </row>
    <row r="50" customFormat="1" s="134">
      <c r="E50" s="106" t="n"/>
      <c r="AU50" s="242" t="n"/>
      <c r="AV50" s="178" t="n"/>
    </row>
    <row r="51" customFormat="1" s="134">
      <c r="E51" s="106" t="n"/>
      <c r="AU51" s="242" t="n"/>
      <c r="AV51" s="178" t="n"/>
    </row>
    <row r="52" customFormat="1" s="134">
      <c r="E52" s="106" t="n"/>
      <c r="AU52" s="242" t="n"/>
      <c r="AV52" s="178" t="n"/>
    </row>
    <row r="53" customFormat="1" s="134">
      <c r="E53" s="106" t="n"/>
      <c r="AU53" s="242" t="n"/>
      <c r="AV53" s="178" t="n"/>
    </row>
    <row r="54" customFormat="1" s="134">
      <c r="E54" s="106" t="n"/>
      <c r="AU54" s="242" t="n"/>
      <c r="AV54" s="178" t="n"/>
    </row>
    <row r="55" customFormat="1" s="134">
      <c r="E55" s="106" t="n"/>
      <c r="AU55" s="242" t="n"/>
      <c r="AV55" s="178" t="n"/>
    </row>
    <row r="56" customFormat="1" s="134">
      <c r="E56" s="106" t="n"/>
      <c r="AU56" s="242" t="n"/>
      <c r="AV56" s="178" t="n"/>
    </row>
    <row r="57" customFormat="1" s="134">
      <c r="E57" s="106" t="n"/>
      <c r="AU57" s="242" t="n"/>
      <c r="AV57" s="178" t="n"/>
    </row>
    <row r="58" customFormat="1" s="134">
      <c r="E58" s="106" t="n"/>
      <c r="AU58" s="242" t="n"/>
    </row>
    <row r="59" customFormat="1" s="134">
      <c r="E59" s="106" t="n"/>
      <c r="AU59" s="242" t="n"/>
    </row>
    <row r="60" customFormat="1" s="134">
      <c r="E60" s="106" t="n"/>
      <c r="AU60" s="242" t="n"/>
    </row>
    <row r="61" customFormat="1" s="134">
      <c r="E61" s="106" t="n"/>
      <c r="AU61" s="242" t="n"/>
    </row>
    <row r="62" customFormat="1" s="134">
      <c r="E62" s="106" t="n"/>
      <c r="AU62" s="242" t="n"/>
    </row>
    <row r="63" customFormat="1" s="134">
      <c r="E63" s="106" t="n"/>
      <c r="AU63" s="242" t="n"/>
    </row>
    <row r="64" customFormat="1" s="134">
      <c r="E64" s="106" t="n"/>
      <c r="AU64" s="242" t="n"/>
    </row>
    <row r="65" customFormat="1" s="134">
      <c r="E65" s="106" t="n"/>
      <c r="AU65" s="242" t="n"/>
    </row>
    <row r="66">
      <c r="E66" s="106" t="n"/>
      <c r="AU66" s="242" t="n"/>
    </row>
    <row r="67">
      <c r="E67" s="106" t="n"/>
      <c r="AU67" s="242" t="n"/>
    </row>
    <row r="68" ht="15.75" customHeight="1" thickBot="1">
      <c r="E68" s="107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243" t="n"/>
    </row>
    <row r="69" ht="15.75" customFormat="1" customHeight="1" s="134" thickBot="1"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  <c r="AG69" s="159" t="n"/>
      <c r="AH69" s="159" t="n"/>
      <c r="AI69" s="159" t="n"/>
      <c r="AJ69" s="159" t="n"/>
      <c r="AK69" s="159" t="n"/>
      <c r="AL69" s="159" t="n"/>
      <c r="AM69" s="159" t="n"/>
      <c r="AN69" s="159" t="n"/>
      <c r="AO69" s="159" t="n"/>
      <c r="AP69" s="159" t="n"/>
      <c r="AQ69" s="159" t="n"/>
      <c r="AR69" s="159" t="n"/>
      <c r="AS69" s="159" t="n"/>
      <c r="AT69" s="159" t="n"/>
      <c r="AU69" s="159" t="n"/>
    </row>
    <row r="70" ht="30" customFormat="1" customHeight="1" s="134" thickBot="1">
      <c r="E70" s="245" t="inlineStr">
        <is>
          <t>DISTRIBUCIÓN DE VOLUMEN POR GIRO, SENTIDO Y TIPOLOGÍA</t>
        </is>
      </c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39" t="n"/>
      <c r="AC70" s="239" t="n"/>
      <c r="AD70" s="239" t="n"/>
      <c r="AE70" s="239" t="n"/>
      <c r="AF70" s="239" t="n"/>
      <c r="AG70" s="239" t="n"/>
      <c r="AH70" s="239" t="n"/>
      <c r="AI70" s="239" t="n"/>
      <c r="AJ70" s="239" t="n"/>
      <c r="AK70" s="239" t="n"/>
      <c r="AL70" s="239" t="n"/>
      <c r="AM70" s="239" t="n"/>
      <c r="AN70" s="239" t="n"/>
      <c r="AO70" s="239" t="n"/>
      <c r="AP70" s="239" t="n"/>
      <c r="AQ70" s="239" t="n"/>
      <c r="AR70" s="239" t="n"/>
      <c r="AS70" s="239" t="n"/>
      <c r="AT70" s="239" t="n"/>
      <c r="AU70" s="240" t="n"/>
    </row>
    <row r="71" ht="15.75" customHeight="1" thickBot="1"/>
    <row r="72" hidden="1">
      <c r="F72" s="17" t="n">
        <v>1</v>
      </c>
      <c r="G72" s="17" t="n">
        <v>2</v>
      </c>
      <c r="H72" s="17" t="n">
        <v>3</v>
      </c>
      <c r="I72" s="17" t="n">
        <v>4</v>
      </c>
      <c r="J72" s="17" t="n">
        <v>5</v>
      </c>
      <c r="K72" s="17" t="n">
        <v>6</v>
      </c>
      <c r="L72" s="17" t="n">
        <v>7</v>
      </c>
      <c r="M72" s="17" t="n">
        <v>8</v>
      </c>
      <c r="N72" s="17" t="n">
        <v>9</v>
      </c>
      <c r="O72" s="17" t="n">
        <v>10</v>
      </c>
      <c r="P72" s="17" t="n">
        <v>1</v>
      </c>
      <c r="Q72" s="17" t="n">
        <v>2</v>
      </c>
      <c r="R72" s="17" t="n">
        <v>3</v>
      </c>
      <c r="S72" s="17" t="n">
        <v>4</v>
      </c>
      <c r="T72" s="17" t="n">
        <v>5</v>
      </c>
      <c r="U72" s="17" t="n">
        <v>6</v>
      </c>
      <c r="V72" s="17" t="n">
        <v>7</v>
      </c>
      <c r="W72" s="17" t="n">
        <v>8</v>
      </c>
      <c r="X72" s="17" t="n">
        <v>9</v>
      </c>
      <c r="Y72" s="17" t="n">
        <v>10</v>
      </c>
      <c r="Z72" s="17" t="n">
        <v>1</v>
      </c>
      <c r="AA72" s="17" t="n">
        <v>2</v>
      </c>
      <c r="AB72" s="17" t="n">
        <v>3</v>
      </c>
      <c r="AC72" s="17" t="n">
        <v>4</v>
      </c>
      <c r="AD72" s="17" t="n">
        <v>5</v>
      </c>
      <c r="AE72" s="17" t="n">
        <v>6</v>
      </c>
      <c r="AF72" s="17" t="n">
        <v>7</v>
      </c>
      <c r="AG72" s="17" t="n">
        <v>8</v>
      </c>
      <c r="AH72" s="17" t="n">
        <v>9</v>
      </c>
      <c r="AI72" s="17" t="n">
        <v>10</v>
      </c>
      <c r="AJ72" s="17" t="n">
        <v>1</v>
      </c>
      <c r="AK72" s="17" t="n">
        <v>2</v>
      </c>
      <c r="AL72" s="17" t="n">
        <v>3</v>
      </c>
      <c r="AM72" s="17" t="n">
        <v>4</v>
      </c>
      <c r="AN72" s="17" t="n">
        <v>5</v>
      </c>
      <c r="AO72" s="17" t="n">
        <v>6</v>
      </c>
      <c r="AP72" s="17" t="n">
        <v>7</v>
      </c>
      <c r="AQ72" s="17" t="n">
        <v>8</v>
      </c>
      <c r="AR72" s="17" t="n">
        <v>9</v>
      </c>
      <c r="AS72" s="17" t="n">
        <v>10</v>
      </c>
      <c r="AT72" s="159" t="n"/>
      <c r="AU72" s="159" t="n"/>
    </row>
    <row r="73" ht="21.75" customHeight="1">
      <c r="E73" s="167" t="inlineStr">
        <is>
          <t>Tipo de Vehículo</t>
        </is>
      </c>
      <c r="F73" s="169">
        <f>Inicio!$H$12</f>
        <v/>
      </c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7" t="n"/>
      <c r="P73" s="169">
        <f>Inicio!$H$12</f>
        <v/>
      </c>
      <c r="Q73" s="246" t="n"/>
      <c r="R73" s="246" t="n"/>
      <c r="S73" s="246" t="n"/>
      <c r="T73" s="246" t="n"/>
      <c r="U73" s="246" t="n"/>
      <c r="V73" s="246" t="n"/>
      <c r="W73" s="246" t="n"/>
      <c r="X73" s="246" t="n"/>
      <c r="Y73" s="247" t="n"/>
      <c r="Z73" s="169">
        <f>Inicio!$H$12</f>
        <v/>
      </c>
      <c r="AA73" s="246" t="n"/>
      <c r="AB73" s="246" t="n"/>
      <c r="AC73" s="246" t="n"/>
      <c r="AD73" s="246" t="n"/>
      <c r="AE73" s="246" t="n"/>
      <c r="AF73" s="246" t="n"/>
      <c r="AG73" s="246" t="n"/>
      <c r="AH73" s="246" t="n"/>
      <c r="AI73" s="247" t="n"/>
      <c r="AJ73" s="169">
        <f>Inicio!$H$12</f>
        <v/>
      </c>
      <c r="AK73" s="246" t="n"/>
      <c r="AL73" s="246" t="n"/>
      <c r="AM73" s="246" t="n"/>
      <c r="AN73" s="246" t="n"/>
      <c r="AO73" s="246" t="n"/>
      <c r="AP73" s="246" t="n"/>
      <c r="AQ73" s="246" t="n"/>
      <c r="AR73" s="246" t="n"/>
      <c r="AS73" s="247" t="n"/>
      <c r="AT73" s="248" t="inlineStr">
        <is>
          <t>Total</t>
        </is>
      </c>
      <c r="AU73" s="249" t="inlineStr">
        <is>
          <t>%</t>
        </is>
      </c>
    </row>
    <row r="74" ht="15" customHeight="1">
      <c r="E74" s="250" t="n"/>
      <c r="F74" s="153" t="inlineStr">
        <is>
          <t>Norte</t>
        </is>
      </c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2" t="n"/>
      <c r="P74" s="152" t="inlineStr">
        <is>
          <t>Sur</t>
        </is>
      </c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2" t="n"/>
      <c r="Z74" s="153" t="inlineStr">
        <is>
          <t>Este</t>
        </is>
      </c>
      <c r="AA74" s="251" t="n"/>
      <c r="AB74" s="251" t="n"/>
      <c r="AC74" s="251" t="n"/>
      <c r="AD74" s="251" t="n"/>
      <c r="AE74" s="251" t="n"/>
      <c r="AF74" s="251" t="n"/>
      <c r="AG74" s="251" t="n"/>
      <c r="AH74" s="251" t="n"/>
      <c r="AI74" s="252" t="n"/>
      <c r="AJ74" s="152" t="inlineStr">
        <is>
          <t>Oeste</t>
        </is>
      </c>
      <c r="AK74" s="251" t="n"/>
      <c r="AL74" s="251" t="n"/>
      <c r="AM74" s="251" t="n"/>
      <c r="AN74" s="251" t="n"/>
      <c r="AO74" s="251" t="n"/>
      <c r="AP74" s="251" t="n"/>
      <c r="AQ74" s="251" t="n"/>
      <c r="AR74" s="251" t="n"/>
      <c r="AS74" s="252" t="n"/>
      <c r="AT74" s="250" t="n"/>
      <c r="AU74" s="253" t="n"/>
    </row>
    <row r="75">
      <c r="D75" t="n">
        <v>0</v>
      </c>
      <c r="E75" s="254" t="n"/>
      <c r="F75" s="102">
        <f>Inicio!$G$12</f>
        <v/>
      </c>
      <c r="G75" s="102">
        <f>Inicio!$G$13</f>
        <v/>
      </c>
      <c r="H75" s="102">
        <f>Inicio!$G$14</f>
        <v/>
      </c>
      <c r="I75" s="102">
        <f>Inicio!$G$15</f>
        <v/>
      </c>
      <c r="J75" s="102">
        <f>Inicio!$G$16</f>
        <v/>
      </c>
      <c r="K75" s="102">
        <f>Inicio!$G$17</f>
        <v/>
      </c>
      <c r="L75" s="102">
        <f>Inicio!$G$18</f>
        <v/>
      </c>
      <c r="M75" s="102">
        <f>Inicio!$G$19</f>
        <v/>
      </c>
      <c r="N75" s="102">
        <f>Inicio!$G$20</f>
        <v/>
      </c>
      <c r="O75" s="102">
        <f>Inicio!$G$21</f>
        <v/>
      </c>
      <c r="P75" s="91">
        <f>Inicio!$M$12</f>
        <v/>
      </c>
      <c r="Q75" s="91">
        <f>Inicio!$M$13</f>
        <v/>
      </c>
      <c r="R75" s="91">
        <f>Inicio!$M$14</f>
        <v/>
      </c>
      <c r="S75" s="91">
        <f>Inicio!$M$15</f>
        <v/>
      </c>
      <c r="T75" s="91">
        <f>Inicio!$M$16</f>
        <v/>
      </c>
      <c r="U75" s="91">
        <f>Inicio!$M$17</f>
        <v/>
      </c>
      <c r="V75" s="91">
        <f>Inicio!$M$18</f>
        <v/>
      </c>
      <c r="W75" s="91">
        <f>Inicio!$M$19</f>
        <v/>
      </c>
      <c r="X75" s="91">
        <f>Inicio!$M$20</f>
        <v/>
      </c>
      <c r="Y75" s="91">
        <f>Inicio!$M$21</f>
        <v/>
      </c>
      <c r="Z75" s="102">
        <f>Inicio!$G$24</f>
        <v/>
      </c>
      <c r="AA75" s="102">
        <f>Inicio!$G$25</f>
        <v/>
      </c>
      <c r="AB75" s="102">
        <f>Inicio!$G$26</f>
        <v/>
      </c>
      <c r="AC75" s="102">
        <f>Inicio!$G$27</f>
        <v/>
      </c>
      <c r="AD75" s="102">
        <f>Inicio!$G$28</f>
        <v/>
      </c>
      <c r="AE75" s="102">
        <f>Inicio!$G$29</f>
        <v/>
      </c>
      <c r="AF75" s="102">
        <f>Inicio!$G$30</f>
        <v/>
      </c>
      <c r="AG75" s="102">
        <f>Inicio!$G$31</f>
        <v/>
      </c>
      <c r="AH75" s="102">
        <f>Inicio!$G$32</f>
        <v/>
      </c>
      <c r="AI75" s="102">
        <f>Inicio!$G$33</f>
        <v/>
      </c>
      <c r="AJ75" s="91">
        <f>Inicio!$M$24</f>
        <v/>
      </c>
      <c r="AK75" s="91">
        <f>Inicio!$M$25</f>
        <v/>
      </c>
      <c r="AL75" s="91">
        <f>Inicio!$M$26</f>
        <v/>
      </c>
      <c r="AM75" s="91">
        <f>Inicio!$M$27</f>
        <v/>
      </c>
      <c r="AN75" s="91">
        <f>Inicio!$M$28</f>
        <v/>
      </c>
      <c r="AO75" s="91">
        <f>Inicio!$M$29</f>
        <v/>
      </c>
      <c r="AP75" s="91">
        <f>Inicio!$M$30</f>
        <v/>
      </c>
      <c r="AQ75" s="91">
        <f>Inicio!$M$31</f>
        <v/>
      </c>
      <c r="AR75" s="91">
        <f>Inicio!$M$32</f>
        <v/>
      </c>
      <c r="AS75" s="109">
        <f>Inicio!$M$33</f>
        <v/>
      </c>
      <c r="AT75" s="254" t="n"/>
      <c r="AU75" s="255" t="n"/>
    </row>
    <row r="76">
      <c r="D76" t="n">
        <v>1</v>
      </c>
      <c r="E76" s="110">
        <f>Inicio!V4</f>
        <v/>
      </c>
      <c r="F76" s="99">
        <f t="array" ref="F76">_xlfn.LET(
_xlpm.rango, INDIRECT("N!$C$" &amp; $BA$8 &amp; ":$DR$" &amp; $BA$9),
_xlpm.col, F$72+$D75*10,
INDEX(_xlpm.rango,$BA$4-3,_xlpm.col) +
INDEX(_xlpm.rango,$BA$4-2,_xlpm.col) +
INDEX(_xlpm.rango,$BA$4-1,_xlpm.col) +
INDEX(_xlpm.rango,$BA$4, _xlpm.col)
)</f>
        <v/>
      </c>
      <c r="G76" s="93">
        <f t="array" ref="G76">_xlfn.LET(
_xlpm.rango, INDIRECT("N!$C$" &amp; $BA$8 &amp; ":$DR$" &amp; $BA$9),
_xlpm.col, G$72+$D75*10,
INDEX(_xlpm.rango,$BA$4-3,_xlpm.col) +
INDEX(_xlpm.rango,$BA$4-2,_xlpm.col) +
INDEX(_xlpm.rango,$BA$4-1,_xlpm.col) +
INDEX(_xlpm.rango,$BA$4, _xlpm.col)
)</f>
        <v/>
      </c>
      <c r="H76" s="93">
        <f t="array" ref="H76">_xlfn.LET(
_xlpm.rango, INDIRECT("N!$C$" &amp; $BA$8 &amp; ":$DR$" &amp; $BA$9),
_xlpm.col, H$72+$D75*10,
INDEX(_xlpm.rango,$BA$4-3,_xlpm.col) +
INDEX(_xlpm.rango,$BA$4-2,_xlpm.col) +
INDEX(_xlpm.rango,$BA$4-1,_xlpm.col) +
INDEX(_xlpm.rango,$BA$4, _xlpm.col)
)</f>
        <v/>
      </c>
      <c r="I76" s="93">
        <f t="array" ref="I76">_xlfn.LET(
_xlpm.rango, INDIRECT("N!$C$" &amp; $BA$8 &amp; ":$DR$" &amp; $BA$9),
_xlpm.col, I$72+$D75*10,
INDEX(_xlpm.rango,$BA$4-3,_xlpm.col) +
INDEX(_xlpm.rango,$BA$4-2,_xlpm.col) +
INDEX(_xlpm.rango,$BA$4-1,_xlpm.col) +
INDEX(_xlpm.rango,$BA$4, _xlpm.col)
)</f>
        <v/>
      </c>
      <c r="J76" s="93">
        <f t="array" ref="J76">_xlfn.LET(
_xlpm.rango, INDIRECT("N!$C$" &amp; $BA$8 &amp; ":$DR$" &amp; $BA$9),
_xlpm.col, J$72+$D75*10,
INDEX(_xlpm.rango,$BA$4-3,_xlpm.col) +
INDEX(_xlpm.rango,$BA$4-2,_xlpm.col) +
INDEX(_xlpm.rango,$BA$4-1,_xlpm.col) +
INDEX(_xlpm.rango,$BA$4, _xlpm.col)
)</f>
        <v/>
      </c>
      <c r="K76" s="93">
        <f t="array" ref="K76">_xlfn.LET(
_xlpm.rango, INDIRECT("N!$C$" &amp; $BA$8 &amp; ":$DR$" &amp; $BA$9),
_xlpm.col, K$72+$D75*10,
INDEX(_xlpm.rango,$BA$4-3,_xlpm.col) +
INDEX(_xlpm.rango,$BA$4-2,_xlpm.col) +
INDEX(_xlpm.rango,$BA$4-1,_xlpm.col) +
INDEX(_xlpm.rango,$BA$4, _xlpm.col)
)</f>
        <v/>
      </c>
      <c r="L76" s="93">
        <f t="array" ref="L76">_xlfn.LET(
_xlpm.rango, INDIRECT("N!$C$" &amp; $BA$8 &amp; ":$DR$" &amp; $BA$9),
_xlpm.col, L$72+$D75*10,
INDEX(_xlpm.rango,$BA$4-3,_xlpm.col) +
INDEX(_xlpm.rango,$BA$4-2,_xlpm.col) +
INDEX(_xlpm.rango,$BA$4-1,_xlpm.col) +
INDEX(_xlpm.rango,$BA$4, _xlpm.col)
)</f>
        <v/>
      </c>
      <c r="M76" s="93">
        <f t="array" ref="M76">_xlfn.LET(
_xlpm.rango, INDIRECT("N!$C$" &amp; $BA$8 &amp; ":$DR$" &amp; $BA$9),
_xlpm.col, M$72+$D75*10,
INDEX(_xlpm.rango,$BA$4-3,_xlpm.col) +
INDEX(_xlpm.rango,$BA$4-2,_xlpm.col) +
INDEX(_xlpm.rango,$BA$4-1,_xlpm.col) +
INDEX(_xlpm.rango,$BA$4, _xlpm.col)
)</f>
        <v/>
      </c>
      <c r="N76" s="93">
        <f t="array" ref="N76">_xlfn.LET(
_xlpm.rango, INDIRECT("N!$C$" &amp; $BA$8 &amp; ":$DR$" &amp; $BA$9),
_xlpm.col, N$72+$D75*10,
INDEX(_xlpm.rango,$BA$4-3,_xlpm.col) +
INDEX(_xlpm.rango,$BA$4-2,_xlpm.col) +
INDEX(_xlpm.rango,$BA$4-1,_xlpm.col) +
INDEX(_xlpm.rango,$BA$4, _xlpm.col)
)</f>
        <v/>
      </c>
      <c r="O76" s="94">
        <f t="array" ref="O76">_xlfn.LET(
_xlpm.rango, INDIRECT("N!$C$" &amp; $BA$8 &amp; ":$DR$" &amp; $BA$9),
_xlpm.col, O$72+$D75*10,
INDEX(_xlpm.rango,$BA$4-3,_xlpm.col) +
INDEX(_xlpm.rango,$BA$4-2,_xlpm.col) +
INDEX(_xlpm.rango,$BA$4-1,_xlpm.col) +
INDEX(_xlpm.rango,$BA$4, _xlpm.col)
)</f>
        <v/>
      </c>
      <c r="P76" s="93">
        <f t="array" ref="P76">_xlfn.LET(
_xlpm.rango, INDIRECT("S!$C$" &amp; $BA$8 &amp; ":$DR$" &amp; $BA$9),
_xlpm.col, P$72+$D75*10,
INDEX(_xlpm.rango,$BA$4-3,_xlpm.col) +
INDEX(_xlpm.rango,$BA$4-2,_xlpm.col) +
INDEX(_xlpm.rango,$BA$4-1,_xlpm.col) +
INDEX(_xlpm.rango,$BA$4, _xlpm.col)
)</f>
        <v/>
      </c>
      <c r="Q76" s="93">
        <f t="array" ref="Q76">_xlfn.LET(
_xlpm.rango, INDIRECT("S!$C$" &amp; $BA$8 &amp; ":$DR$" &amp; $BA$9),
_xlpm.col, Q$72+$D75*10,
INDEX(_xlpm.rango,$BA$4-3,_xlpm.col) +
INDEX(_xlpm.rango,$BA$4-2,_xlpm.col) +
INDEX(_xlpm.rango,$BA$4-1,_xlpm.col) +
INDEX(_xlpm.rango,$BA$4, _xlpm.col)
)</f>
        <v/>
      </c>
      <c r="R76" s="93">
        <f t="array" ref="R76">_xlfn.LET(
_xlpm.rango, INDIRECT("S!$C$" &amp; $BA$8 &amp; ":$DR$" &amp; $BA$9),
_xlpm.col, R$72+$D75*10,
INDEX(_xlpm.rango,$BA$4-3,_xlpm.col) +
INDEX(_xlpm.rango,$BA$4-2,_xlpm.col) +
INDEX(_xlpm.rango,$BA$4-1,_xlpm.col) +
INDEX(_xlpm.rango,$BA$4, _xlpm.col)
)</f>
        <v/>
      </c>
      <c r="S76" s="93">
        <f t="array" ref="S76">_xlfn.LET(
_xlpm.rango, INDIRECT("S!$C$" &amp; $BA$8 &amp; ":$DR$" &amp; $BA$9),
_xlpm.col, S$72+$D75*10,
INDEX(_xlpm.rango,$BA$4-3,_xlpm.col) +
INDEX(_xlpm.rango,$BA$4-2,_xlpm.col) +
INDEX(_xlpm.rango,$BA$4-1,_xlpm.col) +
INDEX(_xlpm.rango,$BA$4, _xlpm.col)
)</f>
        <v/>
      </c>
      <c r="T76" s="93">
        <f t="array" ref="T76">_xlfn.LET(
_xlpm.rango, INDIRECT("S!$C$" &amp; $BA$8 &amp; ":$DR$" &amp; $BA$9),
_xlpm.col, T$72+$D75*10,
INDEX(_xlpm.rango,$BA$4-3,_xlpm.col) +
INDEX(_xlpm.rango,$BA$4-2,_xlpm.col) +
INDEX(_xlpm.rango,$BA$4-1,_xlpm.col) +
INDEX(_xlpm.rango,$BA$4, _xlpm.col)
)</f>
        <v/>
      </c>
      <c r="U76" s="93">
        <f t="array" ref="U76">_xlfn.LET(
_xlpm.rango, INDIRECT("S!$C$" &amp; $BA$8 &amp; ":$DR$" &amp; $BA$9),
_xlpm.col, U$72+$D75*10,
INDEX(_xlpm.rango,$BA$4-3,_xlpm.col) +
INDEX(_xlpm.rango,$BA$4-2,_xlpm.col) +
INDEX(_xlpm.rango,$BA$4-1,_xlpm.col) +
INDEX(_xlpm.rango,$BA$4, _xlpm.col)
)</f>
        <v/>
      </c>
      <c r="V76" s="93">
        <f t="array" ref="V76">_xlfn.LET(
_xlpm.rango, INDIRECT("S!$C$" &amp; $BA$8 &amp; ":$DR$" &amp; $BA$9),
_xlpm.col, V$72+$D75*10,
INDEX(_xlpm.rango,$BA$4-3,_xlpm.col) +
INDEX(_xlpm.rango,$BA$4-2,_xlpm.col) +
INDEX(_xlpm.rango,$BA$4-1,_xlpm.col) +
INDEX(_xlpm.rango,$BA$4, _xlpm.col)
)</f>
        <v/>
      </c>
      <c r="W76" s="93">
        <f t="array" ref="W76">_xlfn.LET(
_xlpm.rango, INDIRECT("S!$C$" &amp; $BA$8 &amp; ":$DR$" &amp; $BA$9),
_xlpm.col, W$72+$D75*10,
INDEX(_xlpm.rango,$BA$4-3,_xlpm.col) +
INDEX(_xlpm.rango,$BA$4-2,_xlpm.col) +
INDEX(_xlpm.rango,$BA$4-1,_xlpm.col) +
INDEX(_xlpm.rango,$BA$4, _xlpm.col)
)</f>
        <v/>
      </c>
      <c r="X76" s="93">
        <f t="array" ref="X76">_xlfn.LET(
_xlpm.rango, INDIRECT("S!$C$" &amp; $BA$8 &amp; ":$DR$" &amp; $BA$9),
_xlpm.col, X$72+$D75*10,
INDEX(_xlpm.rango,$BA$4-3,_xlpm.col) +
INDEX(_xlpm.rango,$BA$4-2,_xlpm.col) +
INDEX(_xlpm.rango,$BA$4-1,_xlpm.col) +
INDEX(_xlpm.rango,$BA$4, _xlpm.col)
)</f>
        <v/>
      </c>
      <c r="Y76" s="93">
        <f t="array" ref="Y76">_xlfn.LET(
_xlpm.rango, INDIRECT("S!$C$" &amp; $BA$8 &amp; ":$DR$" &amp; $BA$9),
_xlpm.col, Y$72+$D75*10,
INDEX(_xlpm.rango,$BA$4-3,_xlpm.col) +
INDEX(_xlpm.rango,$BA$4-2,_xlpm.col) +
INDEX(_xlpm.rango,$BA$4-1,_xlpm.col) +
INDEX(_xlpm.rango,$BA$4, _xlpm.col)
)</f>
        <v/>
      </c>
      <c r="Z76" s="99">
        <f t="array" ref="Z76">_xlfn.LET(
_xlpm.rango, INDIRECT("E!$C$" &amp; $BA$8 &amp; ":$DR$" &amp; $BA$9),
_xlpm.col, Z$72+$D75*10,
INDEX(_xlpm.rango,$BA$4-3,_xlpm.col) +
INDEX(_xlpm.rango,$BA$4-2,_xlpm.col) +
INDEX(_xlpm.rango,$BA$4-1,_xlpm.col) +
INDEX(_xlpm.rango,$BA$4, _xlpm.col)
)</f>
        <v/>
      </c>
      <c r="AA76" s="93">
        <f t="array" ref="AA76">_xlfn.LET(
_xlpm.rango, INDIRECT("E!$C$" &amp; $BA$8 &amp; ":$DR$" &amp; $BA$9),
_xlpm.col, AA$72+$D75*10,
INDEX(_xlpm.rango,$BA$4-3,_xlpm.col) +
INDEX(_xlpm.rango,$BA$4-2,_xlpm.col) +
INDEX(_xlpm.rango,$BA$4-1,_xlpm.col) +
INDEX(_xlpm.rango,$BA$4, _xlpm.col)
)</f>
        <v/>
      </c>
      <c r="AB76" s="93">
        <f t="array" ref="AB76">_xlfn.LET(
_xlpm.rango, INDIRECT("E!$C$" &amp; $BA$8 &amp; ":$DR$" &amp; $BA$9),
_xlpm.col, AB$72+$D75*10,
INDEX(_xlpm.rango,$BA$4-3,_xlpm.col) +
INDEX(_xlpm.rango,$BA$4-2,_xlpm.col) +
INDEX(_xlpm.rango,$BA$4-1,_xlpm.col) +
INDEX(_xlpm.rango,$BA$4, _xlpm.col)
)</f>
        <v/>
      </c>
      <c r="AC76" s="93">
        <f t="array" ref="AC76">_xlfn.LET(
_xlpm.rango, INDIRECT("E!$C$" &amp; $BA$8 &amp; ":$DR$" &amp; $BA$9),
_xlpm.col, AC$72+$D75*10,
INDEX(_xlpm.rango,$BA$4-3,_xlpm.col) +
INDEX(_xlpm.rango,$BA$4-2,_xlpm.col) +
INDEX(_xlpm.rango,$BA$4-1,_xlpm.col) +
INDEX(_xlpm.rango,$BA$4, _xlpm.col)
)</f>
        <v/>
      </c>
      <c r="AD76" s="93">
        <f t="array" ref="AD76">_xlfn.LET(
_xlpm.rango, INDIRECT("E!$C$" &amp; $BA$8 &amp; ":$DR$" &amp; $BA$9),
_xlpm.col, AD$72+$D75*10,
INDEX(_xlpm.rango,$BA$4-3,_xlpm.col) +
INDEX(_xlpm.rango,$BA$4-2,_xlpm.col) +
INDEX(_xlpm.rango,$BA$4-1,_xlpm.col) +
INDEX(_xlpm.rango,$BA$4, _xlpm.col)
)</f>
        <v/>
      </c>
      <c r="AE76" s="93">
        <f t="array" ref="AE76">_xlfn.LET(
_xlpm.rango, INDIRECT("E!$C$" &amp; $BA$8 &amp; ":$DR$" &amp; $BA$9),
_xlpm.col, AE$72+$D75*10,
INDEX(_xlpm.rango,$BA$4-3,_xlpm.col) +
INDEX(_xlpm.rango,$BA$4-2,_xlpm.col) +
INDEX(_xlpm.rango,$BA$4-1,_xlpm.col) +
INDEX(_xlpm.rango,$BA$4, _xlpm.col)
)</f>
        <v/>
      </c>
      <c r="AF76" s="93">
        <f t="array" ref="AF76">_xlfn.LET(
_xlpm.rango, INDIRECT("E!$C$" &amp; $BA$8 &amp; ":$DR$" &amp; $BA$9),
_xlpm.col, AF$72+$D75*10,
INDEX(_xlpm.rango,$BA$4-3,_xlpm.col) +
INDEX(_xlpm.rango,$BA$4-2,_xlpm.col) +
INDEX(_xlpm.rango,$BA$4-1,_xlpm.col) +
INDEX(_xlpm.rango,$BA$4, _xlpm.col)
)</f>
        <v/>
      </c>
      <c r="AG76" s="93">
        <f t="array" ref="AG76">_xlfn.LET(
_xlpm.rango, INDIRECT("E!$C$" &amp; $BA$8 &amp; ":$DR$" &amp; $BA$9),
_xlpm.col, AG$72+$D75*10,
INDEX(_xlpm.rango,$BA$4-3,_xlpm.col) +
INDEX(_xlpm.rango,$BA$4-2,_xlpm.col) +
INDEX(_xlpm.rango,$BA$4-1,_xlpm.col) +
INDEX(_xlpm.rango,$BA$4, _xlpm.col)
)</f>
        <v/>
      </c>
      <c r="AH76" s="93">
        <f t="array" ref="AH76">_xlfn.LET(
_xlpm.rango, INDIRECT("E!$C$" &amp; $BA$8 &amp; ":$DR$" &amp; $BA$9),
_xlpm.col, AH$72+$D75*10,
INDEX(_xlpm.rango,$BA$4-3,_xlpm.col) +
INDEX(_xlpm.rango,$BA$4-2,_xlpm.col) +
INDEX(_xlpm.rango,$BA$4-1,_xlpm.col) +
INDEX(_xlpm.rango,$BA$4, _xlpm.col)
)</f>
        <v/>
      </c>
      <c r="AI76" s="94">
        <f t="array" ref="AI76">_xlfn.LET(
_xlpm.rango, INDIRECT("E!$C$" &amp; $BA$8 &amp; ":$DR$" &amp; $BA$9),
_xlpm.col, AI$72+$D75*10,
INDEX(_xlpm.rango,$BA$4-3,_xlpm.col) +
INDEX(_xlpm.rango,$BA$4-2,_xlpm.col) +
INDEX(_xlpm.rango,$BA$4-1,_xlpm.col) +
INDEX(_xlpm.rango,$BA$4, _xlpm.col)
)</f>
        <v/>
      </c>
      <c r="AJ76" s="99">
        <f t="array" ref="AJ76">_xlfn.LET(
_xlpm.rango, INDIRECT("E!$C$" &amp; $BA$8 &amp; ":$DR$" &amp; $BA$9),
_xlpm.col, AJ$72+$D75*10,
INDEX(_xlpm.rango,$BA$4-3,_xlpm.col) +
INDEX(_xlpm.rango,$BA$4-2,_xlpm.col) +
INDEX(_xlpm.rango,$BA$4-1,_xlpm.col) +
INDEX(_xlpm.rango,$BA$4, _xlpm.col)
)</f>
        <v/>
      </c>
      <c r="AK76" s="93">
        <f t="array" ref="AK76">_xlfn.LET(
_xlpm.rango, INDIRECT("E!$C$" &amp; $BA$8 &amp; ":$DR$" &amp; $BA$9),
_xlpm.col, AK$72+$D75*10,
INDEX(_xlpm.rango,$BA$4-3,_xlpm.col) +
INDEX(_xlpm.rango,$BA$4-2,_xlpm.col) +
INDEX(_xlpm.rango,$BA$4-1,_xlpm.col) +
INDEX(_xlpm.rango,$BA$4, _xlpm.col)
)</f>
        <v/>
      </c>
      <c r="AL76" s="93">
        <f t="array" ref="AL76">_xlfn.LET(
_xlpm.rango, INDIRECT("E!$C$" &amp; $BA$8 &amp; ":$DR$" &amp; $BA$9),
_xlpm.col, AL$72+$D75*10,
INDEX(_xlpm.rango,$BA$4-3,_xlpm.col) +
INDEX(_xlpm.rango,$BA$4-2,_xlpm.col) +
INDEX(_xlpm.rango,$BA$4-1,_xlpm.col) +
INDEX(_xlpm.rango,$BA$4, _xlpm.col)
)</f>
        <v/>
      </c>
      <c r="AM76" s="93">
        <f t="array" ref="AM76">_xlfn.LET(
_xlpm.rango, INDIRECT("E!$C$" &amp; $BA$8 &amp; ":$DR$" &amp; $BA$9),
_xlpm.col, AM$72+$D75*10,
INDEX(_xlpm.rango,$BA$4-3,_xlpm.col) +
INDEX(_xlpm.rango,$BA$4-2,_xlpm.col) +
INDEX(_xlpm.rango,$BA$4-1,_xlpm.col) +
INDEX(_xlpm.rango,$BA$4, _xlpm.col)
)</f>
        <v/>
      </c>
      <c r="AN76" s="93">
        <f t="array" ref="AN76">_xlfn.LET(
_xlpm.rango, INDIRECT("E!$C$" &amp; $BA$8 &amp; ":$DR$" &amp; $BA$9),
_xlpm.col, AN$72+$D75*10,
INDEX(_xlpm.rango,$BA$4-3,_xlpm.col) +
INDEX(_xlpm.rango,$BA$4-2,_xlpm.col) +
INDEX(_xlpm.rango,$BA$4-1,_xlpm.col) +
INDEX(_xlpm.rango,$BA$4, _xlpm.col)
)</f>
        <v/>
      </c>
      <c r="AO76" s="93">
        <f t="array" ref="AO76">_xlfn.LET(
_xlpm.rango, INDIRECT("E!$C$" &amp; $BA$8 &amp; ":$DR$" &amp; $BA$9),
_xlpm.col, AO$72+$D75*10,
INDEX(_xlpm.rango,$BA$4-3,_xlpm.col) +
INDEX(_xlpm.rango,$BA$4-2,_xlpm.col) +
INDEX(_xlpm.rango,$BA$4-1,_xlpm.col) +
INDEX(_xlpm.rango,$BA$4, _xlpm.col)
)</f>
        <v/>
      </c>
      <c r="AP76" s="93">
        <f t="array" ref="AP76">_xlfn.LET(
_xlpm.rango, INDIRECT("E!$C$" &amp; $BA$8 &amp; ":$DR$" &amp; $BA$9),
_xlpm.col, AP$72+$D75*10,
INDEX(_xlpm.rango,$BA$4-3,_xlpm.col) +
INDEX(_xlpm.rango,$BA$4-2,_xlpm.col) +
INDEX(_xlpm.rango,$BA$4-1,_xlpm.col) +
INDEX(_xlpm.rango,$BA$4, _xlpm.col)
)</f>
        <v/>
      </c>
      <c r="AQ76" s="93">
        <f t="array" ref="AQ76">_xlfn.LET(
_xlpm.rango, INDIRECT("E!$C$" &amp; $BA$8 &amp; ":$DR$" &amp; $BA$9),
_xlpm.col, AQ$72+$D75*10,
INDEX(_xlpm.rango,$BA$4-3,_xlpm.col) +
INDEX(_xlpm.rango,$BA$4-2,_xlpm.col) +
INDEX(_xlpm.rango,$BA$4-1,_xlpm.col) +
INDEX(_xlpm.rango,$BA$4, _xlpm.col)
)</f>
        <v/>
      </c>
      <c r="AR76" s="93">
        <f t="array" ref="AR76">_xlfn.LET(
_xlpm.rango, INDIRECT("E!$C$" &amp; $BA$8 &amp; ":$DR$" &amp; $BA$9),
_xlpm.col, AR$72+$D75*10,
INDEX(_xlpm.rango,$BA$4-3,_xlpm.col) +
INDEX(_xlpm.rango,$BA$4-2,_xlpm.col) +
INDEX(_xlpm.rango,$BA$4-1,_xlpm.col) +
INDEX(_xlpm.rango,$BA$4, _xlpm.col)
)</f>
        <v/>
      </c>
      <c r="AS76" s="111">
        <f t="array" ref="AS76">_xlfn.LET(
_xlpm.rango, INDIRECT("E!$C$" &amp; $BA$8 &amp; ":$DR$" &amp; $BA$9),
_xlpm.col, AS$72+$D75*10,
INDEX(_xlpm.rango,$BA$4-3,_xlpm.col) +
INDEX(_xlpm.rango,$BA$4-2,_xlpm.col) +
INDEX(_xlpm.rango,$BA$4-1,_xlpm.col) +
INDEX(_xlpm.rango,$BA$4, _xlpm.col)
)</f>
        <v/>
      </c>
      <c r="AT76" s="118">
        <f>SUM(F76:AS76)</f>
        <v/>
      </c>
      <c r="AU76" s="119">
        <f>AT76/$AT$88</f>
        <v/>
      </c>
    </row>
    <row r="77">
      <c r="D77" t="n">
        <v>2</v>
      </c>
      <c r="E77" s="106">
        <f>Inicio!V5</f>
        <v/>
      </c>
      <c r="F77" s="100">
        <f t="array" ref="F77">_xlfn.LET(
_xlpm.rango, INDIRECT("N!$C$" &amp; $BA$8 &amp; ":$DR$" &amp; $BA$9),
_xlpm.col, F$72+$D76*10,
INDEX(_xlpm.rango,$BA$4-3,_xlpm.col) +
INDEX(_xlpm.rango,$BA$4-2,_xlpm.col) +
INDEX(_xlpm.rango,$BA$4-1,_xlpm.col) +
INDEX(_xlpm.rango,$BA$4, _xlpm.col)
)</f>
        <v/>
      </c>
      <c r="G77" s="95">
        <f t="array" ref="G77">_xlfn.LET(
_xlpm.rango, INDIRECT("N!$C$" &amp; $BA$8 &amp; ":$DR$" &amp; $BA$9),
_xlpm.col, G$72+$D76*10,
INDEX(_xlpm.rango,$BA$4-3,_xlpm.col) +
INDEX(_xlpm.rango,$BA$4-2,_xlpm.col) +
INDEX(_xlpm.rango,$BA$4-1,_xlpm.col) +
INDEX(_xlpm.rango,$BA$4, _xlpm.col)
)</f>
        <v/>
      </c>
      <c r="H77" s="95">
        <f t="array" ref="H77">_xlfn.LET(
_xlpm.rango, INDIRECT("N!$C$" &amp; $BA$8 &amp; ":$DR$" &amp; $BA$9),
_xlpm.col, H$72+$D76*10,
INDEX(_xlpm.rango,$BA$4-3,_xlpm.col) +
INDEX(_xlpm.rango,$BA$4-2,_xlpm.col) +
INDEX(_xlpm.rango,$BA$4-1,_xlpm.col) +
INDEX(_xlpm.rango,$BA$4, _xlpm.col)
)</f>
        <v/>
      </c>
      <c r="I77" s="95">
        <f t="array" ref="I77">_xlfn.LET(
_xlpm.rango, INDIRECT("N!$C$" &amp; $BA$8 &amp; ":$DR$" &amp; $BA$9),
_xlpm.col, I$72+$D76*10,
INDEX(_xlpm.rango,$BA$4-3,_xlpm.col) +
INDEX(_xlpm.rango,$BA$4-2,_xlpm.col) +
INDEX(_xlpm.rango,$BA$4-1,_xlpm.col) +
INDEX(_xlpm.rango,$BA$4, _xlpm.col)
)</f>
        <v/>
      </c>
      <c r="J77" s="95">
        <f t="array" ref="J77">_xlfn.LET(
_xlpm.rango, INDIRECT("N!$C$" &amp; $BA$8 &amp; ":$DR$" &amp; $BA$9),
_xlpm.col, J$72+$D76*10,
INDEX(_xlpm.rango,$BA$4-3,_xlpm.col) +
INDEX(_xlpm.rango,$BA$4-2,_xlpm.col) +
INDEX(_xlpm.rango,$BA$4-1,_xlpm.col) +
INDEX(_xlpm.rango,$BA$4, _xlpm.col)
)</f>
        <v/>
      </c>
      <c r="K77" s="95">
        <f t="array" ref="K77">_xlfn.LET(
_xlpm.rango, INDIRECT("N!$C$" &amp; $BA$8 &amp; ":$DR$" &amp; $BA$9),
_xlpm.col, K$72+$D76*10,
INDEX(_xlpm.rango,$BA$4-3,_xlpm.col) +
INDEX(_xlpm.rango,$BA$4-2,_xlpm.col) +
INDEX(_xlpm.rango,$BA$4-1,_xlpm.col) +
INDEX(_xlpm.rango,$BA$4, _xlpm.col)
)</f>
        <v/>
      </c>
      <c r="L77" s="95">
        <f t="array" ref="L77">_xlfn.LET(
_xlpm.rango, INDIRECT("N!$C$" &amp; $BA$8 &amp; ":$DR$" &amp; $BA$9),
_xlpm.col, L$72+$D76*10,
INDEX(_xlpm.rango,$BA$4-3,_xlpm.col) +
INDEX(_xlpm.rango,$BA$4-2,_xlpm.col) +
INDEX(_xlpm.rango,$BA$4-1,_xlpm.col) +
INDEX(_xlpm.rango,$BA$4, _xlpm.col)
)</f>
        <v/>
      </c>
      <c r="M77" s="95">
        <f t="array" ref="M77">_xlfn.LET(
_xlpm.rango, INDIRECT("N!$C$" &amp; $BA$8 &amp; ":$DR$" &amp; $BA$9),
_xlpm.col, M$72+$D76*10,
INDEX(_xlpm.rango,$BA$4-3,_xlpm.col) +
INDEX(_xlpm.rango,$BA$4-2,_xlpm.col) +
INDEX(_xlpm.rango,$BA$4-1,_xlpm.col) +
INDEX(_xlpm.rango,$BA$4, _xlpm.col)
)</f>
        <v/>
      </c>
      <c r="N77" s="95">
        <f t="array" ref="N77">_xlfn.LET(
_xlpm.rango, INDIRECT("N!$C$" &amp; $BA$8 &amp; ":$DR$" &amp; $BA$9),
_xlpm.col, N$72+$D76*10,
INDEX(_xlpm.rango,$BA$4-3,_xlpm.col) +
INDEX(_xlpm.rango,$BA$4-2,_xlpm.col) +
INDEX(_xlpm.rango,$BA$4-1,_xlpm.col) +
INDEX(_xlpm.rango,$BA$4, _xlpm.col)
)</f>
        <v/>
      </c>
      <c r="O77" s="96">
        <f t="array" ref="O77">_xlfn.LET(
_xlpm.rango, INDIRECT("N!$C$" &amp; $BA$8 &amp; ":$DR$" &amp; $BA$9),
_xlpm.col, O$72+$D76*10,
INDEX(_xlpm.rango,$BA$4-3,_xlpm.col) +
INDEX(_xlpm.rango,$BA$4-2,_xlpm.col) +
INDEX(_xlpm.rango,$BA$4-1,_xlpm.col) +
INDEX(_xlpm.rango,$BA$4, _xlpm.col)
)</f>
        <v/>
      </c>
      <c r="P77" s="95">
        <f t="array" ref="P77">_xlfn.LET(
_xlpm.rango, INDIRECT("S!$C$" &amp; $BA$8 &amp; ":$DR$" &amp; $BA$9),
_xlpm.col, P$72+$D76*10,
INDEX(_xlpm.rango,$BA$4-3,_xlpm.col) +
INDEX(_xlpm.rango,$BA$4-2,_xlpm.col) +
INDEX(_xlpm.rango,$BA$4-1,_xlpm.col) +
INDEX(_xlpm.rango,$BA$4, _xlpm.col)
)</f>
        <v/>
      </c>
      <c r="Q77" s="95">
        <f t="array" ref="Q77">_xlfn.LET(
_xlpm.rango, INDIRECT("S!$C$" &amp; $BA$8 &amp; ":$DR$" &amp; $BA$9),
_xlpm.col, Q$72+$D76*10,
INDEX(_xlpm.rango,$BA$4-3,_xlpm.col) +
INDEX(_xlpm.rango,$BA$4-2,_xlpm.col) +
INDEX(_xlpm.rango,$BA$4-1,_xlpm.col) +
INDEX(_xlpm.rango,$BA$4, _xlpm.col)
)</f>
        <v/>
      </c>
      <c r="R77" s="95">
        <f t="array" ref="R77">_xlfn.LET(
_xlpm.rango, INDIRECT("S!$C$" &amp; $BA$8 &amp; ":$DR$" &amp; $BA$9),
_xlpm.col, R$72+$D76*10,
INDEX(_xlpm.rango,$BA$4-3,_xlpm.col) +
INDEX(_xlpm.rango,$BA$4-2,_xlpm.col) +
INDEX(_xlpm.rango,$BA$4-1,_xlpm.col) +
INDEX(_xlpm.rango,$BA$4, _xlpm.col)
)</f>
        <v/>
      </c>
      <c r="S77" s="95">
        <f t="array" ref="S77">_xlfn.LET(
_xlpm.rango, INDIRECT("S!$C$" &amp; $BA$8 &amp; ":$DR$" &amp; $BA$9),
_xlpm.col, S$72+$D76*10,
INDEX(_xlpm.rango,$BA$4-3,_xlpm.col) +
INDEX(_xlpm.rango,$BA$4-2,_xlpm.col) +
INDEX(_xlpm.rango,$BA$4-1,_xlpm.col) +
INDEX(_xlpm.rango,$BA$4, _xlpm.col)
)</f>
        <v/>
      </c>
      <c r="T77" s="95">
        <f t="array" ref="T77">_xlfn.LET(
_xlpm.rango, INDIRECT("S!$C$" &amp; $BA$8 &amp; ":$DR$" &amp; $BA$9),
_xlpm.col, T$72+$D76*10,
INDEX(_xlpm.rango,$BA$4-3,_xlpm.col) +
INDEX(_xlpm.rango,$BA$4-2,_xlpm.col) +
INDEX(_xlpm.rango,$BA$4-1,_xlpm.col) +
INDEX(_xlpm.rango,$BA$4, _xlpm.col)
)</f>
        <v/>
      </c>
      <c r="U77" s="95">
        <f t="array" ref="U77">_xlfn.LET(
_xlpm.rango, INDIRECT("S!$C$" &amp; $BA$8 &amp; ":$DR$" &amp; $BA$9),
_xlpm.col, U$72+$D76*10,
INDEX(_xlpm.rango,$BA$4-3,_xlpm.col) +
INDEX(_xlpm.rango,$BA$4-2,_xlpm.col) +
INDEX(_xlpm.rango,$BA$4-1,_xlpm.col) +
INDEX(_xlpm.rango,$BA$4, _xlpm.col)
)</f>
        <v/>
      </c>
      <c r="V77" s="95">
        <f t="array" ref="V77">_xlfn.LET(
_xlpm.rango, INDIRECT("S!$C$" &amp; $BA$8 &amp; ":$DR$" &amp; $BA$9),
_xlpm.col, V$72+$D76*10,
INDEX(_xlpm.rango,$BA$4-3,_xlpm.col) +
INDEX(_xlpm.rango,$BA$4-2,_xlpm.col) +
INDEX(_xlpm.rango,$BA$4-1,_xlpm.col) +
INDEX(_xlpm.rango,$BA$4, _xlpm.col)
)</f>
        <v/>
      </c>
      <c r="W77" s="95">
        <f t="array" ref="W77">_xlfn.LET(
_xlpm.rango, INDIRECT("S!$C$" &amp; $BA$8 &amp; ":$DR$" &amp; $BA$9),
_xlpm.col, W$72+$D76*10,
INDEX(_xlpm.rango,$BA$4-3,_xlpm.col) +
INDEX(_xlpm.rango,$BA$4-2,_xlpm.col) +
INDEX(_xlpm.rango,$BA$4-1,_xlpm.col) +
INDEX(_xlpm.rango,$BA$4, _xlpm.col)
)</f>
        <v/>
      </c>
      <c r="X77" s="95">
        <f t="array" ref="X77">_xlfn.LET(
_xlpm.rango, INDIRECT("S!$C$" &amp; $BA$8 &amp; ":$DR$" &amp; $BA$9),
_xlpm.col, X$72+$D76*10,
INDEX(_xlpm.rango,$BA$4-3,_xlpm.col) +
INDEX(_xlpm.rango,$BA$4-2,_xlpm.col) +
INDEX(_xlpm.rango,$BA$4-1,_xlpm.col) +
INDEX(_xlpm.rango,$BA$4, _xlpm.col)
)</f>
        <v/>
      </c>
      <c r="Y77" s="95">
        <f t="array" ref="Y77">_xlfn.LET(
_xlpm.rango, INDIRECT("S!$C$" &amp; $BA$8 &amp; ":$DR$" &amp; $BA$9),
_xlpm.col, Y$72+$D76*10,
INDEX(_xlpm.rango,$BA$4-3,_xlpm.col) +
INDEX(_xlpm.rango,$BA$4-2,_xlpm.col) +
INDEX(_xlpm.rango,$BA$4-1,_xlpm.col) +
INDEX(_xlpm.rango,$BA$4, _xlpm.col)
)</f>
        <v/>
      </c>
      <c r="Z77" s="100">
        <f t="array" ref="Z77">_xlfn.LET(
_xlpm.rango, INDIRECT("E!$C$" &amp; $BA$8 &amp; ":$DR$" &amp; $BA$9),
_xlpm.col, Z$72+$D76*10,
INDEX(_xlpm.rango,$BA$4-3,_xlpm.col) +
INDEX(_xlpm.rango,$BA$4-2,_xlpm.col) +
INDEX(_xlpm.rango,$BA$4-1,_xlpm.col) +
INDEX(_xlpm.rango,$BA$4, _xlpm.col)
)</f>
        <v/>
      </c>
      <c r="AA77" s="95">
        <f t="array" ref="AA77">_xlfn.LET(
_xlpm.rango, INDIRECT("E!$C$" &amp; $BA$8 &amp; ":$DR$" &amp; $BA$9),
_xlpm.col, AA$72+$D76*10,
INDEX(_xlpm.rango,$BA$4-3,_xlpm.col) +
INDEX(_xlpm.rango,$BA$4-2,_xlpm.col) +
INDEX(_xlpm.rango,$BA$4-1,_xlpm.col) +
INDEX(_xlpm.rango,$BA$4, _xlpm.col)
)</f>
        <v/>
      </c>
      <c r="AB77" s="95">
        <f t="array" ref="AB77">_xlfn.LET(
_xlpm.rango, INDIRECT("E!$C$" &amp; $BA$8 &amp; ":$DR$" &amp; $BA$9),
_xlpm.col, AB$72+$D76*10,
INDEX(_xlpm.rango,$BA$4-3,_xlpm.col) +
INDEX(_xlpm.rango,$BA$4-2,_xlpm.col) +
INDEX(_xlpm.rango,$BA$4-1,_xlpm.col) +
INDEX(_xlpm.rango,$BA$4, _xlpm.col)
)</f>
        <v/>
      </c>
      <c r="AC77" s="95">
        <f t="array" ref="AC77">_xlfn.LET(
_xlpm.rango, INDIRECT("E!$C$" &amp; $BA$8 &amp; ":$DR$" &amp; $BA$9),
_xlpm.col, AC$72+$D76*10,
INDEX(_xlpm.rango,$BA$4-3,_xlpm.col) +
INDEX(_xlpm.rango,$BA$4-2,_xlpm.col) +
INDEX(_xlpm.rango,$BA$4-1,_xlpm.col) +
INDEX(_xlpm.rango,$BA$4, _xlpm.col)
)</f>
        <v/>
      </c>
      <c r="AD77" s="95">
        <f t="array" ref="AD77">_xlfn.LET(
_xlpm.rango, INDIRECT("E!$C$" &amp; $BA$8 &amp; ":$DR$" &amp; $BA$9),
_xlpm.col, AD$72+$D76*10,
INDEX(_xlpm.rango,$BA$4-3,_xlpm.col) +
INDEX(_xlpm.rango,$BA$4-2,_xlpm.col) +
INDEX(_xlpm.rango,$BA$4-1,_xlpm.col) +
INDEX(_xlpm.rango,$BA$4, _xlpm.col)
)</f>
        <v/>
      </c>
      <c r="AE77" s="95">
        <f t="array" ref="AE77">_xlfn.LET(
_xlpm.rango, INDIRECT("E!$C$" &amp; $BA$8 &amp; ":$DR$" &amp; $BA$9),
_xlpm.col, AE$72+$D76*10,
INDEX(_xlpm.rango,$BA$4-3,_xlpm.col) +
INDEX(_xlpm.rango,$BA$4-2,_xlpm.col) +
INDEX(_xlpm.rango,$BA$4-1,_xlpm.col) +
INDEX(_xlpm.rango,$BA$4, _xlpm.col)
)</f>
        <v/>
      </c>
      <c r="AF77" s="95">
        <f t="array" ref="AF77">_xlfn.LET(
_xlpm.rango, INDIRECT("E!$C$" &amp; $BA$8 &amp; ":$DR$" &amp; $BA$9),
_xlpm.col, AF$72+$D76*10,
INDEX(_xlpm.rango,$BA$4-3,_xlpm.col) +
INDEX(_xlpm.rango,$BA$4-2,_xlpm.col) +
INDEX(_xlpm.rango,$BA$4-1,_xlpm.col) +
INDEX(_xlpm.rango,$BA$4, _xlpm.col)
)</f>
        <v/>
      </c>
      <c r="AG77" s="95">
        <f t="array" ref="AG77">_xlfn.LET(
_xlpm.rango, INDIRECT("E!$C$" &amp; $BA$8 &amp; ":$DR$" &amp; $BA$9),
_xlpm.col, AG$72+$D76*10,
INDEX(_xlpm.rango,$BA$4-3,_xlpm.col) +
INDEX(_xlpm.rango,$BA$4-2,_xlpm.col) +
INDEX(_xlpm.rango,$BA$4-1,_xlpm.col) +
INDEX(_xlpm.rango,$BA$4, _xlpm.col)
)</f>
        <v/>
      </c>
      <c r="AH77" s="95">
        <f t="array" ref="AH77">_xlfn.LET(
_xlpm.rango, INDIRECT("E!$C$" &amp; $BA$8 &amp; ":$DR$" &amp; $BA$9),
_xlpm.col, AH$72+$D76*10,
INDEX(_xlpm.rango,$BA$4-3,_xlpm.col) +
INDEX(_xlpm.rango,$BA$4-2,_xlpm.col) +
INDEX(_xlpm.rango,$BA$4-1,_xlpm.col) +
INDEX(_xlpm.rango,$BA$4, _xlpm.col)
)</f>
        <v/>
      </c>
      <c r="AI77" s="96">
        <f t="array" ref="AI77">_xlfn.LET(
_xlpm.rango, INDIRECT("E!$C$" &amp; $BA$8 &amp; ":$DR$" &amp; $BA$9),
_xlpm.col, AI$72+$D76*10,
INDEX(_xlpm.rango,$BA$4-3,_xlpm.col) +
INDEX(_xlpm.rango,$BA$4-2,_xlpm.col) +
INDEX(_xlpm.rango,$BA$4-1,_xlpm.col) +
INDEX(_xlpm.rango,$BA$4, _xlpm.col)
)</f>
        <v/>
      </c>
      <c r="AJ77" s="95">
        <f t="array" ref="AJ77">_xlfn.LET(
_xlpm.rango, INDIRECT("E!$C$" &amp; $BA$8 &amp; ":$DR$" &amp; $BA$9),
_xlpm.col, AJ$72+$D76*10,
INDEX(_xlpm.rango,$BA$4-3,_xlpm.col) +
INDEX(_xlpm.rango,$BA$4-2,_xlpm.col) +
INDEX(_xlpm.rango,$BA$4-1,_xlpm.col) +
INDEX(_xlpm.rango,$BA$4, _xlpm.col)
)</f>
        <v/>
      </c>
      <c r="AK77" s="95">
        <f t="array" ref="AK77">_xlfn.LET(
_xlpm.rango, INDIRECT("E!$C$" &amp; $BA$8 &amp; ":$DR$" &amp; $BA$9),
_xlpm.col, AK$72+$D76*10,
INDEX(_xlpm.rango,$BA$4-3,_xlpm.col) +
INDEX(_xlpm.rango,$BA$4-2,_xlpm.col) +
INDEX(_xlpm.rango,$BA$4-1,_xlpm.col) +
INDEX(_xlpm.rango,$BA$4, _xlpm.col)
)</f>
        <v/>
      </c>
      <c r="AL77" s="95">
        <f t="array" ref="AL77">_xlfn.LET(
_xlpm.rango, INDIRECT("E!$C$" &amp; $BA$8 &amp; ":$DR$" &amp; $BA$9),
_xlpm.col, AL$72+$D76*10,
INDEX(_xlpm.rango,$BA$4-3,_xlpm.col) +
INDEX(_xlpm.rango,$BA$4-2,_xlpm.col) +
INDEX(_xlpm.rango,$BA$4-1,_xlpm.col) +
INDEX(_xlpm.rango,$BA$4, _xlpm.col)
)</f>
        <v/>
      </c>
      <c r="AM77" s="95">
        <f t="array" ref="AM77">_xlfn.LET(
_xlpm.rango, INDIRECT("E!$C$" &amp; $BA$8 &amp; ":$DR$" &amp; $BA$9),
_xlpm.col, AM$72+$D76*10,
INDEX(_xlpm.rango,$BA$4-3,_xlpm.col) +
INDEX(_xlpm.rango,$BA$4-2,_xlpm.col) +
INDEX(_xlpm.rango,$BA$4-1,_xlpm.col) +
INDEX(_xlpm.rango,$BA$4, _xlpm.col)
)</f>
        <v/>
      </c>
      <c r="AN77" s="95">
        <f t="array" ref="AN77">_xlfn.LET(
_xlpm.rango, INDIRECT("E!$C$" &amp; $BA$8 &amp; ":$DR$" &amp; $BA$9),
_xlpm.col, AN$72+$D76*10,
INDEX(_xlpm.rango,$BA$4-3,_xlpm.col) +
INDEX(_xlpm.rango,$BA$4-2,_xlpm.col) +
INDEX(_xlpm.rango,$BA$4-1,_xlpm.col) +
INDEX(_xlpm.rango,$BA$4, _xlpm.col)
)</f>
        <v/>
      </c>
      <c r="AO77" s="95">
        <f t="array" ref="AO77">_xlfn.LET(
_xlpm.rango, INDIRECT("E!$C$" &amp; $BA$8 &amp; ":$DR$" &amp; $BA$9),
_xlpm.col, AO$72+$D76*10,
INDEX(_xlpm.rango,$BA$4-3,_xlpm.col) +
INDEX(_xlpm.rango,$BA$4-2,_xlpm.col) +
INDEX(_xlpm.rango,$BA$4-1,_xlpm.col) +
INDEX(_xlpm.rango,$BA$4, _xlpm.col)
)</f>
        <v/>
      </c>
      <c r="AP77" s="95">
        <f t="array" ref="AP77">_xlfn.LET(
_xlpm.rango, INDIRECT("E!$C$" &amp; $BA$8 &amp; ":$DR$" &amp; $BA$9),
_xlpm.col, AP$72+$D76*10,
INDEX(_xlpm.rango,$BA$4-3,_xlpm.col) +
INDEX(_xlpm.rango,$BA$4-2,_xlpm.col) +
INDEX(_xlpm.rango,$BA$4-1,_xlpm.col) +
INDEX(_xlpm.rango,$BA$4, _xlpm.col)
)</f>
        <v/>
      </c>
      <c r="AQ77" s="95">
        <f t="array" ref="AQ77">_xlfn.LET(
_xlpm.rango, INDIRECT("E!$C$" &amp; $BA$8 &amp; ":$DR$" &amp; $BA$9),
_xlpm.col, AQ$72+$D76*10,
INDEX(_xlpm.rango,$BA$4-3,_xlpm.col) +
INDEX(_xlpm.rango,$BA$4-2,_xlpm.col) +
INDEX(_xlpm.rango,$BA$4-1,_xlpm.col) +
INDEX(_xlpm.rango,$BA$4, _xlpm.col)
)</f>
        <v/>
      </c>
      <c r="AR77" s="95">
        <f t="array" ref="AR77">_xlfn.LET(
_xlpm.rango, INDIRECT("E!$C$" &amp; $BA$8 &amp; ":$DR$" &amp; $BA$9),
_xlpm.col, AR$72+$D76*10,
INDEX(_xlpm.rango,$BA$4-3,_xlpm.col) +
INDEX(_xlpm.rango,$BA$4-2,_xlpm.col) +
INDEX(_xlpm.rango,$BA$4-1,_xlpm.col) +
INDEX(_xlpm.rango,$BA$4, _xlpm.col)
)</f>
        <v/>
      </c>
      <c r="AS77" s="112">
        <f t="array" ref="AS77">_xlfn.LET(
_xlpm.rango, INDIRECT("E!$C$" &amp; $BA$8 &amp; ":$DR$" &amp; $BA$9),
_xlpm.col, AS$72+$D76*10,
INDEX(_xlpm.rango,$BA$4-3,_xlpm.col) +
INDEX(_xlpm.rango,$BA$4-2,_xlpm.col) +
INDEX(_xlpm.rango,$BA$4-1,_xlpm.col) +
INDEX(_xlpm.rango,$BA$4, _xlpm.col)
)</f>
        <v/>
      </c>
      <c r="AT77" s="118">
        <f>SUM(F77:AS77)</f>
        <v/>
      </c>
      <c r="AU77" s="120">
        <f>AT77/$AT$88</f>
        <v/>
      </c>
    </row>
    <row r="78">
      <c r="D78" t="n">
        <v>3</v>
      </c>
      <c r="E78" s="106">
        <f>Inicio!V6</f>
        <v/>
      </c>
      <c r="F78" s="100">
        <f t="array" ref="F78">_xlfn.LET(
_xlpm.rango, INDIRECT("N!$C$" &amp; $BA$8 &amp; ":$DR$" &amp; $BA$9),
_xlpm.col, F$72+$D77*10,
INDEX(_xlpm.rango,$BA$4-3,_xlpm.col) +
INDEX(_xlpm.rango,$BA$4-2,_xlpm.col) +
INDEX(_xlpm.rango,$BA$4-1,_xlpm.col) +
INDEX(_xlpm.rango,$BA$4, _xlpm.col)
)</f>
        <v/>
      </c>
      <c r="G78" s="95">
        <f t="array" ref="G78">_xlfn.LET(
_xlpm.rango, INDIRECT("N!$C$" &amp; $BA$8 &amp; ":$DR$" &amp; $BA$9),
_xlpm.col, G$72+$D77*10,
INDEX(_xlpm.rango,$BA$4-3,_xlpm.col) +
INDEX(_xlpm.rango,$BA$4-2,_xlpm.col) +
INDEX(_xlpm.rango,$BA$4-1,_xlpm.col) +
INDEX(_xlpm.rango,$BA$4, _xlpm.col)
)</f>
        <v/>
      </c>
      <c r="H78" s="95">
        <f t="array" ref="H78">_xlfn.LET(
_xlpm.rango, INDIRECT("N!$C$" &amp; $BA$8 &amp; ":$DR$" &amp; $BA$9),
_xlpm.col, H$72+$D77*10,
INDEX(_xlpm.rango,$BA$4-3,_xlpm.col) +
INDEX(_xlpm.rango,$BA$4-2,_xlpm.col) +
INDEX(_xlpm.rango,$BA$4-1,_xlpm.col) +
INDEX(_xlpm.rango,$BA$4, _xlpm.col)
)</f>
        <v/>
      </c>
      <c r="I78" s="95">
        <f t="array" ref="I78">_xlfn.LET(
_xlpm.rango, INDIRECT("N!$C$" &amp; $BA$8 &amp; ":$DR$" &amp; $BA$9),
_xlpm.col, I$72+$D77*10,
INDEX(_xlpm.rango,$BA$4-3,_xlpm.col) +
INDEX(_xlpm.rango,$BA$4-2,_xlpm.col) +
INDEX(_xlpm.rango,$BA$4-1,_xlpm.col) +
INDEX(_xlpm.rango,$BA$4, _xlpm.col)
)</f>
        <v/>
      </c>
      <c r="J78" s="95">
        <f t="array" ref="J78">_xlfn.LET(
_xlpm.rango, INDIRECT("N!$C$" &amp; $BA$8 &amp; ":$DR$" &amp; $BA$9),
_xlpm.col, J$72+$D77*10,
INDEX(_xlpm.rango,$BA$4-3,_xlpm.col) +
INDEX(_xlpm.rango,$BA$4-2,_xlpm.col) +
INDEX(_xlpm.rango,$BA$4-1,_xlpm.col) +
INDEX(_xlpm.rango,$BA$4, _xlpm.col)
)</f>
        <v/>
      </c>
      <c r="K78" s="95">
        <f t="array" ref="K78">_xlfn.LET(
_xlpm.rango, INDIRECT("N!$C$" &amp; $BA$8 &amp; ":$DR$" &amp; $BA$9),
_xlpm.col, K$72+$D77*10,
INDEX(_xlpm.rango,$BA$4-3,_xlpm.col) +
INDEX(_xlpm.rango,$BA$4-2,_xlpm.col) +
INDEX(_xlpm.rango,$BA$4-1,_xlpm.col) +
INDEX(_xlpm.rango,$BA$4, _xlpm.col)
)</f>
        <v/>
      </c>
      <c r="L78" s="95">
        <f t="array" ref="L78">_xlfn.LET(
_xlpm.rango, INDIRECT("N!$C$" &amp; $BA$8 &amp; ":$DR$" &amp; $BA$9),
_xlpm.col, L$72+$D77*10,
INDEX(_xlpm.rango,$BA$4-3,_xlpm.col) +
INDEX(_xlpm.rango,$BA$4-2,_xlpm.col) +
INDEX(_xlpm.rango,$BA$4-1,_xlpm.col) +
INDEX(_xlpm.rango,$BA$4, _xlpm.col)
)</f>
        <v/>
      </c>
      <c r="M78" s="95">
        <f t="array" ref="M78">_xlfn.LET(
_xlpm.rango, INDIRECT("N!$C$" &amp; $BA$8 &amp; ":$DR$" &amp; $BA$9),
_xlpm.col, M$72+$D77*10,
INDEX(_xlpm.rango,$BA$4-3,_xlpm.col) +
INDEX(_xlpm.rango,$BA$4-2,_xlpm.col) +
INDEX(_xlpm.rango,$BA$4-1,_xlpm.col) +
INDEX(_xlpm.rango,$BA$4, _xlpm.col)
)</f>
        <v/>
      </c>
      <c r="N78" s="95">
        <f t="array" ref="N78">_xlfn.LET(
_xlpm.rango, INDIRECT("N!$C$" &amp; $BA$8 &amp; ":$DR$" &amp; $BA$9),
_xlpm.col, N$72+$D77*10,
INDEX(_xlpm.rango,$BA$4-3,_xlpm.col) +
INDEX(_xlpm.rango,$BA$4-2,_xlpm.col) +
INDEX(_xlpm.rango,$BA$4-1,_xlpm.col) +
INDEX(_xlpm.rango,$BA$4, _xlpm.col)
)</f>
        <v/>
      </c>
      <c r="O78" s="96">
        <f t="array" ref="O78">_xlfn.LET(
_xlpm.rango, INDIRECT("N!$C$" &amp; $BA$8 &amp; ":$DR$" &amp; $BA$9),
_xlpm.col, O$72+$D77*10,
INDEX(_xlpm.rango,$BA$4-3,_xlpm.col) +
INDEX(_xlpm.rango,$BA$4-2,_xlpm.col) +
INDEX(_xlpm.rango,$BA$4-1,_xlpm.col) +
INDEX(_xlpm.rango,$BA$4, _xlpm.col)
)</f>
        <v/>
      </c>
      <c r="P78" s="95">
        <f t="array" ref="P78">_xlfn.LET(
_xlpm.rango, INDIRECT("S!$C$" &amp; $BA$8 &amp; ":$DR$" &amp; $BA$9),
_xlpm.col, P$72+$D77*10,
INDEX(_xlpm.rango,$BA$4-3,_xlpm.col) +
INDEX(_xlpm.rango,$BA$4-2,_xlpm.col) +
INDEX(_xlpm.rango,$BA$4-1,_xlpm.col) +
INDEX(_xlpm.rango,$BA$4, _xlpm.col)
)</f>
        <v/>
      </c>
      <c r="Q78" s="95">
        <f t="array" ref="Q78">_xlfn.LET(
_xlpm.rango, INDIRECT("S!$C$" &amp; $BA$8 &amp; ":$DR$" &amp; $BA$9),
_xlpm.col, Q$72+$D77*10,
INDEX(_xlpm.rango,$BA$4-3,_xlpm.col) +
INDEX(_xlpm.rango,$BA$4-2,_xlpm.col) +
INDEX(_xlpm.rango,$BA$4-1,_xlpm.col) +
INDEX(_xlpm.rango,$BA$4, _xlpm.col)
)</f>
        <v/>
      </c>
      <c r="R78" s="95">
        <f t="array" ref="R78">_xlfn.LET(
_xlpm.rango, INDIRECT("S!$C$" &amp; $BA$8 &amp; ":$DR$" &amp; $BA$9),
_xlpm.col, R$72+$D77*10,
INDEX(_xlpm.rango,$BA$4-3,_xlpm.col) +
INDEX(_xlpm.rango,$BA$4-2,_xlpm.col) +
INDEX(_xlpm.rango,$BA$4-1,_xlpm.col) +
INDEX(_xlpm.rango,$BA$4, _xlpm.col)
)</f>
        <v/>
      </c>
      <c r="S78" s="95">
        <f t="array" ref="S78">_xlfn.LET(
_xlpm.rango, INDIRECT("S!$C$" &amp; $BA$8 &amp; ":$DR$" &amp; $BA$9),
_xlpm.col, S$72+$D77*10,
INDEX(_xlpm.rango,$BA$4-3,_xlpm.col) +
INDEX(_xlpm.rango,$BA$4-2,_xlpm.col) +
INDEX(_xlpm.rango,$BA$4-1,_xlpm.col) +
INDEX(_xlpm.rango,$BA$4, _xlpm.col)
)</f>
        <v/>
      </c>
      <c r="T78" s="95">
        <f t="array" ref="T78">_xlfn.LET(
_xlpm.rango, INDIRECT("S!$C$" &amp; $BA$8 &amp; ":$DR$" &amp; $BA$9),
_xlpm.col, T$72+$D77*10,
INDEX(_xlpm.rango,$BA$4-3,_xlpm.col) +
INDEX(_xlpm.rango,$BA$4-2,_xlpm.col) +
INDEX(_xlpm.rango,$BA$4-1,_xlpm.col) +
INDEX(_xlpm.rango,$BA$4, _xlpm.col)
)</f>
        <v/>
      </c>
      <c r="U78" s="95">
        <f t="array" ref="U78">_xlfn.LET(
_xlpm.rango, INDIRECT("S!$C$" &amp; $BA$8 &amp; ":$DR$" &amp; $BA$9),
_xlpm.col, U$72+$D77*10,
INDEX(_xlpm.rango,$BA$4-3,_xlpm.col) +
INDEX(_xlpm.rango,$BA$4-2,_xlpm.col) +
INDEX(_xlpm.rango,$BA$4-1,_xlpm.col) +
INDEX(_xlpm.rango,$BA$4, _xlpm.col)
)</f>
        <v/>
      </c>
      <c r="V78" s="95">
        <f t="array" ref="V78">_xlfn.LET(
_xlpm.rango, INDIRECT("S!$C$" &amp; $BA$8 &amp; ":$DR$" &amp; $BA$9),
_xlpm.col, V$72+$D77*10,
INDEX(_xlpm.rango,$BA$4-3,_xlpm.col) +
INDEX(_xlpm.rango,$BA$4-2,_xlpm.col) +
INDEX(_xlpm.rango,$BA$4-1,_xlpm.col) +
INDEX(_xlpm.rango,$BA$4, _xlpm.col)
)</f>
        <v/>
      </c>
      <c r="W78" s="95">
        <f t="array" ref="W78">_xlfn.LET(
_xlpm.rango, INDIRECT("S!$C$" &amp; $BA$8 &amp; ":$DR$" &amp; $BA$9),
_xlpm.col, W$72+$D77*10,
INDEX(_xlpm.rango,$BA$4-3,_xlpm.col) +
INDEX(_xlpm.rango,$BA$4-2,_xlpm.col) +
INDEX(_xlpm.rango,$BA$4-1,_xlpm.col) +
INDEX(_xlpm.rango,$BA$4, _xlpm.col)
)</f>
        <v/>
      </c>
      <c r="X78" s="95">
        <f t="array" ref="X78">_xlfn.LET(
_xlpm.rango, INDIRECT("S!$C$" &amp; $BA$8 &amp; ":$DR$" &amp; $BA$9),
_xlpm.col, X$72+$D77*10,
INDEX(_xlpm.rango,$BA$4-3,_xlpm.col) +
INDEX(_xlpm.rango,$BA$4-2,_xlpm.col) +
INDEX(_xlpm.rango,$BA$4-1,_xlpm.col) +
INDEX(_xlpm.rango,$BA$4, _xlpm.col)
)</f>
        <v/>
      </c>
      <c r="Y78" s="95">
        <f t="array" ref="Y78">_xlfn.LET(
_xlpm.rango, INDIRECT("S!$C$" &amp; $BA$8 &amp; ":$DR$" &amp; $BA$9),
_xlpm.col, Y$72+$D77*10,
INDEX(_xlpm.rango,$BA$4-3,_xlpm.col) +
INDEX(_xlpm.rango,$BA$4-2,_xlpm.col) +
INDEX(_xlpm.rango,$BA$4-1,_xlpm.col) +
INDEX(_xlpm.rango,$BA$4, _xlpm.col)
)</f>
        <v/>
      </c>
      <c r="Z78" s="100">
        <f t="array" ref="Z78">_xlfn.LET(
_xlpm.rango, INDIRECT("E!$C$" &amp; $BA$8 &amp; ":$DR$" &amp; $BA$9),
_xlpm.col, Z$72+$D77*10,
INDEX(_xlpm.rango,$BA$4-3,_xlpm.col) +
INDEX(_xlpm.rango,$BA$4-2,_xlpm.col) +
INDEX(_xlpm.rango,$BA$4-1,_xlpm.col) +
INDEX(_xlpm.rango,$BA$4, _xlpm.col)
)</f>
        <v/>
      </c>
      <c r="AA78" s="95">
        <f t="array" ref="AA78">_xlfn.LET(
_xlpm.rango, INDIRECT("E!$C$" &amp; $BA$8 &amp; ":$DR$" &amp; $BA$9),
_xlpm.col, AA$72+$D77*10,
INDEX(_xlpm.rango,$BA$4-3,_xlpm.col) +
INDEX(_xlpm.rango,$BA$4-2,_xlpm.col) +
INDEX(_xlpm.rango,$BA$4-1,_xlpm.col) +
INDEX(_xlpm.rango,$BA$4, _xlpm.col)
)</f>
        <v/>
      </c>
      <c r="AB78" s="95">
        <f t="array" ref="AB78">_xlfn.LET(
_xlpm.rango, INDIRECT("E!$C$" &amp; $BA$8 &amp; ":$DR$" &amp; $BA$9),
_xlpm.col, AB$72+$D77*10,
INDEX(_xlpm.rango,$BA$4-3,_xlpm.col) +
INDEX(_xlpm.rango,$BA$4-2,_xlpm.col) +
INDEX(_xlpm.rango,$BA$4-1,_xlpm.col) +
INDEX(_xlpm.rango,$BA$4, _xlpm.col)
)</f>
        <v/>
      </c>
      <c r="AC78" s="95">
        <f t="array" ref="AC78">_xlfn.LET(
_xlpm.rango, INDIRECT("E!$C$" &amp; $BA$8 &amp; ":$DR$" &amp; $BA$9),
_xlpm.col, AC$72+$D77*10,
INDEX(_xlpm.rango,$BA$4-3,_xlpm.col) +
INDEX(_xlpm.rango,$BA$4-2,_xlpm.col) +
INDEX(_xlpm.rango,$BA$4-1,_xlpm.col) +
INDEX(_xlpm.rango,$BA$4, _xlpm.col)
)</f>
        <v/>
      </c>
      <c r="AD78" s="95">
        <f t="array" ref="AD78">_xlfn.LET(
_xlpm.rango, INDIRECT("E!$C$" &amp; $BA$8 &amp; ":$DR$" &amp; $BA$9),
_xlpm.col, AD$72+$D77*10,
INDEX(_xlpm.rango,$BA$4-3,_xlpm.col) +
INDEX(_xlpm.rango,$BA$4-2,_xlpm.col) +
INDEX(_xlpm.rango,$BA$4-1,_xlpm.col) +
INDEX(_xlpm.rango,$BA$4, _xlpm.col)
)</f>
        <v/>
      </c>
      <c r="AE78" s="95">
        <f t="array" ref="AE78">_xlfn.LET(
_xlpm.rango, INDIRECT("E!$C$" &amp; $BA$8 &amp; ":$DR$" &amp; $BA$9),
_xlpm.col, AE$72+$D77*10,
INDEX(_xlpm.rango,$BA$4-3,_xlpm.col) +
INDEX(_xlpm.rango,$BA$4-2,_xlpm.col) +
INDEX(_xlpm.rango,$BA$4-1,_xlpm.col) +
INDEX(_xlpm.rango,$BA$4, _xlpm.col)
)</f>
        <v/>
      </c>
      <c r="AF78" s="95">
        <f t="array" ref="AF78">_xlfn.LET(
_xlpm.rango, INDIRECT("E!$C$" &amp; $BA$8 &amp; ":$DR$" &amp; $BA$9),
_xlpm.col, AF$72+$D77*10,
INDEX(_xlpm.rango,$BA$4-3,_xlpm.col) +
INDEX(_xlpm.rango,$BA$4-2,_xlpm.col) +
INDEX(_xlpm.rango,$BA$4-1,_xlpm.col) +
INDEX(_xlpm.rango,$BA$4, _xlpm.col)
)</f>
        <v/>
      </c>
      <c r="AG78" s="95">
        <f t="array" ref="AG78">_xlfn.LET(
_xlpm.rango, INDIRECT("E!$C$" &amp; $BA$8 &amp; ":$DR$" &amp; $BA$9),
_xlpm.col, AG$72+$D77*10,
INDEX(_xlpm.rango,$BA$4-3,_xlpm.col) +
INDEX(_xlpm.rango,$BA$4-2,_xlpm.col) +
INDEX(_xlpm.rango,$BA$4-1,_xlpm.col) +
INDEX(_xlpm.rango,$BA$4, _xlpm.col)
)</f>
        <v/>
      </c>
      <c r="AH78" s="95">
        <f t="array" ref="AH78">_xlfn.LET(
_xlpm.rango, INDIRECT("E!$C$" &amp; $BA$8 &amp; ":$DR$" &amp; $BA$9),
_xlpm.col, AH$72+$D77*10,
INDEX(_xlpm.rango,$BA$4-3,_xlpm.col) +
INDEX(_xlpm.rango,$BA$4-2,_xlpm.col) +
INDEX(_xlpm.rango,$BA$4-1,_xlpm.col) +
INDEX(_xlpm.rango,$BA$4, _xlpm.col)
)</f>
        <v/>
      </c>
      <c r="AI78" s="96">
        <f t="array" ref="AI78">_xlfn.LET(
_xlpm.rango, INDIRECT("E!$C$" &amp; $BA$8 &amp; ":$DR$" &amp; $BA$9),
_xlpm.col, AI$72+$D77*10,
INDEX(_xlpm.rango,$BA$4-3,_xlpm.col) +
INDEX(_xlpm.rango,$BA$4-2,_xlpm.col) +
INDEX(_xlpm.rango,$BA$4-1,_xlpm.col) +
INDEX(_xlpm.rango,$BA$4, _xlpm.col)
)</f>
        <v/>
      </c>
      <c r="AJ78" s="95">
        <f t="array" ref="AJ78">_xlfn.LET(
_xlpm.rango, INDIRECT("E!$C$" &amp; $BA$8 &amp; ":$DR$" &amp; $BA$9),
_xlpm.col, AJ$72+$D77*10,
INDEX(_xlpm.rango,$BA$4-3,_xlpm.col) +
INDEX(_xlpm.rango,$BA$4-2,_xlpm.col) +
INDEX(_xlpm.rango,$BA$4-1,_xlpm.col) +
INDEX(_xlpm.rango,$BA$4, _xlpm.col)
)</f>
        <v/>
      </c>
      <c r="AK78" s="95">
        <f t="array" ref="AK78">_xlfn.LET(
_xlpm.rango, INDIRECT("E!$C$" &amp; $BA$8 &amp; ":$DR$" &amp; $BA$9),
_xlpm.col, AK$72+$D77*10,
INDEX(_xlpm.rango,$BA$4-3,_xlpm.col) +
INDEX(_xlpm.rango,$BA$4-2,_xlpm.col) +
INDEX(_xlpm.rango,$BA$4-1,_xlpm.col) +
INDEX(_xlpm.rango,$BA$4, _xlpm.col)
)</f>
        <v/>
      </c>
      <c r="AL78" s="95">
        <f t="array" ref="AL78">_xlfn.LET(
_xlpm.rango, INDIRECT("E!$C$" &amp; $BA$8 &amp; ":$DR$" &amp; $BA$9),
_xlpm.col, AL$72+$D77*10,
INDEX(_xlpm.rango,$BA$4-3,_xlpm.col) +
INDEX(_xlpm.rango,$BA$4-2,_xlpm.col) +
INDEX(_xlpm.rango,$BA$4-1,_xlpm.col) +
INDEX(_xlpm.rango,$BA$4, _xlpm.col)
)</f>
        <v/>
      </c>
      <c r="AM78" s="95">
        <f t="array" ref="AM78">_xlfn.LET(
_xlpm.rango, INDIRECT("E!$C$" &amp; $BA$8 &amp; ":$DR$" &amp; $BA$9),
_xlpm.col, AM$72+$D77*10,
INDEX(_xlpm.rango,$BA$4-3,_xlpm.col) +
INDEX(_xlpm.rango,$BA$4-2,_xlpm.col) +
INDEX(_xlpm.rango,$BA$4-1,_xlpm.col) +
INDEX(_xlpm.rango,$BA$4, _xlpm.col)
)</f>
        <v/>
      </c>
      <c r="AN78" s="95">
        <f t="array" ref="AN78">_xlfn.LET(
_xlpm.rango, INDIRECT("E!$C$" &amp; $BA$8 &amp; ":$DR$" &amp; $BA$9),
_xlpm.col, AN$72+$D77*10,
INDEX(_xlpm.rango,$BA$4-3,_xlpm.col) +
INDEX(_xlpm.rango,$BA$4-2,_xlpm.col) +
INDEX(_xlpm.rango,$BA$4-1,_xlpm.col) +
INDEX(_xlpm.rango,$BA$4, _xlpm.col)
)</f>
        <v/>
      </c>
      <c r="AO78" s="95">
        <f t="array" ref="AO78">_xlfn.LET(
_xlpm.rango, INDIRECT("E!$C$" &amp; $BA$8 &amp; ":$DR$" &amp; $BA$9),
_xlpm.col, AO$72+$D77*10,
INDEX(_xlpm.rango,$BA$4-3,_xlpm.col) +
INDEX(_xlpm.rango,$BA$4-2,_xlpm.col) +
INDEX(_xlpm.rango,$BA$4-1,_xlpm.col) +
INDEX(_xlpm.rango,$BA$4, _xlpm.col)
)</f>
        <v/>
      </c>
      <c r="AP78" s="95">
        <f t="array" ref="AP78">_xlfn.LET(
_xlpm.rango, INDIRECT("E!$C$" &amp; $BA$8 &amp; ":$DR$" &amp; $BA$9),
_xlpm.col, AP$72+$D77*10,
INDEX(_xlpm.rango,$BA$4-3,_xlpm.col) +
INDEX(_xlpm.rango,$BA$4-2,_xlpm.col) +
INDEX(_xlpm.rango,$BA$4-1,_xlpm.col) +
INDEX(_xlpm.rango,$BA$4, _xlpm.col)
)</f>
        <v/>
      </c>
      <c r="AQ78" s="95">
        <f t="array" ref="AQ78">_xlfn.LET(
_xlpm.rango, INDIRECT("E!$C$" &amp; $BA$8 &amp; ":$DR$" &amp; $BA$9),
_xlpm.col, AQ$72+$D77*10,
INDEX(_xlpm.rango,$BA$4-3,_xlpm.col) +
INDEX(_xlpm.rango,$BA$4-2,_xlpm.col) +
INDEX(_xlpm.rango,$BA$4-1,_xlpm.col) +
INDEX(_xlpm.rango,$BA$4, _xlpm.col)
)</f>
        <v/>
      </c>
      <c r="AR78" s="95">
        <f t="array" ref="AR78">_xlfn.LET(
_xlpm.rango, INDIRECT("E!$C$" &amp; $BA$8 &amp; ":$DR$" &amp; $BA$9),
_xlpm.col, AR$72+$D77*10,
INDEX(_xlpm.rango,$BA$4-3,_xlpm.col) +
INDEX(_xlpm.rango,$BA$4-2,_xlpm.col) +
INDEX(_xlpm.rango,$BA$4-1,_xlpm.col) +
INDEX(_xlpm.rango,$BA$4, _xlpm.col)
)</f>
        <v/>
      </c>
      <c r="AS78" s="112">
        <f t="array" ref="AS78">_xlfn.LET(
_xlpm.rango, INDIRECT("E!$C$" &amp; $BA$8 &amp; ":$DR$" &amp; $BA$9),
_xlpm.col, AS$72+$D77*10,
INDEX(_xlpm.rango,$BA$4-3,_xlpm.col) +
INDEX(_xlpm.rango,$BA$4-2,_xlpm.col) +
INDEX(_xlpm.rango,$BA$4-1,_xlpm.col) +
INDEX(_xlpm.rango,$BA$4, _xlpm.col)
)</f>
        <v/>
      </c>
      <c r="AT78" s="118">
        <f>SUM(F78:AS78)</f>
        <v/>
      </c>
      <c r="AU78" s="120">
        <f>AT78/$AT$88</f>
        <v/>
      </c>
    </row>
    <row r="79">
      <c r="D79" t="n">
        <v>4</v>
      </c>
      <c r="E79" s="106">
        <f>Inicio!V7</f>
        <v/>
      </c>
      <c r="F79" s="100">
        <f t="array" ref="F79">_xlfn.LET(
_xlpm.rango, INDIRECT("N!$C$" &amp; $BA$8 &amp; ":$DR$" &amp; $BA$9),
_xlpm.col, F$72+$D78*10,
INDEX(_xlpm.rango,$BA$4-3,_xlpm.col) +
INDEX(_xlpm.rango,$BA$4-2,_xlpm.col) +
INDEX(_xlpm.rango,$BA$4-1,_xlpm.col) +
INDEX(_xlpm.rango,$BA$4, _xlpm.col)
)</f>
        <v/>
      </c>
      <c r="G79" s="95">
        <f t="array" ref="G79">_xlfn.LET(
_xlpm.rango, INDIRECT("N!$C$" &amp; $BA$8 &amp; ":$DR$" &amp; $BA$9),
_xlpm.col, G$72+$D78*10,
INDEX(_xlpm.rango,$BA$4-3,_xlpm.col) +
INDEX(_xlpm.rango,$BA$4-2,_xlpm.col) +
INDEX(_xlpm.rango,$BA$4-1,_xlpm.col) +
INDEX(_xlpm.rango,$BA$4, _xlpm.col)
)</f>
        <v/>
      </c>
      <c r="H79" s="95">
        <f t="array" ref="H79">_xlfn.LET(
_xlpm.rango, INDIRECT("N!$C$" &amp; $BA$8 &amp; ":$DR$" &amp; $BA$9),
_xlpm.col, H$72+$D78*10,
INDEX(_xlpm.rango,$BA$4-3,_xlpm.col) +
INDEX(_xlpm.rango,$BA$4-2,_xlpm.col) +
INDEX(_xlpm.rango,$BA$4-1,_xlpm.col) +
INDEX(_xlpm.rango,$BA$4, _xlpm.col)
)</f>
        <v/>
      </c>
      <c r="I79" s="95">
        <f t="array" ref="I79">_xlfn.LET(
_xlpm.rango, INDIRECT("N!$C$" &amp; $BA$8 &amp; ":$DR$" &amp; $BA$9),
_xlpm.col, I$72+$D78*10,
INDEX(_xlpm.rango,$BA$4-3,_xlpm.col) +
INDEX(_xlpm.rango,$BA$4-2,_xlpm.col) +
INDEX(_xlpm.rango,$BA$4-1,_xlpm.col) +
INDEX(_xlpm.rango,$BA$4, _xlpm.col)
)</f>
        <v/>
      </c>
      <c r="J79" s="95">
        <f t="array" ref="J79">_xlfn.LET(
_xlpm.rango, INDIRECT("N!$C$" &amp; $BA$8 &amp; ":$DR$" &amp; $BA$9),
_xlpm.col, J$72+$D78*10,
INDEX(_xlpm.rango,$BA$4-3,_xlpm.col) +
INDEX(_xlpm.rango,$BA$4-2,_xlpm.col) +
INDEX(_xlpm.rango,$BA$4-1,_xlpm.col) +
INDEX(_xlpm.rango,$BA$4, _xlpm.col)
)</f>
        <v/>
      </c>
      <c r="K79" s="95">
        <f t="array" ref="K79">_xlfn.LET(
_xlpm.rango, INDIRECT("N!$C$" &amp; $BA$8 &amp; ":$DR$" &amp; $BA$9),
_xlpm.col, K$72+$D78*10,
INDEX(_xlpm.rango,$BA$4-3,_xlpm.col) +
INDEX(_xlpm.rango,$BA$4-2,_xlpm.col) +
INDEX(_xlpm.rango,$BA$4-1,_xlpm.col) +
INDEX(_xlpm.rango,$BA$4, _xlpm.col)
)</f>
        <v/>
      </c>
      <c r="L79" s="95">
        <f t="array" ref="L79">_xlfn.LET(
_xlpm.rango, INDIRECT("N!$C$" &amp; $BA$8 &amp; ":$DR$" &amp; $BA$9),
_xlpm.col, L$72+$D78*10,
INDEX(_xlpm.rango,$BA$4-3,_xlpm.col) +
INDEX(_xlpm.rango,$BA$4-2,_xlpm.col) +
INDEX(_xlpm.rango,$BA$4-1,_xlpm.col) +
INDEX(_xlpm.rango,$BA$4, _xlpm.col)
)</f>
        <v/>
      </c>
      <c r="M79" s="95">
        <f t="array" ref="M79">_xlfn.LET(
_xlpm.rango, INDIRECT("N!$C$" &amp; $BA$8 &amp; ":$DR$" &amp; $BA$9),
_xlpm.col, M$72+$D78*10,
INDEX(_xlpm.rango,$BA$4-3,_xlpm.col) +
INDEX(_xlpm.rango,$BA$4-2,_xlpm.col) +
INDEX(_xlpm.rango,$BA$4-1,_xlpm.col) +
INDEX(_xlpm.rango,$BA$4, _xlpm.col)
)</f>
        <v/>
      </c>
      <c r="N79" s="95">
        <f t="array" ref="N79">_xlfn.LET(
_xlpm.rango, INDIRECT("N!$C$" &amp; $BA$8 &amp; ":$DR$" &amp; $BA$9),
_xlpm.col, N$72+$D78*10,
INDEX(_xlpm.rango,$BA$4-3,_xlpm.col) +
INDEX(_xlpm.rango,$BA$4-2,_xlpm.col) +
INDEX(_xlpm.rango,$BA$4-1,_xlpm.col) +
INDEX(_xlpm.rango,$BA$4, _xlpm.col)
)</f>
        <v/>
      </c>
      <c r="O79" s="96">
        <f t="array" ref="O79">_xlfn.LET(
_xlpm.rango, INDIRECT("N!$C$" &amp; $BA$8 &amp; ":$DR$" &amp; $BA$9),
_xlpm.col, O$72+$D78*10,
INDEX(_xlpm.rango,$BA$4-3,_xlpm.col) +
INDEX(_xlpm.rango,$BA$4-2,_xlpm.col) +
INDEX(_xlpm.rango,$BA$4-1,_xlpm.col) +
INDEX(_xlpm.rango,$BA$4, _xlpm.col)
)</f>
        <v/>
      </c>
      <c r="P79" s="95">
        <f t="array" ref="P79">_xlfn.LET(
_xlpm.rango, INDIRECT("S!$C$" &amp; $BA$8 &amp; ":$DR$" &amp; $BA$9),
_xlpm.col, P$72+$D78*10,
INDEX(_xlpm.rango,$BA$4-3,_xlpm.col) +
INDEX(_xlpm.rango,$BA$4-2,_xlpm.col) +
INDEX(_xlpm.rango,$BA$4-1,_xlpm.col) +
INDEX(_xlpm.rango,$BA$4, _xlpm.col)
)</f>
        <v/>
      </c>
      <c r="Q79" s="95">
        <f t="array" ref="Q79">_xlfn.LET(
_xlpm.rango, INDIRECT("S!$C$" &amp; $BA$8 &amp; ":$DR$" &amp; $BA$9),
_xlpm.col, Q$72+$D78*10,
INDEX(_xlpm.rango,$BA$4-3,_xlpm.col) +
INDEX(_xlpm.rango,$BA$4-2,_xlpm.col) +
INDEX(_xlpm.rango,$BA$4-1,_xlpm.col) +
INDEX(_xlpm.rango,$BA$4, _xlpm.col)
)</f>
        <v/>
      </c>
      <c r="R79" s="95">
        <f t="array" ref="R79">_xlfn.LET(
_xlpm.rango, INDIRECT("S!$C$" &amp; $BA$8 &amp; ":$DR$" &amp; $BA$9),
_xlpm.col, R$72+$D78*10,
INDEX(_xlpm.rango,$BA$4-3,_xlpm.col) +
INDEX(_xlpm.rango,$BA$4-2,_xlpm.col) +
INDEX(_xlpm.rango,$BA$4-1,_xlpm.col) +
INDEX(_xlpm.rango,$BA$4, _xlpm.col)
)</f>
        <v/>
      </c>
      <c r="S79" s="95">
        <f t="array" ref="S79">_xlfn.LET(
_xlpm.rango, INDIRECT("S!$C$" &amp; $BA$8 &amp; ":$DR$" &amp; $BA$9),
_xlpm.col, S$72+$D78*10,
INDEX(_xlpm.rango,$BA$4-3,_xlpm.col) +
INDEX(_xlpm.rango,$BA$4-2,_xlpm.col) +
INDEX(_xlpm.rango,$BA$4-1,_xlpm.col) +
INDEX(_xlpm.rango,$BA$4, _xlpm.col)
)</f>
        <v/>
      </c>
      <c r="T79" s="95">
        <f t="array" ref="T79">_xlfn.LET(
_xlpm.rango, INDIRECT("S!$C$" &amp; $BA$8 &amp; ":$DR$" &amp; $BA$9),
_xlpm.col, T$72+$D78*10,
INDEX(_xlpm.rango,$BA$4-3,_xlpm.col) +
INDEX(_xlpm.rango,$BA$4-2,_xlpm.col) +
INDEX(_xlpm.rango,$BA$4-1,_xlpm.col) +
INDEX(_xlpm.rango,$BA$4, _xlpm.col)
)</f>
        <v/>
      </c>
      <c r="U79" s="95">
        <f t="array" ref="U79">_xlfn.LET(
_xlpm.rango, INDIRECT("S!$C$" &amp; $BA$8 &amp; ":$DR$" &amp; $BA$9),
_xlpm.col, U$72+$D78*10,
INDEX(_xlpm.rango,$BA$4-3,_xlpm.col) +
INDEX(_xlpm.rango,$BA$4-2,_xlpm.col) +
INDEX(_xlpm.rango,$BA$4-1,_xlpm.col) +
INDEX(_xlpm.rango,$BA$4, _xlpm.col)
)</f>
        <v/>
      </c>
      <c r="V79" s="95">
        <f t="array" ref="V79">_xlfn.LET(
_xlpm.rango, INDIRECT("S!$C$" &amp; $BA$8 &amp; ":$DR$" &amp; $BA$9),
_xlpm.col, V$72+$D78*10,
INDEX(_xlpm.rango,$BA$4-3,_xlpm.col) +
INDEX(_xlpm.rango,$BA$4-2,_xlpm.col) +
INDEX(_xlpm.rango,$BA$4-1,_xlpm.col) +
INDEX(_xlpm.rango,$BA$4, _xlpm.col)
)</f>
        <v/>
      </c>
      <c r="W79" s="95">
        <f t="array" ref="W79">_xlfn.LET(
_xlpm.rango, INDIRECT("S!$C$" &amp; $BA$8 &amp; ":$DR$" &amp; $BA$9),
_xlpm.col, W$72+$D78*10,
INDEX(_xlpm.rango,$BA$4-3,_xlpm.col) +
INDEX(_xlpm.rango,$BA$4-2,_xlpm.col) +
INDEX(_xlpm.rango,$BA$4-1,_xlpm.col) +
INDEX(_xlpm.rango,$BA$4, _xlpm.col)
)</f>
        <v/>
      </c>
      <c r="X79" s="95">
        <f t="array" ref="X79">_xlfn.LET(
_xlpm.rango, INDIRECT("S!$C$" &amp; $BA$8 &amp; ":$DR$" &amp; $BA$9),
_xlpm.col, X$72+$D78*10,
INDEX(_xlpm.rango,$BA$4-3,_xlpm.col) +
INDEX(_xlpm.rango,$BA$4-2,_xlpm.col) +
INDEX(_xlpm.rango,$BA$4-1,_xlpm.col) +
INDEX(_xlpm.rango,$BA$4, _xlpm.col)
)</f>
        <v/>
      </c>
      <c r="Y79" s="95">
        <f t="array" ref="Y79">_xlfn.LET(
_xlpm.rango, INDIRECT("S!$C$" &amp; $BA$8 &amp; ":$DR$" &amp; $BA$9),
_xlpm.col, Y$72+$D78*10,
INDEX(_xlpm.rango,$BA$4-3,_xlpm.col) +
INDEX(_xlpm.rango,$BA$4-2,_xlpm.col) +
INDEX(_xlpm.rango,$BA$4-1,_xlpm.col) +
INDEX(_xlpm.rango,$BA$4, _xlpm.col)
)</f>
        <v/>
      </c>
      <c r="Z79" s="100">
        <f t="array" ref="Z79">_xlfn.LET(
_xlpm.rango, INDIRECT("E!$C$" &amp; $BA$8 &amp; ":$DR$" &amp; $BA$9),
_xlpm.col, Z$72+$D78*10,
INDEX(_xlpm.rango,$BA$4-3,_xlpm.col) +
INDEX(_xlpm.rango,$BA$4-2,_xlpm.col) +
INDEX(_xlpm.rango,$BA$4-1,_xlpm.col) +
INDEX(_xlpm.rango,$BA$4, _xlpm.col)
)</f>
        <v/>
      </c>
      <c r="AA79" s="95">
        <f t="array" ref="AA79">_xlfn.LET(
_xlpm.rango, INDIRECT("E!$C$" &amp; $BA$8 &amp; ":$DR$" &amp; $BA$9),
_xlpm.col, AA$72+$D78*10,
INDEX(_xlpm.rango,$BA$4-3,_xlpm.col) +
INDEX(_xlpm.rango,$BA$4-2,_xlpm.col) +
INDEX(_xlpm.rango,$BA$4-1,_xlpm.col) +
INDEX(_xlpm.rango,$BA$4, _xlpm.col)
)</f>
        <v/>
      </c>
      <c r="AB79" s="95">
        <f t="array" ref="AB79">_xlfn.LET(
_xlpm.rango, INDIRECT("E!$C$" &amp; $BA$8 &amp; ":$DR$" &amp; $BA$9),
_xlpm.col, AB$72+$D78*10,
INDEX(_xlpm.rango,$BA$4-3,_xlpm.col) +
INDEX(_xlpm.rango,$BA$4-2,_xlpm.col) +
INDEX(_xlpm.rango,$BA$4-1,_xlpm.col) +
INDEX(_xlpm.rango,$BA$4, _xlpm.col)
)</f>
        <v/>
      </c>
      <c r="AC79" s="95">
        <f t="array" ref="AC79">_xlfn.LET(
_xlpm.rango, INDIRECT("E!$C$" &amp; $BA$8 &amp; ":$DR$" &amp; $BA$9),
_xlpm.col, AC$72+$D78*10,
INDEX(_xlpm.rango,$BA$4-3,_xlpm.col) +
INDEX(_xlpm.rango,$BA$4-2,_xlpm.col) +
INDEX(_xlpm.rango,$BA$4-1,_xlpm.col) +
INDEX(_xlpm.rango,$BA$4, _xlpm.col)
)</f>
        <v/>
      </c>
      <c r="AD79" s="95">
        <f t="array" ref="AD79">_xlfn.LET(
_xlpm.rango, INDIRECT("E!$C$" &amp; $BA$8 &amp; ":$DR$" &amp; $BA$9),
_xlpm.col, AD$72+$D78*10,
INDEX(_xlpm.rango,$BA$4-3,_xlpm.col) +
INDEX(_xlpm.rango,$BA$4-2,_xlpm.col) +
INDEX(_xlpm.rango,$BA$4-1,_xlpm.col) +
INDEX(_xlpm.rango,$BA$4, _xlpm.col)
)</f>
        <v/>
      </c>
      <c r="AE79" s="95">
        <f t="array" ref="AE79">_xlfn.LET(
_xlpm.rango, INDIRECT("E!$C$" &amp; $BA$8 &amp; ":$DR$" &amp; $BA$9),
_xlpm.col, AE$72+$D78*10,
INDEX(_xlpm.rango,$BA$4-3,_xlpm.col) +
INDEX(_xlpm.rango,$BA$4-2,_xlpm.col) +
INDEX(_xlpm.rango,$BA$4-1,_xlpm.col) +
INDEX(_xlpm.rango,$BA$4, _xlpm.col)
)</f>
        <v/>
      </c>
      <c r="AF79" s="95">
        <f t="array" ref="AF79">_xlfn.LET(
_xlpm.rango, INDIRECT("E!$C$" &amp; $BA$8 &amp; ":$DR$" &amp; $BA$9),
_xlpm.col, AF$72+$D78*10,
INDEX(_xlpm.rango,$BA$4-3,_xlpm.col) +
INDEX(_xlpm.rango,$BA$4-2,_xlpm.col) +
INDEX(_xlpm.rango,$BA$4-1,_xlpm.col) +
INDEX(_xlpm.rango,$BA$4, _xlpm.col)
)</f>
        <v/>
      </c>
      <c r="AG79" s="95">
        <f t="array" ref="AG79">_xlfn.LET(
_xlpm.rango, INDIRECT("E!$C$" &amp; $BA$8 &amp; ":$DR$" &amp; $BA$9),
_xlpm.col, AG$72+$D78*10,
INDEX(_xlpm.rango,$BA$4-3,_xlpm.col) +
INDEX(_xlpm.rango,$BA$4-2,_xlpm.col) +
INDEX(_xlpm.rango,$BA$4-1,_xlpm.col) +
INDEX(_xlpm.rango,$BA$4, _xlpm.col)
)</f>
        <v/>
      </c>
      <c r="AH79" s="95">
        <f t="array" ref="AH79">_xlfn.LET(
_xlpm.rango, INDIRECT("E!$C$" &amp; $BA$8 &amp; ":$DR$" &amp; $BA$9),
_xlpm.col, AH$72+$D78*10,
INDEX(_xlpm.rango,$BA$4-3,_xlpm.col) +
INDEX(_xlpm.rango,$BA$4-2,_xlpm.col) +
INDEX(_xlpm.rango,$BA$4-1,_xlpm.col) +
INDEX(_xlpm.rango,$BA$4, _xlpm.col)
)</f>
        <v/>
      </c>
      <c r="AI79" s="96">
        <f t="array" ref="AI79">_xlfn.LET(
_xlpm.rango, INDIRECT("E!$C$" &amp; $BA$8 &amp; ":$DR$" &amp; $BA$9),
_xlpm.col, AI$72+$D78*10,
INDEX(_xlpm.rango,$BA$4-3,_xlpm.col) +
INDEX(_xlpm.rango,$BA$4-2,_xlpm.col) +
INDEX(_xlpm.rango,$BA$4-1,_xlpm.col) +
INDEX(_xlpm.rango,$BA$4, _xlpm.col)
)</f>
        <v/>
      </c>
      <c r="AJ79" s="95">
        <f t="array" ref="AJ79">_xlfn.LET(
_xlpm.rango, INDIRECT("E!$C$" &amp; $BA$8 &amp; ":$DR$" &amp; $BA$9),
_xlpm.col, AJ$72+$D78*10,
INDEX(_xlpm.rango,$BA$4-3,_xlpm.col) +
INDEX(_xlpm.rango,$BA$4-2,_xlpm.col) +
INDEX(_xlpm.rango,$BA$4-1,_xlpm.col) +
INDEX(_xlpm.rango,$BA$4, _xlpm.col)
)</f>
        <v/>
      </c>
      <c r="AK79" s="95">
        <f t="array" ref="AK79">_xlfn.LET(
_xlpm.rango, INDIRECT("E!$C$" &amp; $BA$8 &amp; ":$DR$" &amp; $BA$9),
_xlpm.col, AK$72+$D78*10,
INDEX(_xlpm.rango,$BA$4-3,_xlpm.col) +
INDEX(_xlpm.rango,$BA$4-2,_xlpm.col) +
INDEX(_xlpm.rango,$BA$4-1,_xlpm.col) +
INDEX(_xlpm.rango,$BA$4, _xlpm.col)
)</f>
        <v/>
      </c>
      <c r="AL79" s="95">
        <f t="array" ref="AL79">_xlfn.LET(
_xlpm.rango, INDIRECT("E!$C$" &amp; $BA$8 &amp; ":$DR$" &amp; $BA$9),
_xlpm.col, AL$72+$D78*10,
INDEX(_xlpm.rango,$BA$4-3,_xlpm.col) +
INDEX(_xlpm.rango,$BA$4-2,_xlpm.col) +
INDEX(_xlpm.rango,$BA$4-1,_xlpm.col) +
INDEX(_xlpm.rango,$BA$4, _xlpm.col)
)</f>
        <v/>
      </c>
      <c r="AM79" s="95">
        <f t="array" ref="AM79">_xlfn.LET(
_xlpm.rango, INDIRECT("E!$C$" &amp; $BA$8 &amp; ":$DR$" &amp; $BA$9),
_xlpm.col, AM$72+$D78*10,
INDEX(_xlpm.rango,$BA$4-3,_xlpm.col) +
INDEX(_xlpm.rango,$BA$4-2,_xlpm.col) +
INDEX(_xlpm.rango,$BA$4-1,_xlpm.col) +
INDEX(_xlpm.rango,$BA$4, _xlpm.col)
)</f>
        <v/>
      </c>
      <c r="AN79" s="95">
        <f t="array" ref="AN79">_xlfn.LET(
_xlpm.rango, INDIRECT("E!$C$" &amp; $BA$8 &amp; ":$DR$" &amp; $BA$9),
_xlpm.col, AN$72+$D78*10,
INDEX(_xlpm.rango,$BA$4-3,_xlpm.col) +
INDEX(_xlpm.rango,$BA$4-2,_xlpm.col) +
INDEX(_xlpm.rango,$BA$4-1,_xlpm.col) +
INDEX(_xlpm.rango,$BA$4, _xlpm.col)
)</f>
        <v/>
      </c>
      <c r="AO79" s="95">
        <f t="array" ref="AO79">_xlfn.LET(
_xlpm.rango, INDIRECT("E!$C$" &amp; $BA$8 &amp; ":$DR$" &amp; $BA$9),
_xlpm.col, AO$72+$D78*10,
INDEX(_xlpm.rango,$BA$4-3,_xlpm.col) +
INDEX(_xlpm.rango,$BA$4-2,_xlpm.col) +
INDEX(_xlpm.rango,$BA$4-1,_xlpm.col) +
INDEX(_xlpm.rango,$BA$4, _xlpm.col)
)</f>
        <v/>
      </c>
      <c r="AP79" s="95">
        <f t="array" ref="AP79">_xlfn.LET(
_xlpm.rango, INDIRECT("E!$C$" &amp; $BA$8 &amp; ":$DR$" &amp; $BA$9),
_xlpm.col, AP$72+$D78*10,
INDEX(_xlpm.rango,$BA$4-3,_xlpm.col) +
INDEX(_xlpm.rango,$BA$4-2,_xlpm.col) +
INDEX(_xlpm.rango,$BA$4-1,_xlpm.col) +
INDEX(_xlpm.rango,$BA$4, _xlpm.col)
)</f>
        <v/>
      </c>
      <c r="AQ79" s="95">
        <f t="array" ref="AQ79">_xlfn.LET(
_xlpm.rango, INDIRECT("E!$C$" &amp; $BA$8 &amp; ":$DR$" &amp; $BA$9),
_xlpm.col, AQ$72+$D78*10,
INDEX(_xlpm.rango,$BA$4-3,_xlpm.col) +
INDEX(_xlpm.rango,$BA$4-2,_xlpm.col) +
INDEX(_xlpm.rango,$BA$4-1,_xlpm.col) +
INDEX(_xlpm.rango,$BA$4, _xlpm.col)
)</f>
        <v/>
      </c>
      <c r="AR79" s="95">
        <f t="array" ref="AR79">_xlfn.LET(
_xlpm.rango, INDIRECT("E!$C$" &amp; $BA$8 &amp; ":$DR$" &amp; $BA$9),
_xlpm.col, AR$72+$D78*10,
INDEX(_xlpm.rango,$BA$4-3,_xlpm.col) +
INDEX(_xlpm.rango,$BA$4-2,_xlpm.col) +
INDEX(_xlpm.rango,$BA$4-1,_xlpm.col) +
INDEX(_xlpm.rango,$BA$4, _xlpm.col)
)</f>
        <v/>
      </c>
      <c r="AS79" s="112">
        <f t="array" ref="AS79">_xlfn.LET(
_xlpm.rango, INDIRECT("E!$C$" &amp; $BA$8 &amp; ":$DR$" &amp; $BA$9),
_xlpm.col, AS$72+$D78*10,
INDEX(_xlpm.rango,$BA$4-3,_xlpm.col) +
INDEX(_xlpm.rango,$BA$4-2,_xlpm.col) +
INDEX(_xlpm.rango,$BA$4-1,_xlpm.col) +
INDEX(_xlpm.rango,$BA$4, _xlpm.col)
)</f>
        <v/>
      </c>
      <c r="AT79" s="118">
        <f>SUM(F79:AS79)</f>
        <v/>
      </c>
      <c r="AU79" s="120">
        <f>AT79/$AT$88</f>
        <v/>
      </c>
    </row>
    <row r="80">
      <c r="D80" t="n">
        <v>5</v>
      </c>
      <c r="E80" s="106">
        <f>Inicio!V8</f>
        <v/>
      </c>
      <c r="F80" s="100">
        <f t="array" ref="F80">_xlfn.LET(
_xlpm.rango, INDIRECT("N!$C$" &amp; $BA$8 &amp; ":$DR$" &amp; $BA$9),
_xlpm.col, F$72+$D79*10,
INDEX(_xlpm.rango,$BA$4-3,_xlpm.col) +
INDEX(_xlpm.rango,$BA$4-2,_xlpm.col) +
INDEX(_xlpm.rango,$BA$4-1,_xlpm.col) +
INDEX(_xlpm.rango,$BA$4, _xlpm.col)
)</f>
        <v/>
      </c>
      <c r="G80" s="95">
        <f t="array" ref="G80">_xlfn.LET(
_xlpm.rango, INDIRECT("N!$C$" &amp; $BA$8 &amp; ":$DR$" &amp; $BA$9),
_xlpm.col, G$72+$D79*10,
INDEX(_xlpm.rango,$BA$4-3,_xlpm.col) +
INDEX(_xlpm.rango,$BA$4-2,_xlpm.col) +
INDEX(_xlpm.rango,$BA$4-1,_xlpm.col) +
INDEX(_xlpm.rango,$BA$4, _xlpm.col)
)</f>
        <v/>
      </c>
      <c r="H80" s="95">
        <f t="array" ref="H80">_xlfn.LET(
_xlpm.rango, INDIRECT("N!$C$" &amp; $BA$8 &amp; ":$DR$" &amp; $BA$9),
_xlpm.col, H$72+$D79*10,
INDEX(_xlpm.rango,$BA$4-3,_xlpm.col) +
INDEX(_xlpm.rango,$BA$4-2,_xlpm.col) +
INDEX(_xlpm.rango,$BA$4-1,_xlpm.col) +
INDEX(_xlpm.rango,$BA$4, _xlpm.col)
)</f>
        <v/>
      </c>
      <c r="I80" s="95">
        <f t="array" ref="I80">_xlfn.LET(
_xlpm.rango, INDIRECT("N!$C$" &amp; $BA$8 &amp; ":$DR$" &amp; $BA$9),
_xlpm.col, I$72+$D79*10,
INDEX(_xlpm.rango,$BA$4-3,_xlpm.col) +
INDEX(_xlpm.rango,$BA$4-2,_xlpm.col) +
INDEX(_xlpm.rango,$BA$4-1,_xlpm.col) +
INDEX(_xlpm.rango,$BA$4, _xlpm.col)
)</f>
        <v/>
      </c>
      <c r="J80" s="95">
        <f t="array" ref="J80">_xlfn.LET(
_xlpm.rango, INDIRECT("N!$C$" &amp; $BA$8 &amp; ":$DR$" &amp; $BA$9),
_xlpm.col, J$72+$D79*10,
INDEX(_xlpm.rango,$BA$4-3,_xlpm.col) +
INDEX(_xlpm.rango,$BA$4-2,_xlpm.col) +
INDEX(_xlpm.rango,$BA$4-1,_xlpm.col) +
INDEX(_xlpm.rango,$BA$4, _xlpm.col)
)</f>
        <v/>
      </c>
      <c r="K80" s="95">
        <f t="array" ref="K80">_xlfn.LET(
_xlpm.rango, INDIRECT("N!$C$" &amp; $BA$8 &amp; ":$DR$" &amp; $BA$9),
_xlpm.col, K$72+$D79*10,
INDEX(_xlpm.rango,$BA$4-3,_xlpm.col) +
INDEX(_xlpm.rango,$BA$4-2,_xlpm.col) +
INDEX(_xlpm.rango,$BA$4-1,_xlpm.col) +
INDEX(_xlpm.rango,$BA$4, _xlpm.col)
)</f>
        <v/>
      </c>
      <c r="L80" s="95">
        <f t="array" ref="L80">_xlfn.LET(
_xlpm.rango, INDIRECT("N!$C$" &amp; $BA$8 &amp; ":$DR$" &amp; $BA$9),
_xlpm.col, L$72+$D79*10,
INDEX(_xlpm.rango,$BA$4-3,_xlpm.col) +
INDEX(_xlpm.rango,$BA$4-2,_xlpm.col) +
INDEX(_xlpm.rango,$BA$4-1,_xlpm.col) +
INDEX(_xlpm.rango,$BA$4, _xlpm.col)
)</f>
        <v/>
      </c>
      <c r="M80" s="95">
        <f t="array" ref="M80">_xlfn.LET(
_xlpm.rango, INDIRECT("N!$C$" &amp; $BA$8 &amp; ":$DR$" &amp; $BA$9),
_xlpm.col, M$72+$D79*10,
INDEX(_xlpm.rango,$BA$4-3,_xlpm.col) +
INDEX(_xlpm.rango,$BA$4-2,_xlpm.col) +
INDEX(_xlpm.rango,$BA$4-1,_xlpm.col) +
INDEX(_xlpm.rango,$BA$4, _xlpm.col)
)</f>
        <v/>
      </c>
      <c r="N80" s="95">
        <f t="array" ref="N80">_xlfn.LET(
_xlpm.rango, INDIRECT("N!$C$" &amp; $BA$8 &amp; ":$DR$" &amp; $BA$9),
_xlpm.col, N$72+$D79*10,
INDEX(_xlpm.rango,$BA$4-3,_xlpm.col) +
INDEX(_xlpm.rango,$BA$4-2,_xlpm.col) +
INDEX(_xlpm.rango,$BA$4-1,_xlpm.col) +
INDEX(_xlpm.rango,$BA$4, _xlpm.col)
)</f>
        <v/>
      </c>
      <c r="O80" s="96">
        <f t="array" ref="O80">_xlfn.LET(
_xlpm.rango, INDIRECT("N!$C$" &amp; $BA$8 &amp; ":$DR$" &amp; $BA$9),
_xlpm.col, O$72+$D79*10,
INDEX(_xlpm.rango,$BA$4-3,_xlpm.col) +
INDEX(_xlpm.rango,$BA$4-2,_xlpm.col) +
INDEX(_xlpm.rango,$BA$4-1,_xlpm.col) +
INDEX(_xlpm.rango,$BA$4, _xlpm.col)
)</f>
        <v/>
      </c>
      <c r="P80" s="95">
        <f t="array" ref="P80">_xlfn.LET(
_xlpm.rango, INDIRECT("S!$C$" &amp; $BA$8 &amp; ":$DR$" &amp; $BA$9),
_xlpm.col, P$72+$D79*10,
INDEX(_xlpm.rango,$BA$4-3,_xlpm.col) +
INDEX(_xlpm.rango,$BA$4-2,_xlpm.col) +
INDEX(_xlpm.rango,$BA$4-1,_xlpm.col) +
INDEX(_xlpm.rango,$BA$4, _xlpm.col)
)</f>
        <v/>
      </c>
      <c r="Q80" s="95">
        <f t="array" ref="Q80">_xlfn.LET(
_xlpm.rango, INDIRECT("S!$C$" &amp; $BA$8 &amp; ":$DR$" &amp; $BA$9),
_xlpm.col, Q$72+$D79*10,
INDEX(_xlpm.rango,$BA$4-3,_xlpm.col) +
INDEX(_xlpm.rango,$BA$4-2,_xlpm.col) +
INDEX(_xlpm.rango,$BA$4-1,_xlpm.col) +
INDEX(_xlpm.rango,$BA$4, _xlpm.col)
)</f>
        <v/>
      </c>
      <c r="R80" s="95">
        <f t="array" ref="R80">_xlfn.LET(
_xlpm.rango, INDIRECT("S!$C$" &amp; $BA$8 &amp; ":$DR$" &amp; $BA$9),
_xlpm.col, R$72+$D79*10,
INDEX(_xlpm.rango,$BA$4-3,_xlpm.col) +
INDEX(_xlpm.rango,$BA$4-2,_xlpm.col) +
INDEX(_xlpm.rango,$BA$4-1,_xlpm.col) +
INDEX(_xlpm.rango,$BA$4, _xlpm.col)
)</f>
        <v/>
      </c>
      <c r="S80" s="95">
        <f t="array" ref="S80">_xlfn.LET(
_xlpm.rango, INDIRECT("S!$C$" &amp; $BA$8 &amp; ":$DR$" &amp; $BA$9),
_xlpm.col, S$72+$D79*10,
INDEX(_xlpm.rango,$BA$4-3,_xlpm.col) +
INDEX(_xlpm.rango,$BA$4-2,_xlpm.col) +
INDEX(_xlpm.rango,$BA$4-1,_xlpm.col) +
INDEX(_xlpm.rango,$BA$4, _xlpm.col)
)</f>
        <v/>
      </c>
      <c r="T80" s="95">
        <f t="array" ref="T80">_xlfn.LET(
_xlpm.rango, INDIRECT("S!$C$" &amp; $BA$8 &amp; ":$DR$" &amp; $BA$9),
_xlpm.col, T$72+$D79*10,
INDEX(_xlpm.rango,$BA$4-3,_xlpm.col) +
INDEX(_xlpm.rango,$BA$4-2,_xlpm.col) +
INDEX(_xlpm.rango,$BA$4-1,_xlpm.col) +
INDEX(_xlpm.rango,$BA$4, _xlpm.col)
)</f>
        <v/>
      </c>
      <c r="U80" s="95">
        <f t="array" ref="U80">_xlfn.LET(
_xlpm.rango, INDIRECT("S!$C$" &amp; $BA$8 &amp; ":$DR$" &amp; $BA$9),
_xlpm.col, U$72+$D79*10,
INDEX(_xlpm.rango,$BA$4-3,_xlpm.col) +
INDEX(_xlpm.rango,$BA$4-2,_xlpm.col) +
INDEX(_xlpm.rango,$BA$4-1,_xlpm.col) +
INDEX(_xlpm.rango,$BA$4, _xlpm.col)
)</f>
        <v/>
      </c>
      <c r="V80" s="95">
        <f t="array" ref="V80">_xlfn.LET(
_xlpm.rango, INDIRECT("S!$C$" &amp; $BA$8 &amp; ":$DR$" &amp; $BA$9),
_xlpm.col, V$72+$D79*10,
INDEX(_xlpm.rango,$BA$4-3,_xlpm.col) +
INDEX(_xlpm.rango,$BA$4-2,_xlpm.col) +
INDEX(_xlpm.rango,$BA$4-1,_xlpm.col) +
INDEX(_xlpm.rango,$BA$4, _xlpm.col)
)</f>
        <v/>
      </c>
      <c r="W80" s="95">
        <f t="array" ref="W80">_xlfn.LET(
_xlpm.rango, INDIRECT("S!$C$" &amp; $BA$8 &amp; ":$DR$" &amp; $BA$9),
_xlpm.col, W$72+$D79*10,
INDEX(_xlpm.rango,$BA$4-3,_xlpm.col) +
INDEX(_xlpm.rango,$BA$4-2,_xlpm.col) +
INDEX(_xlpm.rango,$BA$4-1,_xlpm.col) +
INDEX(_xlpm.rango,$BA$4, _xlpm.col)
)</f>
        <v/>
      </c>
      <c r="X80" s="95">
        <f t="array" ref="X80">_xlfn.LET(
_xlpm.rango, INDIRECT("S!$C$" &amp; $BA$8 &amp; ":$DR$" &amp; $BA$9),
_xlpm.col, X$72+$D79*10,
INDEX(_xlpm.rango,$BA$4-3,_xlpm.col) +
INDEX(_xlpm.rango,$BA$4-2,_xlpm.col) +
INDEX(_xlpm.rango,$BA$4-1,_xlpm.col) +
INDEX(_xlpm.rango,$BA$4, _xlpm.col)
)</f>
        <v/>
      </c>
      <c r="Y80" s="95">
        <f t="array" ref="Y80">_xlfn.LET(
_xlpm.rango, INDIRECT("S!$C$" &amp; $BA$8 &amp; ":$DR$" &amp; $BA$9),
_xlpm.col, Y$72+$D79*10,
INDEX(_xlpm.rango,$BA$4-3,_xlpm.col) +
INDEX(_xlpm.rango,$BA$4-2,_xlpm.col) +
INDEX(_xlpm.rango,$BA$4-1,_xlpm.col) +
INDEX(_xlpm.rango,$BA$4, _xlpm.col)
)</f>
        <v/>
      </c>
      <c r="Z80" s="100">
        <f t="array" ref="Z80">_xlfn.LET(
_xlpm.rango, INDIRECT("E!$C$" &amp; $BA$8 &amp; ":$DR$" &amp; $BA$9),
_xlpm.col, Z$72+$D79*10,
INDEX(_xlpm.rango,$BA$4-3,_xlpm.col) +
INDEX(_xlpm.rango,$BA$4-2,_xlpm.col) +
INDEX(_xlpm.rango,$BA$4-1,_xlpm.col) +
INDEX(_xlpm.rango,$BA$4, _xlpm.col)
)</f>
        <v/>
      </c>
      <c r="AA80" s="95">
        <f t="array" ref="AA80">_xlfn.LET(
_xlpm.rango, INDIRECT("E!$C$" &amp; $BA$8 &amp; ":$DR$" &amp; $BA$9),
_xlpm.col, AA$72+$D79*10,
INDEX(_xlpm.rango,$BA$4-3,_xlpm.col) +
INDEX(_xlpm.rango,$BA$4-2,_xlpm.col) +
INDEX(_xlpm.rango,$BA$4-1,_xlpm.col) +
INDEX(_xlpm.rango,$BA$4, _xlpm.col)
)</f>
        <v/>
      </c>
      <c r="AB80" s="95">
        <f t="array" ref="AB80">_xlfn.LET(
_xlpm.rango, INDIRECT("E!$C$" &amp; $BA$8 &amp; ":$DR$" &amp; $BA$9),
_xlpm.col, AB$72+$D79*10,
INDEX(_xlpm.rango,$BA$4-3,_xlpm.col) +
INDEX(_xlpm.rango,$BA$4-2,_xlpm.col) +
INDEX(_xlpm.rango,$BA$4-1,_xlpm.col) +
INDEX(_xlpm.rango,$BA$4, _xlpm.col)
)</f>
        <v/>
      </c>
      <c r="AC80" s="95">
        <f t="array" ref="AC80">_xlfn.LET(
_xlpm.rango, INDIRECT("E!$C$" &amp; $BA$8 &amp; ":$DR$" &amp; $BA$9),
_xlpm.col, AC$72+$D79*10,
INDEX(_xlpm.rango,$BA$4-3,_xlpm.col) +
INDEX(_xlpm.rango,$BA$4-2,_xlpm.col) +
INDEX(_xlpm.rango,$BA$4-1,_xlpm.col) +
INDEX(_xlpm.rango,$BA$4, _xlpm.col)
)</f>
        <v/>
      </c>
      <c r="AD80" s="95">
        <f t="array" ref="AD80">_xlfn.LET(
_xlpm.rango, INDIRECT("E!$C$" &amp; $BA$8 &amp; ":$DR$" &amp; $BA$9),
_xlpm.col, AD$72+$D79*10,
INDEX(_xlpm.rango,$BA$4-3,_xlpm.col) +
INDEX(_xlpm.rango,$BA$4-2,_xlpm.col) +
INDEX(_xlpm.rango,$BA$4-1,_xlpm.col) +
INDEX(_xlpm.rango,$BA$4, _xlpm.col)
)</f>
        <v/>
      </c>
      <c r="AE80" s="95">
        <f t="array" ref="AE80">_xlfn.LET(
_xlpm.rango, INDIRECT("E!$C$" &amp; $BA$8 &amp; ":$DR$" &amp; $BA$9),
_xlpm.col, AE$72+$D79*10,
INDEX(_xlpm.rango,$BA$4-3,_xlpm.col) +
INDEX(_xlpm.rango,$BA$4-2,_xlpm.col) +
INDEX(_xlpm.rango,$BA$4-1,_xlpm.col) +
INDEX(_xlpm.rango,$BA$4, _xlpm.col)
)</f>
        <v/>
      </c>
      <c r="AF80" s="95">
        <f t="array" ref="AF80">_xlfn.LET(
_xlpm.rango, INDIRECT("E!$C$" &amp; $BA$8 &amp; ":$DR$" &amp; $BA$9),
_xlpm.col, AF$72+$D79*10,
INDEX(_xlpm.rango,$BA$4-3,_xlpm.col) +
INDEX(_xlpm.rango,$BA$4-2,_xlpm.col) +
INDEX(_xlpm.rango,$BA$4-1,_xlpm.col) +
INDEX(_xlpm.rango,$BA$4, _xlpm.col)
)</f>
        <v/>
      </c>
      <c r="AG80" s="95">
        <f t="array" ref="AG80">_xlfn.LET(
_xlpm.rango, INDIRECT("E!$C$" &amp; $BA$8 &amp; ":$DR$" &amp; $BA$9),
_xlpm.col, AG$72+$D79*10,
INDEX(_xlpm.rango,$BA$4-3,_xlpm.col) +
INDEX(_xlpm.rango,$BA$4-2,_xlpm.col) +
INDEX(_xlpm.rango,$BA$4-1,_xlpm.col) +
INDEX(_xlpm.rango,$BA$4, _xlpm.col)
)</f>
        <v/>
      </c>
      <c r="AH80" s="95">
        <f t="array" ref="AH80">_xlfn.LET(
_xlpm.rango, INDIRECT("E!$C$" &amp; $BA$8 &amp; ":$DR$" &amp; $BA$9),
_xlpm.col, AH$72+$D79*10,
INDEX(_xlpm.rango,$BA$4-3,_xlpm.col) +
INDEX(_xlpm.rango,$BA$4-2,_xlpm.col) +
INDEX(_xlpm.rango,$BA$4-1,_xlpm.col) +
INDEX(_xlpm.rango,$BA$4, _xlpm.col)
)</f>
        <v/>
      </c>
      <c r="AI80" s="96">
        <f t="array" ref="AI80">_xlfn.LET(
_xlpm.rango, INDIRECT("E!$C$" &amp; $BA$8 &amp; ":$DR$" &amp; $BA$9),
_xlpm.col, AI$72+$D79*10,
INDEX(_xlpm.rango,$BA$4-3,_xlpm.col) +
INDEX(_xlpm.rango,$BA$4-2,_xlpm.col) +
INDEX(_xlpm.rango,$BA$4-1,_xlpm.col) +
INDEX(_xlpm.rango,$BA$4, _xlpm.col)
)</f>
        <v/>
      </c>
      <c r="AJ80" s="95">
        <f t="array" ref="AJ80">_xlfn.LET(
_xlpm.rango, INDIRECT("E!$C$" &amp; $BA$8 &amp; ":$DR$" &amp; $BA$9),
_xlpm.col, AJ$72+$D79*10,
INDEX(_xlpm.rango,$BA$4-3,_xlpm.col) +
INDEX(_xlpm.rango,$BA$4-2,_xlpm.col) +
INDEX(_xlpm.rango,$BA$4-1,_xlpm.col) +
INDEX(_xlpm.rango,$BA$4, _xlpm.col)
)</f>
        <v/>
      </c>
      <c r="AK80" s="95">
        <f t="array" ref="AK80">_xlfn.LET(
_xlpm.rango, INDIRECT("E!$C$" &amp; $BA$8 &amp; ":$DR$" &amp; $BA$9),
_xlpm.col, AK$72+$D79*10,
INDEX(_xlpm.rango,$BA$4-3,_xlpm.col) +
INDEX(_xlpm.rango,$BA$4-2,_xlpm.col) +
INDEX(_xlpm.rango,$BA$4-1,_xlpm.col) +
INDEX(_xlpm.rango,$BA$4, _xlpm.col)
)</f>
        <v/>
      </c>
      <c r="AL80" s="95">
        <f t="array" ref="AL80">_xlfn.LET(
_xlpm.rango, INDIRECT("E!$C$" &amp; $BA$8 &amp; ":$DR$" &amp; $BA$9),
_xlpm.col, AL$72+$D79*10,
INDEX(_xlpm.rango,$BA$4-3,_xlpm.col) +
INDEX(_xlpm.rango,$BA$4-2,_xlpm.col) +
INDEX(_xlpm.rango,$BA$4-1,_xlpm.col) +
INDEX(_xlpm.rango,$BA$4, _xlpm.col)
)</f>
        <v/>
      </c>
      <c r="AM80" s="95">
        <f t="array" ref="AM80">_xlfn.LET(
_xlpm.rango, INDIRECT("E!$C$" &amp; $BA$8 &amp; ":$DR$" &amp; $BA$9),
_xlpm.col, AM$72+$D79*10,
INDEX(_xlpm.rango,$BA$4-3,_xlpm.col) +
INDEX(_xlpm.rango,$BA$4-2,_xlpm.col) +
INDEX(_xlpm.rango,$BA$4-1,_xlpm.col) +
INDEX(_xlpm.rango,$BA$4, _xlpm.col)
)</f>
        <v/>
      </c>
      <c r="AN80" s="95">
        <f t="array" ref="AN80">_xlfn.LET(
_xlpm.rango, INDIRECT("E!$C$" &amp; $BA$8 &amp; ":$DR$" &amp; $BA$9),
_xlpm.col, AN$72+$D79*10,
INDEX(_xlpm.rango,$BA$4-3,_xlpm.col) +
INDEX(_xlpm.rango,$BA$4-2,_xlpm.col) +
INDEX(_xlpm.rango,$BA$4-1,_xlpm.col) +
INDEX(_xlpm.rango,$BA$4, _xlpm.col)
)</f>
        <v/>
      </c>
      <c r="AO80" s="95">
        <f t="array" ref="AO80">_xlfn.LET(
_xlpm.rango, INDIRECT("E!$C$" &amp; $BA$8 &amp; ":$DR$" &amp; $BA$9),
_xlpm.col, AO$72+$D79*10,
INDEX(_xlpm.rango,$BA$4-3,_xlpm.col) +
INDEX(_xlpm.rango,$BA$4-2,_xlpm.col) +
INDEX(_xlpm.rango,$BA$4-1,_xlpm.col) +
INDEX(_xlpm.rango,$BA$4, _xlpm.col)
)</f>
        <v/>
      </c>
      <c r="AP80" s="95">
        <f t="array" ref="AP80">_xlfn.LET(
_xlpm.rango, INDIRECT("E!$C$" &amp; $BA$8 &amp; ":$DR$" &amp; $BA$9),
_xlpm.col, AP$72+$D79*10,
INDEX(_xlpm.rango,$BA$4-3,_xlpm.col) +
INDEX(_xlpm.rango,$BA$4-2,_xlpm.col) +
INDEX(_xlpm.rango,$BA$4-1,_xlpm.col) +
INDEX(_xlpm.rango,$BA$4, _xlpm.col)
)</f>
        <v/>
      </c>
      <c r="AQ80" s="95">
        <f t="array" ref="AQ80">_xlfn.LET(
_xlpm.rango, INDIRECT("E!$C$" &amp; $BA$8 &amp; ":$DR$" &amp; $BA$9),
_xlpm.col, AQ$72+$D79*10,
INDEX(_xlpm.rango,$BA$4-3,_xlpm.col) +
INDEX(_xlpm.rango,$BA$4-2,_xlpm.col) +
INDEX(_xlpm.rango,$BA$4-1,_xlpm.col) +
INDEX(_xlpm.rango,$BA$4, _xlpm.col)
)</f>
        <v/>
      </c>
      <c r="AR80" s="95">
        <f t="array" ref="AR80">_xlfn.LET(
_xlpm.rango, INDIRECT("E!$C$" &amp; $BA$8 &amp; ":$DR$" &amp; $BA$9),
_xlpm.col, AR$72+$D79*10,
INDEX(_xlpm.rango,$BA$4-3,_xlpm.col) +
INDEX(_xlpm.rango,$BA$4-2,_xlpm.col) +
INDEX(_xlpm.rango,$BA$4-1,_xlpm.col) +
INDEX(_xlpm.rango,$BA$4, _xlpm.col)
)</f>
        <v/>
      </c>
      <c r="AS80" s="112">
        <f t="array" ref="AS80">_xlfn.LET(
_xlpm.rango, INDIRECT("E!$C$" &amp; $BA$8 &amp; ":$DR$" &amp; $BA$9),
_xlpm.col, AS$72+$D79*10,
INDEX(_xlpm.rango,$BA$4-3,_xlpm.col) +
INDEX(_xlpm.rango,$BA$4-2,_xlpm.col) +
INDEX(_xlpm.rango,$BA$4-1,_xlpm.col) +
INDEX(_xlpm.rango,$BA$4, _xlpm.col)
)</f>
        <v/>
      </c>
      <c r="AT80" s="118">
        <f>SUM(F80:AS80)</f>
        <v/>
      </c>
      <c r="AU80" s="120">
        <f>AT80/$AT$88</f>
        <v/>
      </c>
    </row>
    <row r="81">
      <c r="D81" t="n">
        <v>6</v>
      </c>
      <c r="E81" s="106">
        <f>Inicio!V9</f>
        <v/>
      </c>
      <c r="F81" s="100">
        <f t="array" ref="F81">_xlfn.LET(
_xlpm.rango, INDIRECT("N!$C$" &amp; $BA$8 &amp; ":$DR$" &amp; $BA$9),
_xlpm.col, F$72+$D80*10,
INDEX(_xlpm.rango,$BA$4-3,_xlpm.col) +
INDEX(_xlpm.rango,$BA$4-2,_xlpm.col) +
INDEX(_xlpm.rango,$BA$4-1,_xlpm.col) +
INDEX(_xlpm.rango,$BA$4, _xlpm.col)
)</f>
        <v/>
      </c>
      <c r="G81" s="95">
        <f t="array" ref="G81">_xlfn.LET(
_xlpm.rango, INDIRECT("N!$C$" &amp; $BA$8 &amp; ":$DR$" &amp; $BA$9),
_xlpm.col, G$72+$D80*10,
INDEX(_xlpm.rango,$BA$4-3,_xlpm.col) +
INDEX(_xlpm.rango,$BA$4-2,_xlpm.col) +
INDEX(_xlpm.rango,$BA$4-1,_xlpm.col) +
INDEX(_xlpm.rango,$BA$4, _xlpm.col)
)</f>
        <v/>
      </c>
      <c r="H81" s="95">
        <f t="array" ref="H81">_xlfn.LET(
_xlpm.rango, INDIRECT("N!$C$" &amp; $BA$8 &amp; ":$DR$" &amp; $BA$9),
_xlpm.col, H$72+$D80*10,
INDEX(_xlpm.rango,$BA$4-3,_xlpm.col) +
INDEX(_xlpm.rango,$BA$4-2,_xlpm.col) +
INDEX(_xlpm.rango,$BA$4-1,_xlpm.col) +
INDEX(_xlpm.rango,$BA$4, _xlpm.col)
)</f>
        <v/>
      </c>
      <c r="I81" s="95">
        <f t="array" ref="I81">_xlfn.LET(
_xlpm.rango, INDIRECT("N!$C$" &amp; $BA$8 &amp; ":$DR$" &amp; $BA$9),
_xlpm.col, I$72+$D80*10,
INDEX(_xlpm.rango,$BA$4-3,_xlpm.col) +
INDEX(_xlpm.rango,$BA$4-2,_xlpm.col) +
INDEX(_xlpm.rango,$BA$4-1,_xlpm.col) +
INDEX(_xlpm.rango,$BA$4, _xlpm.col)
)</f>
        <v/>
      </c>
      <c r="J81" s="95">
        <f t="array" ref="J81">_xlfn.LET(
_xlpm.rango, INDIRECT("N!$C$" &amp; $BA$8 &amp; ":$DR$" &amp; $BA$9),
_xlpm.col, J$72+$D80*10,
INDEX(_xlpm.rango,$BA$4-3,_xlpm.col) +
INDEX(_xlpm.rango,$BA$4-2,_xlpm.col) +
INDEX(_xlpm.rango,$BA$4-1,_xlpm.col) +
INDEX(_xlpm.rango,$BA$4, _xlpm.col)
)</f>
        <v/>
      </c>
      <c r="K81" s="95">
        <f t="array" ref="K81">_xlfn.LET(
_xlpm.rango, INDIRECT("N!$C$" &amp; $BA$8 &amp; ":$DR$" &amp; $BA$9),
_xlpm.col, K$72+$D80*10,
INDEX(_xlpm.rango,$BA$4-3,_xlpm.col) +
INDEX(_xlpm.rango,$BA$4-2,_xlpm.col) +
INDEX(_xlpm.rango,$BA$4-1,_xlpm.col) +
INDEX(_xlpm.rango,$BA$4, _xlpm.col)
)</f>
        <v/>
      </c>
      <c r="L81" s="95">
        <f t="array" ref="L81">_xlfn.LET(
_xlpm.rango, INDIRECT("N!$C$" &amp; $BA$8 &amp; ":$DR$" &amp; $BA$9),
_xlpm.col, L$72+$D80*10,
INDEX(_xlpm.rango,$BA$4-3,_xlpm.col) +
INDEX(_xlpm.rango,$BA$4-2,_xlpm.col) +
INDEX(_xlpm.rango,$BA$4-1,_xlpm.col) +
INDEX(_xlpm.rango,$BA$4, _xlpm.col)
)</f>
        <v/>
      </c>
      <c r="M81" s="95">
        <f t="array" ref="M81">_xlfn.LET(
_xlpm.rango, INDIRECT("N!$C$" &amp; $BA$8 &amp; ":$DR$" &amp; $BA$9),
_xlpm.col, M$72+$D80*10,
INDEX(_xlpm.rango,$BA$4-3,_xlpm.col) +
INDEX(_xlpm.rango,$BA$4-2,_xlpm.col) +
INDEX(_xlpm.rango,$BA$4-1,_xlpm.col) +
INDEX(_xlpm.rango,$BA$4, _xlpm.col)
)</f>
        <v/>
      </c>
      <c r="N81" s="95">
        <f t="array" ref="N81">_xlfn.LET(
_xlpm.rango, INDIRECT("N!$C$" &amp; $BA$8 &amp; ":$DR$" &amp; $BA$9),
_xlpm.col, N$72+$D80*10,
INDEX(_xlpm.rango,$BA$4-3,_xlpm.col) +
INDEX(_xlpm.rango,$BA$4-2,_xlpm.col) +
INDEX(_xlpm.rango,$BA$4-1,_xlpm.col) +
INDEX(_xlpm.rango,$BA$4, _xlpm.col)
)</f>
        <v/>
      </c>
      <c r="O81" s="96">
        <f t="array" ref="O81">_xlfn.LET(
_xlpm.rango, INDIRECT("N!$C$" &amp; $BA$8 &amp; ":$DR$" &amp; $BA$9),
_xlpm.col, O$72+$D80*10,
INDEX(_xlpm.rango,$BA$4-3,_xlpm.col) +
INDEX(_xlpm.rango,$BA$4-2,_xlpm.col) +
INDEX(_xlpm.rango,$BA$4-1,_xlpm.col) +
INDEX(_xlpm.rango,$BA$4, _xlpm.col)
)</f>
        <v/>
      </c>
      <c r="P81" s="95">
        <f t="array" ref="P81">_xlfn.LET(
_xlpm.rango, INDIRECT("S!$C$" &amp; $BA$8 &amp; ":$DR$" &amp; $BA$9),
_xlpm.col, P$72+$D80*10,
INDEX(_xlpm.rango,$BA$4-3,_xlpm.col) +
INDEX(_xlpm.rango,$BA$4-2,_xlpm.col) +
INDEX(_xlpm.rango,$BA$4-1,_xlpm.col) +
INDEX(_xlpm.rango,$BA$4, _xlpm.col)
)</f>
        <v/>
      </c>
      <c r="Q81" s="95">
        <f t="array" ref="Q81">_xlfn.LET(
_xlpm.rango, INDIRECT("S!$C$" &amp; $BA$8 &amp; ":$DR$" &amp; $BA$9),
_xlpm.col, Q$72+$D80*10,
INDEX(_xlpm.rango,$BA$4-3,_xlpm.col) +
INDEX(_xlpm.rango,$BA$4-2,_xlpm.col) +
INDEX(_xlpm.rango,$BA$4-1,_xlpm.col) +
INDEX(_xlpm.rango,$BA$4, _xlpm.col)
)</f>
        <v/>
      </c>
      <c r="R81" s="95">
        <f t="array" ref="R81">_xlfn.LET(
_xlpm.rango, INDIRECT("S!$C$" &amp; $BA$8 &amp; ":$DR$" &amp; $BA$9),
_xlpm.col, R$72+$D80*10,
INDEX(_xlpm.rango,$BA$4-3,_xlpm.col) +
INDEX(_xlpm.rango,$BA$4-2,_xlpm.col) +
INDEX(_xlpm.rango,$BA$4-1,_xlpm.col) +
INDEX(_xlpm.rango,$BA$4, _xlpm.col)
)</f>
        <v/>
      </c>
      <c r="S81" s="95">
        <f t="array" ref="S81">_xlfn.LET(
_xlpm.rango, INDIRECT("S!$C$" &amp; $BA$8 &amp; ":$DR$" &amp; $BA$9),
_xlpm.col, S$72+$D80*10,
INDEX(_xlpm.rango,$BA$4-3,_xlpm.col) +
INDEX(_xlpm.rango,$BA$4-2,_xlpm.col) +
INDEX(_xlpm.rango,$BA$4-1,_xlpm.col) +
INDEX(_xlpm.rango,$BA$4, _xlpm.col)
)</f>
        <v/>
      </c>
      <c r="T81" s="95">
        <f t="array" ref="T81">_xlfn.LET(
_xlpm.rango, INDIRECT("S!$C$" &amp; $BA$8 &amp; ":$DR$" &amp; $BA$9),
_xlpm.col, T$72+$D80*10,
INDEX(_xlpm.rango,$BA$4-3,_xlpm.col) +
INDEX(_xlpm.rango,$BA$4-2,_xlpm.col) +
INDEX(_xlpm.rango,$BA$4-1,_xlpm.col) +
INDEX(_xlpm.rango,$BA$4, _xlpm.col)
)</f>
        <v/>
      </c>
      <c r="U81" s="95">
        <f t="array" ref="U81">_xlfn.LET(
_xlpm.rango, INDIRECT("S!$C$" &amp; $BA$8 &amp; ":$DR$" &amp; $BA$9),
_xlpm.col, U$72+$D80*10,
INDEX(_xlpm.rango,$BA$4-3,_xlpm.col) +
INDEX(_xlpm.rango,$BA$4-2,_xlpm.col) +
INDEX(_xlpm.rango,$BA$4-1,_xlpm.col) +
INDEX(_xlpm.rango,$BA$4, _xlpm.col)
)</f>
        <v/>
      </c>
      <c r="V81" s="95">
        <f t="array" ref="V81">_xlfn.LET(
_xlpm.rango, INDIRECT("S!$C$" &amp; $BA$8 &amp; ":$DR$" &amp; $BA$9),
_xlpm.col, V$72+$D80*10,
INDEX(_xlpm.rango,$BA$4-3,_xlpm.col) +
INDEX(_xlpm.rango,$BA$4-2,_xlpm.col) +
INDEX(_xlpm.rango,$BA$4-1,_xlpm.col) +
INDEX(_xlpm.rango,$BA$4, _xlpm.col)
)</f>
        <v/>
      </c>
      <c r="W81" s="95">
        <f t="array" ref="W81">_xlfn.LET(
_xlpm.rango, INDIRECT("S!$C$" &amp; $BA$8 &amp; ":$DR$" &amp; $BA$9),
_xlpm.col, W$72+$D80*10,
INDEX(_xlpm.rango,$BA$4-3,_xlpm.col) +
INDEX(_xlpm.rango,$BA$4-2,_xlpm.col) +
INDEX(_xlpm.rango,$BA$4-1,_xlpm.col) +
INDEX(_xlpm.rango,$BA$4, _xlpm.col)
)</f>
        <v/>
      </c>
      <c r="X81" s="95">
        <f t="array" ref="X81">_xlfn.LET(
_xlpm.rango, INDIRECT("S!$C$" &amp; $BA$8 &amp; ":$DR$" &amp; $BA$9),
_xlpm.col, X$72+$D80*10,
INDEX(_xlpm.rango,$BA$4-3,_xlpm.col) +
INDEX(_xlpm.rango,$BA$4-2,_xlpm.col) +
INDEX(_xlpm.rango,$BA$4-1,_xlpm.col) +
INDEX(_xlpm.rango,$BA$4, _xlpm.col)
)</f>
        <v/>
      </c>
      <c r="Y81" s="95">
        <f t="array" ref="Y81">_xlfn.LET(
_xlpm.rango, INDIRECT("S!$C$" &amp; $BA$8 &amp; ":$DR$" &amp; $BA$9),
_xlpm.col, Y$72+$D80*10,
INDEX(_xlpm.rango,$BA$4-3,_xlpm.col) +
INDEX(_xlpm.rango,$BA$4-2,_xlpm.col) +
INDEX(_xlpm.rango,$BA$4-1,_xlpm.col) +
INDEX(_xlpm.rango,$BA$4, _xlpm.col)
)</f>
        <v/>
      </c>
      <c r="Z81" s="100">
        <f t="array" ref="Z81">_xlfn.LET(
_xlpm.rango, INDIRECT("E!$C$" &amp; $BA$8 &amp; ":$DR$" &amp; $BA$9),
_xlpm.col, Z$72+$D80*10,
INDEX(_xlpm.rango,$BA$4-3,_xlpm.col) +
INDEX(_xlpm.rango,$BA$4-2,_xlpm.col) +
INDEX(_xlpm.rango,$BA$4-1,_xlpm.col) +
INDEX(_xlpm.rango,$BA$4, _xlpm.col)
)</f>
        <v/>
      </c>
      <c r="AA81" s="95">
        <f t="array" ref="AA81">_xlfn.LET(
_xlpm.rango, INDIRECT("E!$C$" &amp; $BA$8 &amp; ":$DR$" &amp; $BA$9),
_xlpm.col, AA$72+$D80*10,
INDEX(_xlpm.rango,$BA$4-3,_xlpm.col) +
INDEX(_xlpm.rango,$BA$4-2,_xlpm.col) +
INDEX(_xlpm.rango,$BA$4-1,_xlpm.col) +
INDEX(_xlpm.rango,$BA$4, _xlpm.col)
)</f>
        <v/>
      </c>
      <c r="AB81" s="95">
        <f t="array" ref="AB81">_xlfn.LET(
_xlpm.rango, INDIRECT("E!$C$" &amp; $BA$8 &amp; ":$DR$" &amp; $BA$9),
_xlpm.col, AB$72+$D80*10,
INDEX(_xlpm.rango,$BA$4-3,_xlpm.col) +
INDEX(_xlpm.rango,$BA$4-2,_xlpm.col) +
INDEX(_xlpm.rango,$BA$4-1,_xlpm.col) +
INDEX(_xlpm.rango,$BA$4, _xlpm.col)
)</f>
        <v/>
      </c>
      <c r="AC81" s="95">
        <f t="array" ref="AC81">_xlfn.LET(
_xlpm.rango, INDIRECT("E!$C$" &amp; $BA$8 &amp; ":$DR$" &amp; $BA$9),
_xlpm.col, AC$72+$D80*10,
INDEX(_xlpm.rango,$BA$4-3,_xlpm.col) +
INDEX(_xlpm.rango,$BA$4-2,_xlpm.col) +
INDEX(_xlpm.rango,$BA$4-1,_xlpm.col) +
INDEX(_xlpm.rango,$BA$4, _xlpm.col)
)</f>
        <v/>
      </c>
      <c r="AD81" s="95">
        <f t="array" ref="AD81">_xlfn.LET(
_xlpm.rango, INDIRECT("E!$C$" &amp; $BA$8 &amp; ":$DR$" &amp; $BA$9),
_xlpm.col, AD$72+$D80*10,
INDEX(_xlpm.rango,$BA$4-3,_xlpm.col) +
INDEX(_xlpm.rango,$BA$4-2,_xlpm.col) +
INDEX(_xlpm.rango,$BA$4-1,_xlpm.col) +
INDEX(_xlpm.rango,$BA$4, _xlpm.col)
)</f>
        <v/>
      </c>
      <c r="AE81" s="95">
        <f t="array" ref="AE81">_xlfn.LET(
_xlpm.rango, INDIRECT("E!$C$" &amp; $BA$8 &amp; ":$DR$" &amp; $BA$9),
_xlpm.col, AE$72+$D80*10,
INDEX(_xlpm.rango,$BA$4-3,_xlpm.col) +
INDEX(_xlpm.rango,$BA$4-2,_xlpm.col) +
INDEX(_xlpm.rango,$BA$4-1,_xlpm.col) +
INDEX(_xlpm.rango,$BA$4, _xlpm.col)
)</f>
        <v/>
      </c>
      <c r="AF81" s="95">
        <f t="array" ref="AF81">_xlfn.LET(
_xlpm.rango, INDIRECT("E!$C$" &amp; $BA$8 &amp; ":$DR$" &amp; $BA$9),
_xlpm.col, AF$72+$D80*10,
INDEX(_xlpm.rango,$BA$4-3,_xlpm.col) +
INDEX(_xlpm.rango,$BA$4-2,_xlpm.col) +
INDEX(_xlpm.rango,$BA$4-1,_xlpm.col) +
INDEX(_xlpm.rango,$BA$4, _xlpm.col)
)</f>
        <v/>
      </c>
      <c r="AG81" s="95">
        <f t="array" ref="AG81">_xlfn.LET(
_xlpm.rango, INDIRECT("E!$C$" &amp; $BA$8 &amp; ":$DR$" &amp; $BA$9),
_xlpm.col, AG$72+$D80*10,
INDEX(_xlpm.rango,$BA$4-3,_xlpm.col) +
INDEX(_xlpm.rango,$BA$4-2,_xlpm.col) +
INDEX(_xlpm.rango,$BA$4-1,_xlpm.col) +
INDEX(_xlpm.rango,$BA$4, _xlpm.col)
)</f>
        <v/>
      </c>
      <c r="AH81" s="95">
        <f t="array" ref="AH81">_xlfn.LET(
_xlpm.rango, INDIRECT("E!$C$" &amp; $BA$8 &amp; ":$DR$" &amp; $BA$9),
_xlpm.col, AH$72+$D80*10,
INDEX(_xlpm.rango,$BA$4-3,_xlpm.col) +
INDEX(_xlpm.rango,$BA$4-2,_xlpm.col) +
INDEX(_xlpm.rango,$BA$4-1,_xlpm.col) +
INDEX(_xlpm.rango,$BA$4, _xlpm.col)
)</f>
        <v/>
      </c>
      <c r="AI81" s="96">
        <f t="array" ref="AI81">_xlfn.LET(
_xlpm.rango, INDIRECT("E!$C$" &amp; $BA$8 &amp; ":$DR$" &amp; $BA$9),
_xlpm.col, AI$72+$D80*10,
INDEX(_xlpm.rango,$BA$4-3,_xlpm.col) +
INDEX(_xlpm.rango,$BA$4-2,_xlpm.col) +
INDEX(_xlpm.rango,$BA$4-1,_xlpm.col) +
INDEX(_xlpm.rango,$BA$4, _xlpm.col)
)</f>
        <v/>
      </c>
      <c r="AJ81" s="95">
        <f t="array" ref="AJ81">_xlfn.LET(
_xlpm.rango, INDIRECT("E!$C$" &amp; $BA$8 &amp; ":$DR$" &amp; $BA$9),
_xlpm.col, AJ$72+$D80*10,
INDEX(_xlpm.rango,$BA$4-3,_xlpm.col) +
INDEX(_xlpm.rango,$BA$4-2,_xlpm.col) +
INDEX(_xlpm.rango,$BA$4-1,_xlpm.col) +
INDEX(_xlpm.rango,$BA$4, _xlpm.col)
)</f>
        <v/>
      </c>
      <c r="AK81" s="95">
        <f t="array" ref="AK81">_xlfn.LET(
_xlpm.rango, INDIRECT("E!$C$" &amp; $BA$8 &amp; ":$DR$" &amp; $BA$9),
_xlpm.col, AK$72+$D80*10,
INDEX(_xlpm.rango,$BA$4-3,_xlpm.col) +
INDEX(_xlpm.rango,$BA$4-2,_xlpm.col) +
INDEX(_xlpm.rango,$BA$4-1,_xlpm.col) +
INDEX(_xlpm.rango,$BA$4, _xlpm.col)
)</f>
        <v/>
      </c>
      <c r="AL81" s="95">
        <f t="array" ref="AL81">_xlfn.LET(
_xlpm.rango, INDIRECT("E!$C$" &amp; $BA$8 &amp; ":$DR$" &amp; $BA$9),
_xlpm.col, AL$72+$D80*10,
INDEX(_xlpm.rango,$BA$4-3,_xlpm.col) +
INDEX(_xlpm.rango,$BA$4-2,_xlpm.col) +
INDEX(_xlpm.rango,$BA$4-1,_xlpm.col) +
INDEX(_xlpm.rango,$BA$4, _xlpm.col)
)</f>
        <v/>
      </c>
      <c r="AM81" s="95">
        <f t="array" ref="AM81">_xlfn.LET(
_xlpm.rango, INDIRECT("E!$C$" &amp; $BA$8 &amp; ":$DR$" &amp; $BA$9),
_xlpm.col, AM$72+$D80*10,
INDEX(_xlpm.rango,$BA$4-3,_xlpm.col) +
INDEX(_xlpm.rango,$BA$4-2,_xlpm.col) +
INDEX(_xlpm.rango,$BA$4-1,_xlpm.col) +
INDEX(_xlpm.rango,$BA$4, _xlpm.col)
)</f>
        <v/>
      </c>
      <c r="AN81" s="95">
        <f t="array" ref="AN81">_xlfn.LET(
_xlpm.rango, INDIRECT("E!$C$" &amp; $BA$8 &amp; ":$DR$" &amp; $BA$9),
_xlpm.col, AN$72+$D80*10,
INDEX(_xlpm.rango,$BA$4-3,_xlpm.col) +
INDEX(_xlpm.rango,$BA$4-2,_xlpm.col) +
INDEX(_xlpm.rango,$BA$4-1,_xlpm.col) +
INDEX(_xlpm.rango,$BA$4, _xlpm.col)
)</f>
        <v/>
      </c>
      <c r="AO81" s="95">
        <f t="array" ref="AO81">_xlfn.LET(
_xlpm.rango, INDIRECT("E!$C$" &amp; $BA$8 &amp; ":$DR$" &amp; $BA$9),
_xlpm.col, AO$72+$D80*10,
INDEX(_xlpm.rango,$BA$4-3,_xlpm.col) +
INDEX(_xlpm.rango,$BA$4-2,_xlpm.col) +
INDEX(_xlpm.rango,$BA$4-1,_xlpm.col) +
INDEX(_xlpm.rango,$BA$4, _xlpm.col)
)</f>
        <v/>
      </c>
      <c r="AP81" s="95">
        <f t="array" ref="AP81">_xlfn.LET(
_xlpm.rango, INDIRECT("E!$C$" &amp; $BA$8 &amp; ":$DR$" &amp; $BA$9),
_xlpm.col, AP$72+$D80*10,
INDEX(_xlpm.rango,$BA$4-3,_xlpm.col) +
INDEX(_xlpm.rango,$BA$4-2,_xlpm.col) +
INDEX(_xlpm.rango,$BA$4-1,_xlpm.col) +
INDEX(_xlpm.rango,$BA$4, _xlpm.col)
)</f>
        <v/>
      </c>
      <c r="AQ81" s="95">
        <f t="array" ref="AQ81">_xlfn.LET(
_xlpm.rango, INDIRECT("E!$C$" &amp; $BA$8 &amp; ":$DR$" &amp; $BA$9),
_xlpm.col, AQ$72+$D80*10,
INDEX(_xlpm.rango,$BA$4-3,_xlpm.col) +
INDEX(_xlpm.rango,$BA$4-2,_xlpm.col) +
INDEX(_xlpm.rango,$BA$4-1,_xlpm.col) +
INDEX(_xlpm.rango,$BA$4, _xlpm.col)
)</f>
        <v/>
      </c>
      <c r="AR81" s="95">
        <f t="array" ref="AR81">_xlfn.LET(
_xlpm.rango, INDIRECT("E!$C$" &amp; $BA$8 &amp; ":$DR$" &amp; $BA$9),
_xlpm.col, AR$72+$D80*10,
INDEX(_xlpm.rango,$BA$4-3,_xlpm.col) +
INDEX(_xlpm.rango,$BA$4-2,_xlpm.col) +
INDEX(_xlpm.rango,$BA$4-1,_xlpm.col) +
INDEX(_xlpm.rango,$BA$4, _xlpm.col)
)</f>
        <v/>
      </c>
      <c r="AS81" s="112">
        <f t="array" ref="AS81">_xlfn.LET(
_xlpm.rango, INDIRECT("E!$C$" &amp; $BA$8 &amp; ":$DR$" &amp; $BA$9),
_xlpm.col, AS$72+$D80*10,
INDEX(_xlpm.rango,$BA$4-3,_xlpm.col) +
INDEX(_xlpm.rango,$BA$4-2,_xlpm.col) +
INDEX(_xlpm.rango,$BA$4-1,_xlpm.col) +
INDEX(_xlpm.rango,$BA$4, _xlpm.col)
)</f>
        <v/>
      </c>
      <c r="AT81" s="118">
        <f>SUM(F81:AS81)</f>
        <v/>
      </c>
      <c r="AU81" s="120">
        <f>AT81/$AT$88</f>
        <v/>
      </c>
    </row>
    <row r="82">
      <c r="D82" t="n">
        <v>7</v>
      </c>
      <c r="E82" s="106">
        <f>Inicio!V10</f>
        <v/>
      </c>
      <c r="F82" s="100">
        <f t="array" ref="F82">_xlfn.LET(
_xlpm.rango, INDIRECT("N!$C$" &amp; $BA$8 &amp; ":$DR$" &amp; $BA$9),
_xlpm.col, F$72+$D81*10,
INDEX(_xlpm.rango,$BA$4-3,_xlpm.col) +
INDEX(_xlpm.rango,$BA$4-2,_xlpm.col) +
INDEX(_xlpm.rango,$BA$4-1,_xlpm.col) +
INDEX(_xlpm.rango,$BA$4, _xlpm.col)
)</f>
        <v/>
      </c>
      <c r="G82" s="95">
        <f t="array" ref="G82">_xlfn.LET(
_xlpm.rango, INDIRECT("N!$C$" &amp; $BA$8 &amp; ":$DR$" &amp; $BA$9),
_xlpm.col, G$72+$D81*10,
INDEX(_xlpm.rango,$BA$4-3,_xlpm.col) +
INDEX(_xlpm.rango,$BA$4-2,_xlpm.col) +
INDEX(_xlpm.rango,$BA$4-1,_xlpm.col) +
INDEX(_xlpm.rango,$BA$4, _xlpm.col)
)</f>
        <v/>
      </c>
      <c r="H82" s="95">
        <f t="array" ref="H82">_xlfn.LET(
_xlpm.rango, INDIRECT("N!$C$" &amp; $BA$8 &amp; ":$DR$" &amp; $BA$9),
_xlpm.col, H$72+$D81*10,
INDEX(_xlpm.rango,$BA$4-3,_xlpm.col) +
INDEX(_xlpm.rango,$BA$4-2,_xlpm.col) +
INDEX(_xlpm.rango,$BA$4-1,_xlpm.col) +
INDEX(_xlpm.rango,$BA$4, _xlpm.col)
)</f>
        <v/>
      </c>
      <c r="I82" s="95">
        <f t="array" ref="I82">_xlfn.LET(
_xlpm.rango, INDIRECT("N!$C$" &amp; $BA$8 &amp; ":$DR$" &amp; $BA$9),
_xlpm.col, I$72+$D81*10,
INDEX(_xlpm.rango,$BA$4-3,_xlpm.col) +
INDEX(_xlpm.rango,$BA$4-2,_xlpm.col) +
INDEX(_xlpm.rango,$BA$4-1,_xlpm.col) +
INDEX(_xlpm.rango,$BA$4, _xlpm.col)
)</f>
        <v/>
      </c>
      <c r="J82" s="95">
        <f t="array" ref="J82">_xlfn.LET(
_xlpm.rango, INDIRECT("N!$C$" &amp; $BA$8 &amp; ":$DR$" &amp; $BA$9),
_xlpm.col, J$72+$D81*10,
INDEX(_xlpm.rango,$BA$4-3,_xlpm.col) +
INDEX(_xlpm.rango,$BA$4-2,_xlpm.col) +
INDEX(_xlpm.rango,$BA$4-1,_xlpm.col) +
INDEX(_xlpm.rango,$BA$4, _xlpm.col)
)</f>
        <v/>
      </c>
      <c r="K82" s="95">
        <f t="array" ref="K82">_xlfn.LET(
_xlpm.rango, INDIRECT("N!$C$" &amp; $BA$8 &amp; ":$DR$" &amp; $BA$9),
_xlpm.col, K$72+$D81*10,
INDEX(_xlpm.rango,$BA$4-3,_xlpm.col) +
INDEX(_xlpm.rango,$BA$4-2,_xlpm.col) +
INDEX(_xlpm.rango,$BA$4-1,_xlpm.col) +
INDEX(_xlpm.rango,$BA$4, _xlpm.col)
)</f>
        <v/>
      </c>
      <c r="L82" s="95">
        <f t="array" ref="L82">_xlfn.LET(
_xlpm.rango, INDIRECT("N!$C$" &amp; $BA$8 &amp; ":$DR$" &amp; $BA$9),
_xlpm.col, L$72+$D81*10,
INDEX(_xlpm.rango,$BA$4-3,_xlpm.col) +
INDEX(_xlpm.rango,$BA$4-2,_xlpm.col) +
INDEX(_xlpm.rango,$BA$4-1,_xlpm.col) +
INDEX(_xlpm.rango,$BA$4, _xlpm.col)
)</f>
        <v/>
      </c>
      <c r="M82" s="95">
        <f t="array" ref="M82">_xlfn.LET(
_xlpm.rango, INDIRECT("N!$C$" &amp; $BA$8 &amp; ":$DR$" &amp; $BA$9),
_xlpm.col, M$72+$D81*10,
INDEX(_xlpm.rango,$BA$4-3,_xlpm.col) +
INDEX(_xlpm.rango,$BA$4-2,_xlpm.col) +
INDEX(_xlpm.rango,$BA$4-1,_xlpm.col) +
INDEX(_xlpm.rango,$BA$4, _xlpm.col)
)</f>
        <v/>
      </c>
      <c r="N82" s="95">
        <f t="array" ref="N82">_xlfn.LET(
_xlpm.rango, INDIRECT("N!$C$" &amp; $BA$8 &amp; ":$DR$" &amp; $BA$9),
_xlpm.col, N$72+$D81*10,
INDEX(_xlpm.rango,$BA$4-3,_xlpm.col) +
INDEX(_xlpm.rango,$BA$4-2,_xlpm.col) +
INDEX(_xlpm.rango,$BA$4-1,_xlpm.col) +
INDEX(_xlpm.rango,$BA$4, _xlpm.col)
)</f>
        <v/>
      </c>
      <c r="O82" s="96">
        <f t="array" ref="O82">_xlfn.LET(
_xlpm.rango, INDIRECT("N!$C$" &amp; $BA$8 &amp; ":$DR$" &amp; $BA$9),
_xlpm.col, O$72+$D81*10,
INDEX(_xlpm.rango,$BA$4-3,_xlpm.col) +
INDEX(_xlpm.rango,$BA$4-2,_xlpm.col) +
INDEX(_xlpm.rango,$BA$4-1,_xlpm.col) +
INDEX(_xlpm.rango,$BA$4, _xlpm.col)
)</f>
        <v/>
      </c>
      <c r="P82" s="95">
        <f t="array" ref="P82">_xlfn.LET(
_xlpm.rango, INDIRECT("S!$C$" &amp; $BA$8 &amp; ":$DR$" &amp; $BA$9),
_xlpm.col, P$72+$D81*10,
INDEX(_xlpm.rango,$BA$4-3,_xlpm.col) +
INDEX(_xlpm.rango,$BA$4-2,_xlpm.col) +
INDEX(_xlpm.rango,$BA$4-1,_xlpm.col) +
INDEX(_xlpm.rango,$BA$4, _xlpm.col)
)</f>
        <v/>
      </c>
      <c r="Q82" s="95">
        <f t="array" ref="Q82">_xlfn.LET(
_xlpm.rango, INDIRECT("S!$C$" &amp; $BA$8 &amp; ":$DR$" &amp; $BA$9),
_xlpm.col, Q$72+$D81*10,
INDEX(_xlpm.rango,$BA$4-3,_xlpm.col) +
INDEX(_xlpm.rango,$BA$4-2,_xlpm.col) +
INDEX(_xlpm.rango,$BA$4-1,_xlpm.col) +
INDEX(_xlpm.rango,$BA$4, _xlpm.col)
)</f>
        <v/>
      </c>
      <c r="R82" s="95">
        <f t="array" ref="R82">_xlfn.LET(
_xlpm.rango, INDIRECT("S!$C$" &amp; $BA$8 &amp; ":$DR$" &amp; $BA$9),
_xlpm.col, R$72+$D81*10,
INDEX(_xlpm.rango,$BA$4-3,_xlpm.col) +
INDEX(_xlpm.rango,$BA$4-2,_xlpm.col) +
INDEX(_xlpm.rango,$BA$4-1,_xlpm.col) +
INDEX(_xlpm.rango,$BA$4, _xlpm.col)
)</f>
        <v/>
      </c>
      <c r="S82" s="95">
        <f t="array" ref="S82">_xlfn.LET(
_xlpm.rango, INDIRECT("S!$C$" &amp; $BA$8 &amp; ":$DR$" &amp; $BA$9),
_xlpm.col, S$72+$D81*10,
INDEX(_xlpm.rango,$BA$4-3,_xlpm.col) +
INDEX(_xlpm.rango,$BA$4-2,_xlpm.col) +
INDEX(_xlpm.rango,$BA$4-1,_xlpm.col) +
INDEX(_xlpm.rango,$BA$4, _xlpm.col)
)</f>
        <v/>
      </c>
      <c r="T82" s="95">
        <f t="array" ref="T82">_xlfn.LET(
_xlpm.rango, INDIRECT("S!$C$" &amp; $BA$8 &amp; ":$DR$" &amp; $BA$9),
_xlpm.col, T$72+$D81*10,
INDEX(_xlpm.rango,$BA$4-3,_xlpm.col) +
INDEX(_xlpm.rango,$BA$4-2,_xlpm.col) +
INDEX(_xlpm.rango,$BA$4-1,_xlpm.col) +
INDEX(_xlpm.rango,$BA$4, _xlpm.col)
)</f>
        <v/>
      </c>
      <c r="U82" s="95">
        <f t="array" ref="U82">_xlfn.LET(
_xlpm.rango, INDIRECT("S!$C$" &amp; $BA$8 &amp; ":$DR$" &amp; $BA$9),
_xlpm.col, U$72+$D81*10,
INDEX(_xlpm.rango,$BA$4-3,_xlpm.col) +
INDEX(_xlpm.rango,$BA$4-2,_xlpm.col) +
INDEX(_xlpm.rango,$BA$4-1,_xlpm.col) +
INDEX(_xlpm.rango,$BA$4, _xlpm.col)
)</f>
        <v/>
      </c>
      <c r="V82" s="95">
        <f t="array" ref="V82">_xlfn.LET(
_xlpm.rango, INDIRECT("S!$C$" &amp; $BA$8 &amp; ":$DR$" &amp; $BA$9),
_xlpm.col, V$72+$D81*10,
INDEX(_xlpm.rango,$BA$4-3,_xlpm.col) +
INDEX(_xlpm.rango,$BA$4-2,_xlpm.col) +
INDEX(_xlpm.rango,$BA$4-1,_xlpm.col) +
INDEX(_xlpm.rango,$BA$4, _xlpm.col)
)</f>
        <v/>
      </c>
      <c r="W82" s="95">
        <f t="array" ref="W82">_xlfn.LET(
_xlpm.rango, INDIRECT("S!$C$" &amp; $BA$8 &amp; ":$DR$" &amp; $BA$9),
_xlpm.col, W$72+$D81*10,
INDEX(_xlpm.rango,$BA$4-3,_xlpm.col) +
INDEX(_xlpm.rango,$BA$4-2,_xlpm.col) +
INDEX(_xlpm.rango,$BA$4-1,_xlpm.col) +
INDEX(_xlpm.rango,$BA$4, _xlpm.col)
)</f>
        <v/>
      </c>
      <c r="X82" s="95">
        <f t="array" ref="X82">_xlfn.LET(
_xlpm.rango, INDIRECT("S!$C$" &amp; $BA$8 &amp; ":$DR$" &amp; $BA$9),
_xlpm.col, X$72+$D81*10,
INDEX(_xlpm.rango,$BA$4-3,_xlpm.col) +
INDEX(_xlpm.rango,$BA$4-2,_xlpm.col) +
INDEX(_xlpm.rango,$BA$4-1,_xlpm.col) +
INDEX(_xlpm.rango,$BA$4, _xlpm.col)
)</f>
        <v/>
      </c>
      <c r="Y82" s="95">
        <f t="array" ref="Y82">_xlfn.LET(
_xlpm.rango, INDIRECT("S!$C$" &amp; $BA$8 &amp; ":$DR$" &amp; $BA$9),
_xlpm.col, Y$72+$D81*10,
INDEX(_xlpm.rango,$BA$4-3,_xlpm.col) +
INDEX(_xlpm.rango,$BA$4-2,_xlpm.col) +
INDEX(_xlpm.rango,$BA$4-1,_xlpm.col) +
INDEX(_xlpm.rango,$BA$4, _xlpm.col)
)</f>
        <v/>
      </c>
      <c r="Z82" s="100">
        <f t="array" ref="Z82">_xlfn.LET(
_xlpm.rango, INDIRECT("E!$C$" &amp; $BA$8 &amp; ":$DR$" &amp; $BA$9),
_xlpm.col, Z$72+$D81*10,
INDEX(_xlpm.rango,$BA$4-3,_xlpm.col) +
INDEX(_xlpm.rango,$BA$4-2,_xlpm.col) +
INDEX(_xlpm.rango,$BA$4-1,_xlpm.col) +
INDEX(_xlpm.rango,$BA$4, _xlpm.col)
)</f>
        <v/>
      </c>
      <c r="AA82" s="95">
        <f t="array" ref="AA82">_xlfn.LET(
_xlpm.rango, INDIRECT("E!$C$" &amp; $BA$8 &amp; ":$DR$" &amp; $BA$9),
_xlpm.col, AA$72+$D81*10,
INDEX(_xlpm.rango,$BA$4-3,_xlpm.col) +
INDEX(_xlpm.rango,$BA$4-2,_xlpm.col) +
INDEX(_xlpm.rango,$BA$4-1,_xlpm.col) +
INDEX(_xlpm.rango,$BA$4, _xlpm.col)
)</f>
        <v/>
      </c>
      <c r="AB82" s="95">
        <f t="array" ref="AB82">_xlfn.LET(
_xlpm.rango, INDIRECT("E!$C$" &amp; $BA$8 &amp; ":$DR$" &amp; $BA$9),
_xlpm.col, AB$72+$D81*10,
INDEX(_xlpm.rango,$BA$4-3,_xlpm.col) +
INDEX(_xlpm.rango,$BA$4-2,_xlpm.col) +
INDEX(_xlpm.rango,$BA$4-1,_xlpm.col) +
INDEX(_xlpm.rango,$BA$4, _xlpm.col)
)</f>
        <v/>
      </c>
      <c r="AC82" s="95">
        <f t="array" ref="AC82">_xlfn.LET(
_xlpm.rango, INDIRECT("E!$C$" &amp; $BA$8 &amp; ":$DR$" &amp; $BA$9),
_xlpm.col, AC$72+$D81*10,
INDEX(_xlpm.rango,$BA$4-3,_xlpm.col) +
INDEX(_xlpm.rango,$BA$4-2,_xlpm.col) +
INDEX(_xlpm.rango,$BA$4-1,_xlpm.col) +
INDEX(_xlpm.rango,$BA$4, _xlpm.col)
)</f>
        <v/>
      </c>
      <c r="AD82" s="95">
        <f t="array" ref="AD82">_xlfn.LET(
_xlpm.rango, INDIRECT("E!$C$" &amp; $BA$8 &amp; ":$DR$" &amp; $BA$9),
_xlpm.col, AD$72+$D81*10,
INDEX(_xlpm.rango,$BA$4-3,_xlpm.col) +
INDEX(_xlpm.rango,$BA$4-2,_xlpm.col) +
INDEX(_xlpm.rango,$BA$4-1,_xlpm.col) +
INDEX(_xlpm.rango,$BA$4, _xlpm.col)
)</f>
        <v/>
      </c>
      <c r="AE82" s="95">
        <f t="array" ref="AE82">_xlfn.LET(
_xlpm.rango, INDIRECT("E!$C$" &amp; $BA$8 &amp; ":$DR$" &amp; $BA$9),
_xlpm.col, AE$72+$D81*10,
INDEX(_xlpm.rango,$BA$4-3,_xlpm.col) +
INDEX(_xlpm.rango,$BA$4-2,_xlpm.col) +
INDEX(_xlpm.rango,$BA$4-1,_xlpm.col) +
INDEX(_xlpm.rango,$BA$4, _xlpm.col)
)</f>
        <v/>
      </c>
      <c r="AF82" s="95">
        <f t="array" ref="AF82">_xlfn.LET(
_xlpm.rango, INDIRECT("E!$C$" &amp; $BA$8 &amp; ":$DR$" &amp; $BA$9),
_xlpm.col, AF$72+$D81*10,
INDEX(_xlpm.rango,$BA$4-3,_xlpm.col) +
INDEX(_xlpm.rango,$BA$4-2,_xlpm.col) +
INDEX(_xlpm.rango,$BA$4-1,_xlpm.col) +
INDEX(_xlpm.rango,$BA$4, _xlpm.col)
)</f>
        <v/>
      </c>
      <c r="AG82" s="95">
        <f t="array" ref="AG82">_xlfn.LET(
_xlpm.rango, INDIRECT("E!$C$" &amp; $BA$8 &amp; ":$DR$" &amp; $BA$9),
_xlpm.col, AG$72+$D81*10,
INDEX(_xlpm.rango,$BA$4-3,_xlpm.col) +
INDEX(_xlpm.rango,$BA$4-2,_xlpm.col) +
INDEX(_xlpm.rango,$BA$4-1,_xlpm.col) +
INDEX(_xlpm.rango,$BA$4, _xlpm.col)
)</f>
        <v/>
      </c>
      <c r="AH82" s="95">
        <f t="array" ref="AH82">_xlfn.LET(
_xlpm.rango, INDIRECT("E!$C$" &amp; $BA$8 &amp; ":$DR$" &amp; $BA$9),
_xlpm.col, AH$72+$D81*10,
INDEX(_xlpm.rango,$BA$4-3,_xlpm.col) +
INDEX(_xlpm.rango,$BA$4-2,_xlpm.col) +
INDEX(_xlpm.rango,$BA$4-1,_xlpm.col) +
INDEX(_xlpm.rango,$BA$4, _xlpm.col)
)</f>
        <v/>
      </c>
      <c r="AI82" s="96">
        <f t="array" ref="AI82">_xlfn.LET(
_xlpm.rango, INDIRECT("E!$C$" &amp; $BA$8 &amp; ":$DR$" &amp; $BA$9),
_xlpm.col, AI$72+$D81*10,
INDEX(_xlpm.rango,$BA$4-3,_xlpm.col) +
INDEX(_xlpm.rango,$BA$4-2,_xlpm.col) +
INDEX(_xlpm.rango,$BA$4-1,_xlpm.col) +
INDEX(_xlpm.rango,$BA$4, _xlpm.col)
)</f>
        <v/>
      </c>
      <c r="AJ82" s="95">
        <f t="array" ref="AJ82">_xlfn.LET(
_xlpm.rango, INDIRECT("E!$C$" &amp; $BA$8 &amp; ":$DR$" &amp; $BA$9),
_xlpm.col, AJ$72+$D81*10,
INDEX(_xlpm.rango,$BA$4-3,_xlpm.col) +
INDEX(_xlpm.rango,$BA$4-2,_xlpm.col) +
INDEX(_xlpm.rango,$BA$4-1,_xlpm.col) +
INDEX(_xlpm.rango,$BA$4, _xlpm.col)
)</f>
        <v/>
      </c>
      <c r="AK82" s="95">
        <f t="array" ref="AK82">_xlfn.LET(
_xlpm.rango, INDIRECT("E!$C$" &amp; $BA$8 &amp; ":$DR$" &amp; $BA$9),
_xlpm.col, AK$72+$D81*10,
INDEX(_xlpm.rango,$BA$4-3,_xlpm.col) +
INDEX(_xlpm.rango,$BA$4-2,_xlpm.col) +
INDEX(_xlpm.rango,$BA$4-1,_xlpm.col) +
INDEX(_xlpm.rango,$BA$4, _xlpm.col)
)</f>
        <v/>
      </c>
      <c r="AL82" s="95">
        <f t="array" ref="AL82">_xlfn.LET(
_xlpm.rango, INDIRECT("E!$C$" &amp; $BA$8 &amp; ":$DR$" &amp; $BA$9),
_xlpm.col, AL$72+$D81*10,
INDEX(_xlpm.rango,$BA$4-3,_xlpm.col) +
INDEX(_xlpm.rango,$BA$4-2,_xlpm.col) +
INDEX(_xlpm.rango,$BA$4-1,_xlpm.col) +
INDEX(_xlpm.rango,$BA$4, _xlpm.col)
)</f>
        <v/>
      </c>
      <c r="AM82" s="95">
        <f t="array" ref="AM82">_xlfn.LET(
_xlpm.rango, INDIRECT("E!$C$" &amp; $BA$8 &amp; ":$DR$" &amp; $BA$9),
_xlpm.col, AM$72+$D81*10,
INDEX(_xlpm.rango,$BA$4-3,_xlpm.col) +
INDEX(_xlpm.rango,$BA$4-2,_xlpm.col) +
INDEX(_xlpm.rango,$BA$4-1,_xlpm.col) +
INDEX(_xlpm.rango,$BA$4, _xlpm.col)
)</f>
        <v/>
      </c>
      <c r="AN82" s="95">
        <f t="array" ref="AN82">_xlfn.LET(
_xlpm.rango, INDIRECT("E!$C$" &amp; $BA$8 &amp; ":$DR$" &amp; $BA$9),
_xlpm.col, AN$72+$D81*10,
INDEX(_xlpm.rango,$BA$4-3,_xlpm.col) +
INDEX(_xlpm.rango,$BA$4-2,_xlpm.col) +
INDEX(_xlpm.rango,$BA$4-1,_xlpm.col) +
INDEX(_xlpm.rango,$BA$4, _xlpm.col)
)</f>
        <v/>
      </c>
      <c r="AO82" s="95">
        <f t="array" ref="AO82">_xlfn.LET(
_xlpm.rango, INDIRECT("E!$C$" &amp; $BA$8 &amp; ":$DR$" &amp; $BA$9),
_xlpm.col, AO$72+$D81*10,
INDEX(_xlpm.rango,$BA$4-3,_xlpm.col) +
INDEX(_xlpm.rango,$BA$4-2,_xlpm.col) +
INDEX(_xlpm.rango,$BA$4-1,_xlpm.col) +
INDEX(_xlpm.rango,$BA$4, _xlpm.col)
)</f>
        <v/>
      </c>
      <c r="AP82" s="95">
        <f t="array" ref="AP82">_xlfn.LET(
_xlpm.rango, INDIRECT("E!$C$" &amp; $BA$8 &amp; ":$DR$" &amp; $BA$9),
_xlpm.col, AP$72+$D81*10,
INDEX(_xlpm.rango,$BA$4-3,_xlpm.col) +
INDEX(_xlpm.rango,$BA$4-2,_xlpm.col) +
INDEX(_xlpm.rango,$BA$4-1,_xlpm.col) +
INDEX(_xlpm.rango,$BA$4, _xlpm.col)
)</f>
        <v/>
      </c>
      <c r="AQ82" s="95">
        <f t="array" ref="AQ82">_xlfn.LET(
_xlpm.rango, INDIRECT("E!$C$" &amp; $BA$8 &amp; ":$DR$" &amp; $BA$9),
_xlpm.col, AQ$72+$D81*10,
INDEX(_xlpm.rango,$BA$4-3,_xlpm.col) +
INDEX(_xlpm.rango,$BA$4-2,_xlpm.col) +
INDEX(_xlpm.rango,$BA$4-1,_xlpm.col) +
INDEX(_xlpm.rango,$BA$4, _xlpm.col)
)</f>
        <v/>
      </c>
      <c r="AR82" s="95">
        <f t="array" ref="AR82">_xlfn.LET(
_xlpm.rango, INDIRECT("E!$C$" &amp; $BA$8 &amp; ":$DR$" &amp; $BA$9),
_xlpm.col, AR$72+$D81*10,
INDEX(_xlpm.rango,$BA$4-3,_xlpm.col) +
INDEX(_xlpm.rango,$BA$4-2,_xlpm.col) +
INDEX(_xlpm.rango,$BA$4-1,_xlpm.col) +
INDEX(_xlpm.rango,$BA$4, _xlpm.col)
)</f>
        <v/>
      </c>
      <c r="AS82" s="112">
        <f t="array" ref="AS82">_xlfn.LET(
_xlpm.rango, INDIRECT("E!$C$" &amp; $BA$8 &amp; ":$DR$" &amp; $BA$9),
_xlpm.col, AS$72+$D81*10,
INDEX(_xlpm.rango,$BA$4-3,_xlpm.col) +
INDEX(_xlpm.rango,$BA$4-2,_xlpm.col) +
INDEX(_xlpm.rango,$BA$4-1,_xlpm.col) +
INDEX(_xlpm.rango,$BA$4, _xlpm.col)
)</f>
        <v/>
      </c>
      <c r="AT82" s="118">
        <f>SUM(F82:AS82)</f>
        <v/>
      </c>
      <c r="AU82" s="120">
        <f>AT82/$AT$88</f>
        <v/>
      </c>
    </row>
    <row r="83">
      <c r="D83" t="n">
        <v>8</v>
      </c>
      <c r="E83" s="106">
        <f>Inicio!V11</f>
        <v/>
      </c>
      <c r="F83" s="100">
        <f t="array" ref="F83">_xlfn.LET(
_xlpm.rango, INDIRECT("N!$C$" &amp; $BA$8 &amp; ":$DR$" &amp; $BA$9),
_xlpm.col, F$72+$D82*10,
INDEX(_xlpm.rango,$BA$4-3,_xlpm.col) +
INDEX(_xlpm.rango,$BA$4-2,_xlpm.col) +
INDEX(_xlpm.rango,$BA$4-1,_xlpm.col) +
INDEX(_xlpm.rango,$BA$4, _xlpm.col)
)</f>
        <v/>
      </c>
      <c r="G83" s="95">
        <f t="array" ref="G83">_xlfn.LET(
_xlpm.rango, INDIRECT("N!$C$" &amp; $BA$8 &amp; ":$DR$" &amp; $BA$9),
_xlpm.col, G$72+$D82*10,
INDEX(_xlpm.rango,$BA$4-3,_xlpm.col) +
INDEX(_xlpm.rango,$BA$4-2,_xlpm.col) +
INDEX(_xlpm.rango,$BA$4-1,_xlpm.col) +
INDEX(_xlpm.rango,$BA$4, _xlpm.col)
)</f>
        <v/>
      </c>
      <c r="H83" s="95">
        <f t="array" ref="H83">_xlfn.LET(
_xlpm.rango, INDIRECT("N!$C$" &amp; $BA$8 &amp; ":$DR$" &amp; $BA$9),
_xlpm.col, H$72+$D82*10,
INDEX(_xlpm.rango,$BA$4-3,_xlpm.col) +
INDEX(_xlpm.rango,$BA$4-2,_xlpm.col) +
INDEX(_xlpm.rango,$BA$4-1,_xlpm.col) +
INDEX(_xlpm.rango,$BA$4, _xlpm.col)
)</f>
        <v/>
      </c>
      <c r="I83" s="95">
        <f t="array" ref="I83">_xlfn.LET(
_xlpm.rango, INDIRECT("N!$C$" &amp; $BA$8 &amp; ":$DR$" &amp; $BA$9),
_xlpm.col, I$72+$D82*10,
INDEX(_xlpm.rango,$BA$4-3,_xlpm.col) +
INDEX(_xlpm.rango,$BA$4-2,_xlpm.col) +
INDEX(_xlpm.rango,$BA$4-1,_xlpm.col) +
INDEX(_xlpm.rango,$BA$4, _xlpm.col)
)</f>
        <v/>
      </c>
      <c r="J83" s="95">
        <f t="array" ref="J83">_xlfn.LET(
_xlpm.rango, INDIRECT("N!$C$" &amp; $BA$8 &amp; ":$DR$" &amp; $BA$9),
_xlpm.col, J$72+$D82*10,
INDEX(_xlpm.rango,$BA$4-3,_xlpm.col) +
INDEX(_xlpm.rango,$BA$4-2,_xlpm.col) +
INDEX(_xlpm.rango,$BA$4-1,_xlpm.col) +
INDEX(_xlpm.rango,$BA$4, _xlpm.col)
)</f>
        <v/>
      </c>
      <c r="K83" s="95">
        <f t="array" ref="K83">_xlfn.LET(
_xlpm.rango, INDIRECT("N!$C$" &amp; $BA$8 &amp; ":$DR$" &amp; $BA$9),
_xlpm.col, K$72+$D82*10,
INDEX(_xlpm.rango,$BA$4-3,_xlpm.col) +
INDEX(_xlpm.rango,$BA$4-2,_xlpm.col) +
INDEX(_xlpm.rango,$BA$4-1,_xlpm.col) +
INDEX(_xlpm.rango,$BA$4, _xlpm.col)
)</f>
        <v/>
      </c>
      <c r="L83" s="95">
        <f t="array" ref="L83">_xlfn.LET(
_xlpm.rango, INDIRECT("N!$C$" &amp; $BA$8 &amp; ":$DR$" &amp; $BA$9),
_xlpm.col, L$72+$D82*10,
INDEX(_xlpm.rango,$BA$4-3,_xlpm.col) +
INDEX(_xlpm.rango,$BA$4-2,_xlpm.col) +
INDEX(_xlpm.rango,$BA$4-1,_xlpm.col) +
INDEX(_xlpm.rango,$BA$4, _xlpm.col)
)</f>
        <v/>
      </c>
      <c r="M83" s="95">
        <f t="array" ref="M83">_xlfn.LET(
_xlpm.rango, INDIRECT("N!$C$" &amp; $BA$8 &amp; ":$DR$" &amp; $BA$9),
_xlpm.col, M$72+$D82*10,
INDEX(_xlpm.rango,$BA$4-3,_xlpm.col) +
INDEX(_xlpm.rango,$BA$4-2,_xlpm.col) +
INDEX(_xlpm.rango,$BA$4-1,_xlpm.col) +
INDEX(_xlpm.rango,$BA$4, _xlpm.col)
)</f>
        <v/>
      </c>
      <c r="N83" s="95">
        <f t="array" ref="N83">_xlfn.LET(
_xlpm.rango, INDIRECT("N!$C$" &amp; $BA$8 &amp; ":$DR$" &amp; $BA$9),
_xlpm.col, N$72+$D82*10,
INDEX(_xlpm.rango,$BA$4-3,_xlpm.col) +
INDEX(_xlpm.rango,$BA$4-2,_xlpm.col) +
INDEX(_xlpm.rango,$BA$4-1,_xlpm.col) +
INDEX(_xlpm.rango,$BA$4, _xlpm.col)
)</f>
        <v/>
      </c>
      <c r="O83" s="96">
        <f t="array" ref="O83">_xlfn.LET(
_xlpm.rango, INDIRECT("N!$C$" &amp; $BA$8 &amp; ":$DR$" &amp; $BA$9),
_xlpm.col, O$72+$D82*10,
INDEX(_xlpm.rango,$BA$4-3,_xlpm.col) +
INDEX(_xlpm.rango,$BA$4-2,_xlpm.col) +
INDEX(_xlpm.rango,$BA$4-1,_xlpm.col) +
INDEX(_xlpm.rango,$BA$4, _xlpm.col)
)</f>
        <v/>
      </c>
      <c r="P83" s="95">
        <f t="array" ref="P83">_xlfn.LET(
_xlpm.rango, INDIRECT("S!$C$" &amp; $BA$8 &amp; ":$DR$" &amp; $BA$9),
_xlpm.col, P$72+$D82*10,
INDEX(_xlpm.rango,$BA$4-3,_xlpm.col) +
INDEX(_xlpm.rango,$BA$4-2,_xlpm.col) +
INDEX(_xlpm.rango,$BA$4-1,_xlpm.col) +
INDEX(_xlpm.rango,$BA$4, _xlpm.col)
)</f>
        <v/>
      </c>
      <c r="Q83" s="95">
        <f t="array" ref="Q83">_xlfn.LET(
_xlpm.rango, INDIRECT("S!$C$" &amp; $BA$8 &amp; ":$DR$" &amp; $BA$9),
_xlpm.col, Q$72+$D82*10,
INDEX(_xlpm.rango,$BA$4-3,_xlpm.col) +
INDEX(_xlpm.rango,$BA$4-2,_xlpm.col) +
INDEX(_xlpm.rango,$BA$4-1,_xlpm.col) +
INDEX(_xlpm.rango,$BA$4, _xlpm.col)
)</f>
        <v/>
      </c>
      <c r="R83" s="95">
        <f t="array" ref="R83">_xlfn.LET(
_xlpm.rango, INDIRECT("S!$C$" &amp; $BA$8 &amp; ":$DR$" &amp; $BA$9),
_xlpm.col, R$72+$D82*10,
INDEX(_xlpm.rango,$BA$4-3,_xlpm.col) +
INDEX(_xlpm.rango,$BA$4-2,_xlpm.col) +
INDEX(_xlpm.rango,$BA$4-1,_xlpm.col) +
INDEX(_xlpm.rango,$BA$4, _xlpm.col)
)</f>
        <v/>
      </c>
      <c r="S83" s="95">
        <f t="array" ref="S83">_xlfn.LET(
_xlpm.rango, INDIRECT("S!$C$" &amp; $BA$8 &amp; ":$DR$" &amp; $BA$9),
_xlpm.col, S$72+$D82*10,
INDEX(_xlpm.rango,$BA$4-3,_xlpm.col) +
INDEX(_xlpm.rango,$BA$4-2,_xlpm.col) +
INDEX(_xlpm.rango,$BA$4-1,_xlpm.col) +
INDEX(_xlpm.rango,$BA$4, _xlpm.col)
)</f>
        <v/>
      </c>
      <c r="T83" s="95">
        <f t="array" ref="T83">_xlfn.LET(
_xlpm.rango, INDIRECT("S!$C$" &amp; $BA$8 &amp; ":$DR$" &amp; $BA$9),
_xlpm.col, T$72+$D82*10,
INDEX(_xlpm.rango,$BA$4-3,_xlpm.col) +
INDEX(_xlpm.rango,$BA$4-2,_xlpm.col) +
INDEX(_xlpm.rango,$BA$4-1,_xlpm.col) +
INDEX(_xlpm.rango,$BA$4, _xlpm.col)
)</f>
        <v/>
      </c>
      <c r="U83" s="95">
        <f t="array" ref="U83">_xlfn.LET(
_xlpm.rango, INDIRECT("S!$C$" &amp; $BA$8 &amp; ":$DR$" &amp; $BA$9),
_xlpm.col, U$72+$D82*10,
INDEX(_xlpm.rango,$BA$4-3,_xlpm.col) +
INDEX(_xlpm.rango,$BA$4-2,_xlpm.col) +
INDEX(_xlpm.rango,$BA$4-1,_xlpm.col) +
INDEX(_xlpm.rango,$BA$4, _xlpm.col)
)</f>
        <v/>
      </c>
      <c r="V83" s="95">
        <f t="array" ref="V83">_xlfn.LET(
_xlpm.rango, INDIRECT("S!$C$" &amp; $BA$8 &amp; ":$DR$" &amp; $BA$9),
_xlpm.col, V$72+$D82*10,
INDEX(_xlpm.rango,$BA$4-3,_xlpm.col) +
INDEX(_xlpm.rango,$BA$4-2,_xlpm.col) +
INDEX(_xlpm.rango,$BA$4-1,_xlpm.col) +
INDEX(_xlpm.rango,$BA$4, _xlpm.col)
)</f>
        <v/>
      </c>
      <c r="W83" s="95">
        <f t="array" ref="W83">_xlfn.LET(
_xlpm.rango, INDIRECT("S!$C$" &amp; $BA$8 &amp; ":$DR$" &amp; $BA$9),
_xlpm.col, W$72+$D82*10,
INDEX(_xlpm.rango,$BA$4-3,_xlpm.col) +
INDEX(_xlpm.rango,$BA$4-2,_xlpm.col) +
INDEX(_xlpm.rango,$BA$4-1,_xlpm.col) +
INDEX(_xlpm.rango,$BA$4, _xlpm.col)
)</f>
        <v/>
      </c>
      <c r="X83" s="95">
        <f t="array" ref="X83">_xlfn.LET(
_xlpm.rango, INDIRECT("S!$C$" &amp; $BA$8 &amp; ":$DR$" &amp; $BA$9),
_xlpm.col, X$72+$D82*10,
INDEX(_xlpm.rango,$BA$4-3,_xlpm.col) +
INDEX(_xlpm.rango,$BA$4-2,_xlpm.col) +
INDEX(_xlpm.rango,$BA$4-1,_xlpm.col) +
INDEX(_xlpm.rango,$BA$4, _xlpm.col)
)</f>
        <v/>
      </c>
      <c r="Y83" s="95">
        <f t="array" ref="Y83">_xlfn.LET(
_xlpm.rango, INDIRECT("S!$C$" &amp; $BA$8 &amp; ":$DR$" &amp; $BA$9),
_xlpm.col, Y$72+$D82*10,
INDEX(_xlpm.rango,$BA$4-3,_xlpm.col) +
INDEX(_xlpm.rango,$BA$4-2,_xlpm.col) +
INDEX(_xlpm.rango,$BA$4-1,_xlpm.col) +
INDEX(_xlpm.rango,$BA$4, _xlpm.col)
)</f>
        <v/>
      </c>
      <c r="Z83" s="100">
        <f t="array" ref="Z83">_xlfn.LET(
_xlpm.rango, INDIRECT("E!$C$" &amp; $BA$8 &amp; ":$DR$" &amp; $BA$9),
_xlpm.col, Z$72+$D82*10,
INDEX(_xlpm.rango,$BA$4-3,_xlpm.col) +
INDEX(_xlpm.rango,$BA$4-2,_xlpm.col) +
INDEX(_xlpm.rango,$BA$4-1,_xlpm.col) +
INDEX(_xlpm.rango,$BA$4, _xlpm.col)
)</f>
        <v/>
      </c>
      <c r="AA83" s="95">
        <f t="array" ref="AA83">_xlfn.LET(
_xlpm.rango, INDIRECT("E!$C$" &amp; $BA$8 &amp; ":$DR$" &amp; $BA$9),
_xlpm.col, AA$72+$D82*10,
INDEX(_xlpm.rango,$BA$4-3,_xlpm.col) +
INDEX(_xlpm.rango,$BA$4-2,_xlpm.col) +
INDEX(_xlpm.rango,$BA$4-1,_xlpm.col) +
INDEX(_xlpm.rango,$BA$4, _xlpm.col)
)</f>
        <v/>
      </c>
      <c r="AB83" s="95">
        <f t="array" ref="AB83">_xlfn.LET(
_xlpm.rango, INDIRECT("E!$C$" &amp; $BA$8 &amp; ":$DR$" &amp; $BA$9),
_xlpm.col, AB$72+$D82*10,
INDEX(_xlpm.rango,$BA$4-3,_xlpm.col) +
INDEX(_xlpm.rango,$BA$4-2,_xlpm.col) +
INDEX(_xlpm.rango,$BA$4-1,_xlpm.col) +
INDEX(_xlpm.rango,$BA$4, _xlpm.col)
)</f>
        <v/>
      </c>
      <c r="AC83" s="95">
        <f t="array" ref="AC83">_xlfn.LET(
_xlpm.rango, INDIRECT("E!$C$" &amp; $BA$8 &amp; ":$DR$" &amp; $BA$9),
_xlpm.col, AC$72+$D82*10,
INDEX(_xlpm.rango,$BA$4-3,_xlpm.col) +
INDEX(_xlpm.rango,$BA$4-2,_xlpm.col) +
INDEX(_xlpm.rango,$BA$4-1,_xlpm.col) +
INDEX(_xlpm.rango,$BA$4, _xlpm.col)
)</f>
        <v/>
      </c>
      <c r="AD83" s="95">
        <f t="array" ref="AD83">_xlfn.LET(
_xlpm.rango, INDIRECT("E!$C$" &amp; $BA$8 &amp; ":$DR$" &amp; $BA$9),
_xlpm.col, AD$72+$D82*10,
INDEX(_xlpm.rango,$BA$4-3,_xlpm.col) +
INDEX(_xlpm.rango,$BA$4-2,_xlpm.col) +
INDEX(_xlpm.rango,$BA$4-1,_xlpm.col) +
INDEX(_xlpm.rango,$BA$4, _xlpm.col)
)</f>
        <v/>
      </c>
      <c r="AE83" s="95">
        <f t="array" ref="AE83">_xlfn.LET(
_xlpm.rango, INDIRECT("E!$C$" &amp; $BA$8 &amp; ":$DR$" &amp; $BA$9),
_xlpm.col, AE$72+$D82*10,
INDEX(_xlpm.rango,$BA$4-3,_xlpm.col) +
INDEX(_xlpm.rango,$BA$4-2,_xlpm.col) +
INDEX(_xlpm.rango,$BA$4-1,_xlpm.col) +
INDEX(_xlpm.rango,$BA$4, _xlpm.col)
)</f>
        <v/>
      </c>
      <c r="AF83" s="95">
        <f t="array" ref="AF83">_xlfn.LET(
_xlpm.rango, INDIRECT("E!$C$" &amp; $BA$8 &amp; ":$DR$" &amp; $BA$9),
_xlpm.col, AF$72+$D82*10,
INDEX(_xlpm.rango,$BA$4-3,_xlpm.col) +
INDEX(_xlpm.rango,$BA$4-2,_xlpm.col) +
INDEX(_xlpm.rango,$BA$4-1,_xlpm.col) +
INDEX(_xlpm.rango,$BA$4, _xlpm.col)
)</f>
        <v/>
      </c>
      <c r="AG83" s="95">
        <f t="array" ref="AG83">_xlfn.LET(
_xlpm.rango, INDIRECT("E!$C$" &amp; $BA$8 &amp; ":$DR$" &amp; $BA$9),
_xlpm.col, AG$72+$D82*10,
INDEX(_xlpm.rango,$BA$4-3,_xlpm.col) +
INDEX(_xlpm.rango,$BA$4-2,_xlpm.col) +
INDEX(_xlpm.rango,$BA$4-1,_xlpm.col) +
INDEX(_xlpm.rango,$BA$4, _xlpm.col)
)</f>
        <v/>
      </c>
      <c r="AH83" s="95">
        <f t="array" ref="AH83">_xlfn.LET(
_xlpm.rango, INDIRECT("E!$C$" &amp; $BA$8 &amp; ":$DR$" &amp; $BA$9),
_xlpm.col, AH$72+$D82*10,
INDEX(_xlpm.rango,$BA$4-3,_xlpm.col) +
INDEX(_xlpm.rango,$BA$4-2,_xlpm.col) +
INDEX(_xlpm.rango,$BA$4-1,_xlpm.col) +
INDEX(_xlpm.rango,$BA$4, _xlpm.col)
)</f>
        <v/>
      </c>
      <c r="AI83" s="96">
        <f t="array" ref="AI83">_xlfn.LET(
_xlpm.rango, INDIRECT("E!$C$" &amp; $BA$8 &amp; ":$DR$" &amp; $BA$9),
_xlpm.col, AI$72+$D82*10,
INDEX(_xlpm.rango,$BA$4-3,_xlpm.col) +
INDEX(_xlpm.rango,$BA$4-2,_xlpm.col) +
INDEX(_xlpm.rango,$BA$4-1,_xlpm.col) +
INDEX(_xlpm.rango,$BA$4, _xlpm.col)
)</f>
        <v/>
      </c>
      <c r="AJ83" s="95">
        <f t="array" ref="AJ83">_xlfn.LET(
_xlpm.rango, INDIRECT("E!$C$" &amp; $BA$8 &amp; ":$DR$" &amp; $BA$9),
_xlpm.col, AJ$72+$D82*10,
INDEX(_xlpm.rango,$BA$4-3,_xlpm.col) +
INDEX(_xlpm.rango,$BA$4-2,_xlpm.col) +
INDEX(_xlpm.rango,$BA$4-1,_xlpm.col) +
INDEX(_xlpm.rango,$BA$4, _xlpm.col)
)</f>
        <v/>
      </c>
      <c r="AK83" s="95">
        <f t="array" ref="AK83">_xlfn.LET(
_xlpm.rango, INDIRECT("E!$C$" &amp; $BA$8 &amp; ":$DR$" &amp; $BA$9),
_xlpm.col, AK$72+$D82*10,
INDEX(_xlpm.rango,$BA$4-3,_xlpm.col) +
INDEX(_xlpm.rango,$BA$4-2,_xlpm.col) +
INDEX(_xlpm.rango,$BA$4-1,_xlpm.col) +
INDEX(_xlpm.rango,$BA$4, _xlpm.col)
)</f>
        <v/>
      </c>
      <c r="AL83" s="95">
        <f t="array" ref="AL83">_xlfn.LET(
_xlpm.rango, INDIRECT("E!$C$" &amp; $BA$8 &amp; ":$DR$" &amp; $BA$9),
_xlpm.col, AL$72+$D82*10,
INDEX(_xlpm.rango,$BA$4-3,_xlpm.col) +
INDEX(_xlpm.rango,$BA$4-2,_xlpm.col) +
INDEX(_xlpm.rango,$BA$4-1,_xlpm.col) +
INDEX(_xlpm.rango,$BA$4, _xlpm.col)
)</f>
        <v/>
      </c>
      <c r="AM83" s="95">
        <f t="array" ref="AM83">_xlfn.LET(
_xlpm.rango, INDIRECT("E!$C$" &amp; $BA$8 &amp; ":$DR$" &amp; $BA$9),
_xlpm.col, AM$72+$D82*10,
INDEX(_xlpm.rango,$BA$4-3,_xlpm.col) +
INDEX(_xlpm.rango,$BA$4-2,_xlpm.col) +
INDEX(_xlpm.rango,$BA$4-1,_xlpm.col) +
INDEX(_xlpm.rango,$BA$4, _xlpm.col)
)</f>
        <v/>
      </c>
      <c r="AN83" s="95">
        <f t="array" ref="AN83">_xlfn.LET(
_xlpm.rango, INDIRECT("E!$C$" &amp; $BA$8 &amp; ":$DR$" &amp; $BA$9),
_xlpm.col, AN$72+$D82*10,
INDEX(_xlpm.rango,$BA$4-3,_xlpm.col) +
INDEX(_xlpm.rango,$BA$4-2,_xlpm.col) +
INDEX(_xlpm.rango,$BA$4-1,_xlpm.col) +
INDEX(_xlpm.rango,$BA$4, _xlpm.col)
)</f>
        <v/>
      </c>
      <c r="AO83" s="95">
        <f t="array" ref="AO83">_xlfn.LET(
_xlpm.rango, INDIRECT("E!$C$" &amp; $BA$8 &amp; ":$DR$" &amp; $BA$9),
_xlpm.col, AO$72+$D82*10,
INDEX(_xlpm.rango,$BA$4-3,_xlpm.col) +
INDEX(_xlpm.rango,$BA$4-2,_xlpm.col) +
INDEX(_xlpm.rango,$BA$4-1,_xlpm.col) +
INDEX(_xlpm.rango,$BA$4, _xlpm.col)
)</f>
        <v/>
      </c>
      <c r="AP83" s="95">
        <f t="array" ref="AP83">_xlfn.LET(
_xlpm.rango, INDIRECT("E!$C$" &amp; $BA$8 &amp; ":$DR$" &amp; $BA$9),
_xlpm.col, AP$72+$D82*10,
INDEX(_xlpm.rango,$BA$4-3,_xlpm.col) +
INDEX(_xlpm.rango,$BA$4-2,_xlpm.col) +
INDEX(_xlpm.rango,$BA$4-1,_xlpm.col) +
INDEX(_xlpm.rango,$BA$4, _xlpm.col)
)</f>
        <v/>
      </c>
      <c r="AQ83" s="95">
        <f t="array" ref="AQ83">_xlfn.LET(
_xlpm.rango, INDIRECT("E!$C$" &amp; $BA$8 &amp; ":$DR$" &amp; $BA$9),
_xlpm.col, AQ$72+$D82*10,
INDEX(_xlpm.rango,$BA$4-3,_xlpm.col) +
INDEX(_xlpm.rango,$BA$4-2,_xlpm.col) +
INDEX(_xlpm.rango,$BA$4-1,_xlpm.col) +
INDEX(_xlpm.rango,$BA$4, _xlpm.col)
)</f>
        <v/>
      </c>
      <c r="AR83" s="95">
        <f t="array" ref="AR83">_xlfn.LET(
_xlpm.rango, INDIRECT("E!$C$" &amp; $BA$8 &amp; ":$DR$" &amp; $BA$9),
_xlpm.col, AR$72+$D82*10,
INDEX(_xlpm.rango,$BA$4-3,_xlpm.col) +
INDEX(_xlpm.rango,$BA$4-2,_xlpm.col) +
INDEX(_xlpm.rango,$BA$4-1,_xlpm.col) +
INDEX(_xlpm.rango,$BA$4, _xlpm.col)
)</f>
        <v/>
      </c>
      <c r="AS83" s="112">
        <f t="array" ref="AS83">_xlfn.LET(
_xlpm.rango, INDIRECT("E!$C$" &amp; $BA$8 &amp; ":$DR$" &amp; $BA$9),
_xlpm.col, AS$72+$D82*10,
INDEX(_xlpm.rango,$BA$4-3,_xlpm.col) +
INDEX(_xlpm.rango,$BA$4-2,_xlpm.col) +
INDEX(_xlpm.rango,$BA$4-1,_xlpm.col) +
INDEX(_xlpm.rango,$BA$4, _xlpm.col)
)</f>
        <v/>
      </c>
      <c r="AT83" s="118">
        <f>SUM(F83:AS83)</f>
        <v/>
      </c>
      <c r="AU83" s="120">
        <f>AT83/$AT$88</f>
        <v/>
      </c>
    </row>
    <row r="84">
      <c r="D84" t="n">
        <v>9</v>
      </c>
      <c r="E84" s="106">
        <f>Inicio!V12</f>
        <v/>
      </c>
      <c r="F84" s="100">
        <f t="array" ref="F84">_xlfn.LET(
_xlpm.rango, INDIRECT("N!$C$" &amp; $BA$8 &amp; ":$DR$" &amp; $BA$9),
_xlpm.col, F$72+$D83*10,
INDEX(_xlpm.rango,$BA$4-3,_xlpm.col) +
INDEX(_xlpm.rango,$BA$4-2,_xlpm.col) +
INDEX(_xlpm.rango,$BA$4-1,_xlpm.col) +
INDEX(_xlpm.rango,$BA$4, _xlpm.col)
)</f>
        <v/>
      </c>
      <c r="G84" s="95">
        <f t="array" ref="G84">_xlfn.LET(
_xlpm.rango, INDIRECT("N!$C$" &amp; $BA$8 &amp; ":$DR$" &amp; $BA$9),
_xlpm.col, G$72+$D83*10,
INDEX(_xlpm.rango,$BA$4-3,_xlpm.col) +
INDEX(_xlpm.rango,$BA$4-2,_xlpm.col) +
INDEX(_xlpm.rango,$BA$4-1,_xlpm.col) +
INDEX(_xlpm.rango,$BA$4, _xlpm.col)
)</f>
        <v/>
      </c>
      <c r="H84" s="95">
        <f t="array" ref="H84">_xlfn.LET(
_xlpm.rango, INDIRECT("N!$C$" &amp; $BA$8 &amp; ":$DR$" &amp; $BA$9),
_xlpm.col, H$72+$D83*10,
INDEX(_xlpm.rango,$BA$4-3,_xlpm.col) +
INDEX(_xlpm.rango,$BA$4-2,_xlpm.col) +
INDEX(_xlpm.rango,$BA$4-1,_xlpm.col) +
INDEX(_xlpm.rango,$BA$4, _xlpm.col)
)</f>
        <v/>
      </c>
      <c r="I84" s="95">
        <f t="array" ref="I84">_xlfn.LET(
_xlpm.rango, INDIRECT("N!$C$" &amp; $BA$8 &amp; ":$DR$" &amp; $BA$9),
_xlpm.col, I$72+$D83*10,
INDEX(_xlpm.rango,$BA$4-3,_xlpm.col) +
INDEX(_xlpm.rango,$BA$4-2,_xlpm.col) +
INDEX(_xlpm.rango,$BA$4-1,_xlpm.col) +
INDEX(_xlpm.rango,$BA$4, _xlpm.col)
)</f>
        <v/>
      </c>
      <c r="J84" s="95">
        <f t="array" ref="J84">_xlfn.LET(
_xlpm.rango, INDIRECT("N!$C$" &amp; $BA$8 &amp; ":$DR$" &amp; $BA$9),
_xlpm.col, J$72+$D83*10,
INDEX(_xlpm.rango,$BA$4-3,_xlpm.col) +
INDEX(_xlpm.rango,$BA$4-2,_xlpm.col) +
INDEX(_xlpm.rango,$BA$4-1,_xlpm.col) +
INDEX(_xlpm.rango,$BA$4, _xlpm.col)
)</f>
        <v/>
      </c>
      <c r="K84" s="95">
        <f t="array" ref="K84">_xlfn.LET(
_xlpm.rango, INDIRECT("N!$C$" &amp; $BA$8 &amp; ":$DR$" &amp; $BA$9),
_xlpm.col, K$72+$D83*10,
INDEX(_xlpm.rango,$BA$4-3,_xlpm.col) +
INDEX(_xlpm.rango,$BA$4-2,_xlpm.col) +
INDEX(_xlpm.rango,$BA$4-1,_xlpm.col) +
INDEX(_xlpm.rango,$BA$4, _xlpm.col)
)</f>
        <v/>
      </c>
      <c r="L84" s="95">
        <f t="array" ref="L84">_xlfn.LET(
_xlpm.rango, INDIRECT("N!$C$" &amp; $BA$8 &amp; ":$DR$" &amp; $BA$9),
_xlpm.col, L$72+$D83*10,
INDEX(_xlpm.rango,$BA$4-3,_xlpm.col) +
INDEX(_xlpm.rango,$BA$4-2,_xlpm.col) +
INDEX(_xlpm.rango,$BA$4-1,_xlpm.col) +
INDEX(_xlpm.rango,$BA$4, _xlpm.col)
)</f>
        <v/>
      </c>
      <c r="M84" s="95">
        <f t="array" ref="M84">_xlfn.LET(
_xlpm.rango, INDIRECT("N!$C$" &amp; $BA$8 &amp; ":$DR$" &amp; $BA$9),
_xlpm.col, M$72+$D83*10,
INDEX(_xlpm.rango,$BA$4-3,_xlpm.col) +
INDEX(_xlpm.rango,$BA$4-2,_xlpm.col) +
INDEX(_xlpm.rango,$BA$4-1,_xlpm.col) +
INDEX(_xlpm.rango,$BA$4, _xlpm.col)
)</f>
        <v/>
      </c>
      <c r="N84" s="95">
        <f t="array" ref="N84">_xlfn.LET(
_xlpm.rango, INDIRECT("N!$C$" &amp; $BA$8 &amp; ":$DR$" &amp; $BA$9),
_xlpm.col, N$72+$D83*10,
INDEX(_xlpm.rango,$BA$4-3,_xlpm.col) +
INDEX(_xlpm.rango,$BA$4-2,_xlpm.col) +
INDEX(_xlpm.rango,$BA$4-1,_xlpm.col) +
INDEX(_xlpm.rango,$BA$4, _xlpm.col)
)</f>
        <v/>
      </c>
      <c r="O84" s="96">
        <f t="array" ref="O84">_xlfn.LET(
_xlpm.rango, INDIRECT("N!$C$" &amp; $BA$8 &amp; ":$DR$" &amp; $BA$9),
_xlpm.col, O$72+$D83*10,
INDEX(_xlpm.rango,$BA$4-3,_xlpm.col) +
INDEX(_xlpm.rango,$BA$4-2,_xlpm.col) +
INDEX(_xlpm.rango,$BA$4-1,_xlpm.col) +
INDEX(_xlpm.rango,$BA$4, _xlpm.col)
)</f>
        <v/>
      </c>
      <c r="P84" s="95">
        <f t="array" ref="P84">_xlfn.LET(
_xlpm.rango, INDIRECT("S!$C$" &amp; $BA$8 &amp; ":$DR$" &amp; $BA$9),
_xlpm.col, P$72+$D83*10,
INDEX(_xlpm.rango,$BA$4-3,_xlpm.col) +
INDEX(_xlpm.rango,$BA$4-2,_xlpm.col) +
INDEX(_xlpm.rango,$BA$4-1,_xlpm.col) +
INDEX(_xlpm.rango,$BA$4, _xlpm.col)
)</f>
        <v/>
      </c>
      <c r="Q84" s="95">
        <f t="array" ref="Q84">_xlfn.LET(
_xlpm.rango, INDIRECT("S!$C$" &amp; $BA$8 &amp; ":$DR$" &amp; $BA$9),
_xlpm.col, Q$72+$D83*10,
INDEX(_xlpm.rango,$BA$4-3,_xlpm.col) +
INDEX(_xlpm.rango,$BA$4-2,_xlpm.col) +
INDEX(_xlpm.rango,$BA$4-1,_xlpm.col) +
INDEX(_xlpm.rango,$BA$4, _xlpm.col)
)</f>
        <v/>
      </c>
      <c r="R84" s="95">
        <f t="array" ref="R84">_xlfn.LET(
_xlpm.rango, INDIRECT("S!$C$" &amp; $BA$8 &amp; ":$DR$" &amp; $BA$9),
_xlpm.col, R$72+$D83*10,
INDEX(_xlpm.rango,$BA$4-3,_xlpm.col) +
INDEX(_xlpm.rango,$BA$4-2,_xlpm.col) +
INDEX(_xlpm.rango,$BA$4-1,_xlpm.col) +
INDEX(_xlpm.rango,$BA$4, _xlpm.col)
)</f>
        <v/>
      </c>
      <c r="S84" s="95">
        <f t="array" ref="S84">_xlfn.LET(
_xlpm.rango, INDIRECT("S!$C$" &amp; $BA$8 &amp; ":$DR$" &amp; $BA$9),
_xlpm.col, S$72+$D83*10,
INDEX(_xlpm.rango,$BA$4-3,_xlpm.col) +
INDEX(_xlpm.rango,$BA$4-2,_xlpm.col) +
INDEX(_xlpm.rango,$BA$4-1,_xlpm.col) +
INDEX(_xlpm.rango,$BA$4, _xlpm.col)
)</f>
        <v/>
      </c>
      <c r="T84" s="95">
        <f t="array" ref="T84">_xlfn.LET(
_xlpm.rango, INDIRECT("S!$C$" &amp; $BA$8 &amp; ":$DR$" &amp; $BA$9),
_xlpm.col, T$72+$D83*10,
INDEX(_xlpm.rango,$BA$4-3,_xlpm.col) +
INDEX(_xlpm.rango,$BA$4-2,_xlpm.col) +
INDEX(_xlpm.rango,$BA$4-1,_xlpm.col) +
INDEX(_xlpm.rango,$BA$4, _xlpm.col)
)</f>
        <v/>
      </c>
      <c r="U84" s="95">
        <f t="array" ref="U84">_xlfn.LET(
_xlpm.rango, INDIRECT("S!$C$" &amp; $BA$8 &amp; ":$DR$" &amp; $BA$9),
_xlpm.col, U$72+$D83*10,
INDEX(_xlpm.rango,$BA$4-3,_xlpm.col) +
INDEX(_xlpm.rango,$BA$4-2,_xlpm.col) +
INDEX(_xlpm.rango,$BA$4-1,_xlpm.col) +
INDEX(_xlpm.rango,$BA$4, _xlpm.col)
)</f>
        <v/>
      </c>
      <c r="V84" s="95">
        <f t="array" ref="V84">_xlfn.LET(
_xlpm.rango, INDIRECT("S!$C$" &amp; $BA$8 &amp; ":$DR$" &amp; $BA$9),
_xlpm.col, V$72+$D83*10,
INDEX(_xlpm.rango,$BA$4-3,_xlpm.col) +
INDEX(_xlpm.rango,$BA$4-2,_xlpm.col) +
INDEX(_xlpm.rango,$BA$4-1,_xlpm.col) +
INDEX(_xlpm.rango,$BA$4, _xlpm.col)
)</f>
        <v/>
      </c>
      <c r="W84" s="95">
        <f t="array" ref="W84">_xlfn.LET(
_xlpm.rango, INDIRECT("S!$C$" &amp; $BA$8 &amp; ":$DR$" &amp; $BA$9),
_xlpm.col, W$72+$D83*10,
INDEX(_xlpm.rango,$BA$4-3,_xlpm.col) +
INDEX(_xlpm.rango,$BA$4-2,_xlpm.col) +
INDEX(_xlpm.rango,$BA$4-1,_xlpm.col) +
INDEX(_xlpm.rango,$BA$4, _xlpm.col)
)</f>
        <v/>
      </c>
      <c r="X84" s="95">
        <f t="array" ref="X84">_xlfn.LET(
_xlpm.rango, INDIRECT("S!$C$" &amp; $BA$8 &amp; ":$DR$" &amp; $BA$9),
_xlpm.col, X$72+$D83*10,
INDEX(_xlpm.rango,$BA$4-3,_xlpm.col) +
INDEX(_xlpm.rango,$BA$4-2,_xlpm.col) +
INDEX(_xlpm.rango,$BA$4-1,_xlpm.col) +
INDEX(_xlpm.rango,$BA$4, _xlpm.col)
)</f>
        <v/>
      </c>
      <c r="Y84" s="95">
        <f t="array" ref="Y84">_xlfn.LET(
_xlpm.rango, INDIRECT("S!$C$" &amp; $BA$8 &amp; ":$DR$" &amp; $BA$9),
_xlpm.col, Y$72+$D83*10,
INDEX(_xlpm.rango,$BA$4-3,_xlpm.col) +
INDEX(_xlpm.rango,$BA$4-2,_xlpm.col) +
INDEX(_xlpm.rango,$BA$4-1,_xlpm.col) +
INDEX(_xlpm.rango,$BA$4, _xlpm.col)
)</f>
        <v/>
      </c>
      <c r="Z84" s="100">
        <f t="array" ref="Z84">_xlfn.LET(
_xlpm.rango, INDIRECT("E!$C$" &amp; $BA$8 &amp; ":$DR$" &amp; $BA$9),
_xlpm.col, Z$72+$D83*10,
INDEX(_xlpm.rango,$BA$4-3,_xlpm.col) +
INDEX(_xlpm.rango,$BA$4-2,_xlpm.col) +
INDEX(_xlpm.rango,$BA$4-1,_xlpm.col) +
INDEX(_xlpm.rango,$BA$4, _xlpm.col)
)</f>
        <v/>
      </c>
      <c r="AA84" s="95">
        <f t="array" ref="AA84">_xlfn.LET(
_xlpm.rango, INDIRECT("E!$C$" &amp; $BA$8 &amp; ":$DR$" &amp; $BA$9),
_xlpm.col, AA$72+$D83*10,
INDEX(_xlpm.rango,$BA$4-3,_xlpm.col) +
INDEX(_xlpm.rango,$BA$4-2,_xlpm.col) +
INDEX(_xlpm.rango,$BA$4-1,_xlpm.col) +
INDEX(_xlpm.rango,$BA$4, _xlpm.col)
)</f>
        <v/>
      </c>
      <c r="AB84" s="95">
        <f t="array" ref="AB84">_xlfn.LET(
_xlpm.rango, INDIRECT("E!$C$" &amp; $BA$8 &amp; ":$DR$" &amp; $BA$9),
_xlpm.col, AB$72+$D83*10,
INDEX(_xlpm.rango,$BA$4-3,_xlpm.col) +
INDEX(_xlpm.rango,$BA$4-2,_xlpm.col) +
INDEX(_xlpm.rango,$BA$4-1,_xlpm.col) +
INDEX(_xlpm.rango,$BA$4, _xlpm.col)
)</f>
        <v/>
      </c>
      <c r="AC84" s="95">
        <f t="array" ref="AC84">_xlfn.LET(
_xlpm.rango, INDIRECT("E!$C$" &amp; $BA$8 &amp; ":$DR$" &amp; $BA$9),
_xlpm.col, AC$72+$D83*10,
INDEX(_xlpm.rango,$BA$4-3,_xlpm.col) +
INDEX(_xlpm.rango,$BA$4-2,_xlpm.col) +
INDEX(_xlpm.rango,$BA$4-1,_xlpm.col) +
INDEX(_xlpm.rango,$BA$4, _xlpm.col)
)</f>
        <v/>
      </c>
      <c r="AD84" s="95">
        <f t="array" ref="AD84">_xlfn.LET(
_xlpm.rango, INDIRECT("E!$C$" &amp; $BA$8 &amp; ":$DR$" &amp; $BA$9),
_xlpm.col, AD$72+$D83*10,
INDEX(_xlpm.rango,$BA$4-3,_xlpm.col) +
INDEX(_xlpm.rango,$BA$4-2,_xlpm.col) +
INDEX(_xlpm.rango,$BA$4-1,_xlpm.col) +
INDEX(_xlpm.rango,$BA$4, _xlpm.col)
)</f>
        <v/>
      </c>
      <c r="AE84" s="95">
        <f t="array" ref="AE84">_xlfn.LET(
_xlpm.rango, INDIRECT("E!$C$" &amp; $BA$8 &amp; ":$DR$" &amp; $BA$9),
_xlpm.col, AE$72+$D83*10,
INDEX(_xlpm.rango,$BA$4-3,_xlpm.col) +
INDEX(_xlpm.rango,$BA$4-2,_xlpm.col) +
INDEX(_xlpm.rango,$BA$4-1,_xlpm.col) +
INDEX(_xlpm.rango,$BA$4, _xlpm.col)
)</f>
        <v/>
      </c>
      <c r="AF84" s="95">
        <f t="array" ref="AF84">_xlfn.LET(
_xlpm.rango, INDIRECT("E!$C$" &amp; $BA$8 &amp; ":$DR$" &amp; $BA$9),
_xlpm.col, AF$72+$D83*10,
INDEX(_xlpm.rango,$BA$4-3,_xlpm.col) +
INDEX(_xlpm.rango,$BA$4-2,_xlpm.col) +
INDEX(_xlpm.rango,$BA$4-1,_xlpm.col) +
INDEX(_xlpm.rango,$BA$4, _xlpm.col)
)</f>
        <v/>
      </c>
      <c r="AG84" s="95">
        <f t="array" ref="AG84">_xlfn.LET(
_xlpm.rango, INDIRECT("E!$C$" &amp; $BA$8 &amp; ":$DR$" &amp; $BA$9),
_xlpm.col, AG$72+$D83*10,
INDEX(_xlpm.rango,$BA$4-3,_xlpm.col) +
INDEX(_xlpm.rango,$BA$4-2,_xlpm.col) +
INDEX(_xlpm.rango,$BA$4-1,_xlpm.col) +
INDEX(_xlpm.rango,$BA$4, _xlpm.col)
)</f>
        <v/>
      </c>
      <c r="AH84" s="95">
        <f t="array" ref="AH84">_xlfn.LET(
_xlpm.rango, INDIRECT("E!$C$" &amp; $BA$8 &amp; ":$DR$" &amp; $BA$9),
_xlpm.col, AH$72+$D83*10,
INDEX(_xlpm.rango,$BA$4-3,_xlpm.col) +
INDEX(_xlpm.rango,$BA$4-2,_xlpm.col) +
INDEX(_xlpm.rango,$BA$4-1,_xlpm.col) +
INDEX(_xlpm.rango,$BA$4, _xlpm.col)
)</f>
        <v/>
      </c>
      <c r="AI84" s="96">
        <f t="array" ref="AI84">_xlfn.LET(
_xlpm.rango, INDIRECT("E!$C$" &amp; $BA$8 &amp; ":$DR$" &amp; $BA$9),
_xlpm.col, AI$72+$D83*10,
INDEX(_xlpm.rango,$BA$4-3,_xlpm.col) +
INDEX(_xlpm.rango,$BA$4-2,_xlpm.col) +
INDEX(_xlpm.rango,$BA$4-1,_xlpm.col) +
INDEX(_xlpm.rango,$BA$4, _xlpm.col)
)</f>
        <v/>
      </c>
      <c r="AJ84" s="95">
        <f t="array" ref="AJ84">_xlfn.LET(
_xlpm.rango, INDIRECT("E!$C$" &amp; $BA$8 &amp; ":$DR$" &amp; $BA$9),
_xlpm.col, AJ$72+$D83*10,
INDEX(_xlpm.rango,$BA$4-3,_xlpm.col) +
INDEX(_xlpm.rango,$BA$4-2,_xlpm.col) +
INDEX(_xlpm.rango,$BA$4-1,_xlpm.col) +
INDEX(_xlpm.rango,$BA$4, _xlpm.col)
)</f>
        <v/>
      </c>
      <c r="AK84" s="95">
        <f t="array" ref="AK84">_xlfn.LET(
_xlpm.rango, INDIRECT("E!$C$" &amp; $BA$8 &amp; ":$DR$" &amp; $BA$9),
_xlpm.col, AK$72+$D83*10,
INDEX(_xlpm.rango,$BA$4-3,_xlpm.col) +
INDEX(_xlpm.rango,$BA$4-2,_xlpm.col) +
INDEX(_xlpm.rango,$BA$4-1,_xlpm.col) +
INDEX(_xlpm.rango,$BA$4, _xlpm.col)
)</f>
        <v/>
      </c>
      <c r="AL84" s="95">
        <f t="array" ref="AL84">_xlfn.LET(
_xlpm.rango, INDIRECT("E!$C$" &amp; $BA$8 &amp; ":$DR$" &amp; $BA$9),
_xlpm.col, AL$72+$D83*10,
INDEX(_xlpm.rango,$BA$4-3,_xlpm.col) +
INDEX(_xlpm.rango,$BA$4-2,_xlpm.col) +
INDEX(_xlpm.rango,$BA$4-1,_xlpm.col) +
INDEX(_xlpm.rango,$BA$4, _xlpm.col)
)</f>
        <v/>
      </c>
      <c r="AM84" s="95">
        <f t="array" ref="AM84">_xlfn.LET(
_xlpm.rango, INDIRECT("E!$C$" &amp; $BA$8 &amp; ":$DR$" &amp; $BA$9),
_xlpm.col, AM$72+$D83*10,
INDEX(_xlpm.rango,$BA$4-3,_xlpm.col) +
INDEX(_xlpm.rango,$BA$4-2,_xlpm.col) +
INDEX(_xlpm.rango,$BA$4-1,_xlpm.col) +
INDEX(_xlpm.rango,$BA$4, _xlpm.col)
)</f>
        <v/>
      </c>
      <c r="AN84" s="95">
        <f t="array" ref="AN84">_xlfn.LET(
_xlpm.rango, INDIRECT("E!$C$" &amp; $BA$8 &amp; ":$DR$" &amp; $BA$9),
_xlpm.col, AN$72+$D83*10,
INDEX(_xlpm.rango,$BA$4-3,_xlpm.col) +
INDEX(_xlpm.rango,$BA$4-2,_xlpm.col) +
INDEX(_xlpm.rango,$BA$4-1,_xlpm.col) +
INDEX(_xlpm.rango,$BA$4, _xlpm.col)
)</f>
        <v/>
      </c>
      <c r="AO84" s="95">
        <f t="array" ref="AO84">_xlfn.LET(
_xlpm.rango, INDIRECT("E!$C$" &amp; $BA$8 &amp; ":$DR$" &amp; $BA$9),
_xlpm.col, AO$72+$D83*10,
INDEX(_xlpm.rango,$BA$4-3,_xlpm.col) +
INDEX(_xlpm.rango,$BA$4-2,_xlpm.col) +
INDEX(_xlpm.rango,$BA$4-1,_xlpm.col) +
INDEX(_xlpm.rango,$BA$4, _xlpm.col)
)</f>
        <v/>
      </c>
      <c r="AP84" s="95">
        <f t="array" ref="AP84">_xlfn.LET(
_xlpm.rango, INDIRECT("E!$C$" &amp; $BA$8 &amp; ":$DR$" &amp; $BA$9),
_xlpm.col, AP$72+$D83*10,
INDEX(_xlpm.rango,$BA$4-3,_xlpm.col) +
INDEX(_xlpm.rango,$BA$4-2,_xlpm.col) +
INDEX(_xlpm.rango,$BA$4-1,_xlpm.col) +
INDEX(_xlpm.rango,$BA$4, _xlpm.col)
)</f>
        <v/>
      </c>
      <c r="AQ84" s="95">
        <f t="array" ref="AQ84">_xlfn.LET(
_xlpm.rango, INDIRECT("E!$C$" &amp; $BA$8 &amp; ":$DR$" &amp; $BA$9),
_xlpm.col, AQ$72+$D83*10,
INDEX(_xlpm.rango,$BA$4-3,_xlpm.col) +
INDEX(_xlpm.rango,$BA$4-2,_xlpm.col) +
INDEX(_xlpm.rango,$BA$4-1,_xlpm.col) +
INDEX(_xlpm.rango,$BA$4, _xlpm.col)
)</f>
        <v/>
      </c>
      <c r="AR84" s="95">
        <f t="array" ref="AR84">_xlfn.LET(
_xlpm.rango, INDIRECT("E!$C$" &amp; $BA$8 &amp; ":$DR$" &amp; $BA$9),
_xlpm.col, AR$72+$D83*10,
INDEX(_xlpm.rango,$BA$4-3,_xlpm.col) +
INDEX(_xlpm.rango,$BA$4-2,_xlpm.col) +
INDEX(_xlpm.rango,$BA$4-1,_xlpm.col) +
INDEX(_xlpm.rango,$BA$4, _xlpm.col)
)</f>
        <v/>
      </c>
      <c r="AS84" s="112">
        <f t="array" ref="AS84">_xlfn.LET(
_xlpm.rango, INDIRECT("E!$C$" &amp; $BA$8 &amp; ":$DR$" &amp; $BA$9),
_xlpm.col, AS$72+$D83*10,
INDEX(_xlpm.rango,$BA$4-3,_xlpm.col) +
INDEX(_xlpm.rango,$BA$4-2,_xlpm.col) +
INDEX(_xlpm.rango,$BA$4-1,_xlpm.col) +
INDEX(_xlpm.rango,$BA$4, _xlpm.col)
)</f>
        <v/>
      </c>
      <c r="AT84" s="118">
        <f>SUM(F84:AS84)</f>
        <v/>
      </c>
      <c r="AU84" s="120">
        <f>AT84/$AT$88</f>
        <v/>
      </c>
    </row>
    <row r="85">
      <c r="D85" t="n">
        <v>10</v>
      </c>
      <c r="E85" s="106">
        <f>Inicio!V13</f>
        <v/>
      </c>
      <c r="F85" s="100">
        <f t="array" ref="F85">_xlfn.LET(
_xlpm.rango, INDIRECT("N!$C$" &amp; $BA$8 &amp; ":$DR$" &amp; $BA$9),
_xlpm.col, F$72+$D84*10,
INDEX(_xlpm.rango,$BA$4-3,_xlpm.col) +
INDEX(_xlpm.rango,$BA$4-2,_xlpm.col) +
INDEX(_xlpm.rango,$BA$4-1,_xlpm.col) +
INDEX(_xlpm.rango,$BA$4, _xlpm.col)
)</f>
        <v/>
      </c>
      <c r="G85" s="95">
        <f t="array" ref="G85">_xlfn.LET(
_xlpm.rango, INDIRECT("N!$C$" &amp; $BA$8 &amp; ":$DR$" &amp; $BA$9),
_xlpm.col, G$72+$D84*10,
INDEX(_xlpm.rango,$BA$4-3,_xlpm.col) +
INDEX(_xlpm.rango,$BA$4-2,_xlpm.col) +
INDEX(_xlpm.rango,$BA$4-1,_xlpm.col) +
INDEX(_xlpm.rango,$BA$4, _xlpm.col)
)</f>
        <v/>
      </c>
      <c r="H85" s="95">
        <f t="array" ref="H85">_xlfn.LET(
_xlpm.rango, INDIRECT("N!$C$" &amp; $BA$8 &amp; ":$DR$" &amp; $BA$9),
_xlpm.col, H$72+$D84*10,
INDEX(_xlpm.rango,$BA$4-3,_xlpm.col) +
INDEX(_xlpm.rango,$BA$4-2,_xlpm.col) +
INDEX(_xlpm.rango,$BA$4-1,_xlpm.col) +
INDEX(_xlpm.rango,$BA$4, _xlpm.col)
)</f>
        <v/>
      </c>
      <c r="I85" s="95">
        <f t="array" ref="I85">_xlfn.LET(
_xlpm.rango, INDIRECT("N!$C$" &amp; $BA$8 &amp; ":$DR$" &amp; $BA$9),
_xlpm.col, I$72+$D84*10,
INDEX(_xlpm.rango,$BA$4-3,_xlpm.col) +
INDEX(_xlpm.rango,$BA$4-2,_xlpm.col) +
INDEX(_xlpm.rango,$BA$4-1,_xlpm.col) +
INDEX(_xlpm.rango,$BA$4, _xlpm.col)
)</f>
        <v/>
      </c>
      <c r="J85" s="95">
        <f t="array" ref="J85">_xlfn.LET(
_xlpm.rango, INDIRECT("N!$C$" &amp; $BA$8 &amp; ":$DR$" &amp; $BA$9),
_xlpm.col, J$72+$D84*10,
INDEX(_xlpm.rango,$BA$4-3,_xlpm.col) +
INDEX(_xlpm.rango,$BA$4-2,_xlpm.col) +
INDEX(_xlpm.rango,$BA$4-1,_xlpm.col) +
INDEX(_xlpm.rango,$BA$4, _xlpm.col)
)</f>
        <v/>
      </c>
      <c r="K85" s="95">
        <f t="array" ref="K85">_xlfn.LET(
_xlpm.rango, INDIRECT("N!$C$" &amp; $BA$8 &amp; ":$DR$" &amp; $BA$9),
_xlpm.col, K$72+$D84*10,
INDEX(_xlpm.rango,$BA$4-3,_xlpm.col) +
INDEX(_xlpm.rango,$BA$4-2,_xlpm.col) +
INDEX(_xlpm.rango,$BA$4-1,_xlpm.col) +
INDEX(_xlpm.rango,$BA$4, _xlpm.col)
)</f>
        <v/>
      </c>
      <c r="L85" s="95">
        <f t="array" ref="L85">_xlfn.LET(
_xlpm.rango, INDIRECT("N!$C$" &amp; $BA$8 &amp; ":$DR$" &amp; $BA$9),
_xlpm.col, L$72+$D84*10,
INDEX(_xlpm.rango,$BA$4-3,_xlpm.col) +
INDEX(_xlpm.rango,$BA$4-2,_xlpm.col) +
INDEX(_xlpm.rango,$BA$4-1,_xlpm.col) +
INDEX(_xlpm.rango,$BA$4, _xlpm.col)
)</f>
        <v/>
      </c>
      <c r="M85" s="95">
        <f t="array" ref="M85">_xlfn.LET(
_xlpm.rango, INDIRECT("N!$C$" &amp; $BA$8 &amp; ":$DR$" &amp; $BA$9),
_xlpm.col, M$72+$D84*10,
INDEX(_xlpm.rango,$BA$4-3,_xlpm.col) +
INDEX(_xlpm.rango,$BA$4-2,_xlpm.col) +
INDEX(_xlpm.rango,$BA$4-1,_xlpm.col) +
INDEX(_xlpm.rango,$BA$4, _xlpm.col)
)</f>
        <v/>
      </c>
      <c r="N85" s="95">
        <f t="array" ref="N85">_xlfn.LET(
_xlpm.rango, INDIRECT("N!$C$" &amp; $BA$8 &amp; ":$DR$" &amp; $BA$9),
_xlpm.col, N$72+$D84*10,
INDEX(_xlpm.rango,$BA$4-3,_xlpm.col) +
INDEX(_xlpm.rango,$BA$4-2,_xlpm.col) +
INDEX(_xlpm.rango,$BA$4-1,_xlpm.col) +
INDEX(_xlpm.rango,$BA$4, _xlpm.col)
)</f>
        <v/>
      </c>
      <c r="O85" s="96">
        <f t="array" ref="O85">_xlfn.LET(
_xlpm.rango, INDIRECT("N!$C$" &amp; $BA$8 &amp; ":$DR$" &amp; $BA$9),
_xlpm.col, O$72+$D84*10,
INDEX(_xlpm.rango,$BA$4-3,_xlpm.col) +
INDEX(_xlpm.rango,$BA$4-2,_xlpm.col) +
INDEX(_xlpm.rango,$BA$4-1,_xlpm.col) +
INDEX(_xlpm.rango,$BA$4, _xlpm.col)
)</f>
        <v/>
      </c>
      <c r="P85" s="95">
        <f t="array" ref="P85">_xlfn.LET(
_xlpm.rango, INDIRECT("S!$C$" &amp; $BA$8 &amp; ":$DR$" &amp; $BA$9),
_xlpm.col, P$72+$D84*10,
INDEX(_xlpm.rango,$BA$4-3,_xlpm.col) +
INDEX(_xlpm.rango,$BA$4-2,_xlpm.col) +
INDEX(_xlpm.rango,$BA$4-1,_xlpm.col) +
INDEX(_xlpm.rango,$BA$4, _xlpm.col)
)</f>
        <v/>
      </c>
      <c r="Q85" s="95">
        <f t="array" ref="Q85">_xlfn.LET(
_xlpm.rango, INDIRECT("S!$C$" &amp; $BA$8 &amp; ":$DR$" &amp; $BA$9),
_xlpm.col, Q$72+$D84*10,
INDEX(_xlpm.rango,$BA$4-3,_xlpm.col) +
INDEX(_xlpm.rango,$BA$4-2,_xlpm.col) +
INDEX(_xlpm.rango,$BA$4-1,_xlpm.col) +
INDEX(_xlpm.rango,$BA$4, _xlpm.col)
)</f>
        <v/>
      </c>
      <c r="R85" s="95">
        <f t="array" ref="R85">_xlfn.LET(
_xlpm.rango, INDIRECT("S!$C$" &amp; $BA$8 &amp; ":$DR$" &amp; $BA$9),
_xlpm.col, R$72+$D84*10,
INDEX(_xlpm.rango,$BA$4-3,_xlpm.col) +
INDEX(_xlpm.rango,$BA$4-2,_xlpm.col) +
INDEX(_xlpm.rango,$BA$4-1,_xlpm.col) +
INDEX(_xlpm.rango,$BA$4, _xlpm.col)
)</f>
        <v/>
      </c>
      <c r="S85" s="95">
        <f t="array" ref="S85">_xlfn.LET(
_xlpm.rango, INDIRECT("S!$C$" &amp; $BA$8 &amp; ":$DR$" &amp; $BA$9),
_xlpm.col, S$72+$D84*10,
INDEX(_xlpm.rango,$BA$4-3,_xlpm.col) +
INDEX(_xlpm.rango,$BA$4-2,_xlpm.col) +
INDEX(_xlpm.rango,$BA$4-1,_xlpm.col) +
INDEX(_xlpm.rango,$BA$4, _xlpm.col)
)</f>
        <v/>
      </c>
      <c r="T85" s="95">
        <f t="array" ref="T85">_xlfn.LET(
_xlpm.rango, INDIRECT("S!$C$" &amp; $BA$8 &amp; ":$DR$" &amp; $BA$9),
_xlpm.col, T$72+$D84*10,
INDEX(_xlpm.rango,$BA$4-3,_xlpm.col) +
INDEX(_xlpm.rango,$BA$4-2,_xlpm.col) +
INDEX(_xlpm.rango,$BA$4-1,_xlpm.col) +
INDEX(_xlpm.rango,$BA$4, _xlpm.col)
)</f>
        <v/>
      </c>
      <c r="U85" s="95">
        <f t="array" ref="U85">_xlfn.LET(
_xlpm.rango, INDIRECT("S!$C$" &amp; $BA$8 &amp; ":$DR$" &amp; $BA$9),
_xlpm.col, U$72+$D84*10,
INDEX(_xlpm.rango,$BA$4-3,_xlpm.col) +
INDEX(_xlpm.rango,$BA$4-2,_xlpm.col) +
INDEX(_xlpm.rango,$BA$4-1,_xlpm.col) +
INDEX(_xlpm.rango,$BA$4, _xlpm.col)
)</f>
        <v/>
      </c>
      <c r="V85" s="95">
        <f t="array" ref="V85">_xlfn.LET(
_xlpm.rango, INDIRECT("S!$C$" &amp; $BA$8 &amp; ":$DR$" &amp; $BA$9),
_xlpm.col, V$72+$D84*10,
INDEX(_xlpm.rango,$BA$4-3,_xlpm.col) +
INDEX(_xlpm.rango,$BA$4-2,_xlpm.col) +
INDEX(_xlpm.rango,$BA$4-1,_xlpm.col) +
INDEX(_xlpm.rango,$BA$4, _xlpm.col)
)</f>
        <v/>
      </c>
      <c r="W85" s="95">
        <f t="array" ref="W85">_xlfn.LET(
_xlpm.rango, INDIRECT("S!$C$" &amp; $BA$8 &amp; ":$DR$" &amp; $BA$9),
_xlpm.col, W$72+$D84*10,
INDEX(_xlpm.rango,$BA$4-3,_xlpm.col) +
INDEX(_xlpm.rango,$BA$4-2,_xlpm.col) +
INDEX(_xlpm.rango,$BA$4-1,_xlpm.col) +
INDEX(_xlpm.rango,$BA$4, _xlpm.col)
)</f>
        <v/>
      </c>
      <c r="X85" s="95">
        <f t="array" ref="X85">_xlfn.LET(
_xlpm.rango, INDIRECT("S!$C$" &amp; $BA$8 &amp; ":$DR$" &amp; $BA$9),
_xlpm.col, X$72+$D84*10,
INDEX(_xlpm.rango,$BA$4-3,_xlpm.col) +
INDEX(_xlpm.rango,$BA$4-2,_xlpm.col) +
INDEX(_xlpm.rango,$BA$4-1,_xlpm.col) +
INDEX(_xlpm.rango,$BA$4, _xlpm.col)
)</f>
        <v/>
      </c>
      <c r="Y85" s="95">
        <f t="array" ref="Y85">_xlfn.LET(
_xlpm.rango, INDIRECT("S!$C$" &amp; $BA$8 &amp; ":$DR$" &amp; $BA$9),
_xlpm.col, Y$72+$D84*10,
INDEX(_xlpm.rango,$BA$4-3,_xlpm.col) +
INDEX(_xlpm.rango,$BA$4-2,_xlpm.col) +
INDEX(_xlpm.rango,$BA$4-1,_xlpm.col) +
INDEX(_xlpm.rango,$BA$4, _xlpm.col)
)</f>
        <v/>
      </c>
      <c r="Z85" s="100">
        <f t="array" ref="Z85">_xlfn.LET(
_xlpm.rango, INDIRECT("E!$C$" &amp; $BA$8 &amp; ":$DR$" &amp; $BA$9),
_xlpm.col, Z$72+$D84*10,
INDEX(_xlpm.rango,$BA$4-3,_xlpm.col) +
INDEX(_xlpm.rango,$BA$4-2,_xlpm.col) +
INDEX(_xlpm.rango,$BA$4-1,_xlpm.col) +
INDEX(_xlpm.rango,$BA$4, _xlpm.col)
)</f>
        <v/>
      </c>
      <c r="AA85" s="95">
        <f t="array" ref="AA85">_xlfn.LET(
_xlpm.rango, INDIRECT("E!$C$" &amp; $BA$8 &amp; ":$DR$" &amp; $BA$9),
_xlpm.col, AA$72+$D84*10,
INDEX(_xlpm.rango,$BA$4-3,_xlpm.col) +
INDEX(_xlpm.rango,$BA$4-2,_xlpm.col) +
INDEX(_xlpm.rango,$BA$4-1,_xlpm.col) +
INDEX(_xlpm.rango,$BA$4, _xlpm.col)
)</f>
        <v/>
      </c>
      <c r="AB85" s="95">
        <f t="array" ref="AB85">_xlfn.LET(
_xlpm.rango, INDIRECT("E!$C$" &amp; $BA$8 &amp; ":$DR$" &amp; $BA$9),
_xlpm.col, AB$72+$D84*10,
INDEX(_xlpm.rango,$BA$4-3,_xlpm.col) +
INDEX(_xlpm.rango,$BA$4-2,_xlpm.col) +
INDEX(_xlpm.rango,$BA$4-1,_xlpm.col) +
INDEX(_xlpm.rango,$BA$4, _xlpm.col)
)</f>
        <v/>
      </c>
      <c r="AC85" s="95">
        <f t="array" ref="AC85">_xlfn.LET(
_xlpm.rango, INDIRECT("E!$C$" &amp; $BA$8 &amp; ":$DR$" &amp; $BA$9),
_xlpm.col, AC$72+$D84*10,
INDEX(_xlpm.rango,$BA$4-3,_xlpm.col) +
INDEX(_xlpm.rango,$BA$4-2,_xlpm.col) +
INDEX(_xlpm.rango,$BA$4-1,_xlpm.col) +
INDEX(_xlpm.rango,$BA$4, _xlpm.col)
)</f>
        <v/>
      </c>
      <c r="AD85" s="95">
        <f t="array" ref="AD85">_xlfn.LET(
_xlpm.rango, INDIRECT("E!$C$" &amp; $BA$8 &amp; ":$DR$" &amp; $BA$9),
_xlpm.col, AD$72+$D84*10,
INDEX(_xlpm.rango,$BA$4-3,_xlpm.col) +
INDEX(_xlpm.rango,$BA$4-2,_xlpm.col) +
INDEX(_xlpm.rango,$BA$4-1,_xlpm.col) +
INDEX(_xlpm.rango,$BA$4, _xlpm.col)
)</f>
        <v/>
      </c>
      <c r="AE85" s="95">
        <f t="array" ref="AE85">_xlfn.LET(
_xlpm.rango, INDIRECT("E!$C$" &amp; $BA$8 &amp; ":$DR$" &amp; $BA$9),
_xlpm.col, AE$72+$D84*10,
INDEX(_xlpm.rango,$BA$4-3,_xlpm.col) +
INDEX(_xlpm.rango,$BA$4-2,_xlpm.col) +
INDEX(_xlpm.rango,$BA$4-1,_xlpm.col) +
INDEX(_xlpm.rango,$BA$4, _xlpm.col)
)</f>
        <v/>
      </c>
      <c r="AF85" s="95">
        <f t="array" ref="AF85">_xlfn.LET(
_xlpm.rango, INDIRECT("E!$C$" &amp; $BA$8 &amp; ":$DR$" &amp; $BA$9),
_xlpm.col, AF$72+$D84*10,
INDEX(_xlpm.rango,$BA$4-3,_xlpm.col) +
INDEX(_xlpm.rango,$BA$4-2,_xlpm.col) +
INDEX(_xlpm.rango,$BA$4-1,_xlpm.col) +
INDEX(_xlpm.rango,$BA$4, _xlpm.col)
)</f>
        <v/>
      </c>
      <c r="AG85" s="95">
        <f t="array" ref="AG85">_xlfn.LET(
_xlpm.rango, INDIRECT("E!$C$" &amp; $BA$8 &amp; ":$DR$" &amp; $BA$9),
_xlpm.col, AG$72+$D84*10,
INDEX(_xlpm.rango,$BA$4-3,_xlpm.col) +
INDEX(_xlpm.rango,$BA$4-2,_xlpm.col) +
INDEX(_xlpm.rango,$BA$4-1,_xlpm.col) +
INDEX(_xlpm.rango,$BA$4, _xlpm.col)
)</f>
        <v/>
      </c>
      <c r="AH85" s="95">
        <f t="array" ref="AH85">_xlfn.LET(
_xlpm.rango, INDIRECT("E!$C$" &amp; $BA$8 &amp; ":$DR$" &amp; $BA$9),
_xlpm.col, AH$72+$D84*10,
INDEX(_xlpm.rango,$BA$4-3,_xlpm.col) +
INDEX(_xlpm.rango,$BA$4-2,_xlpm.col) +
INDEX(_xlpm.rango,$BA$4-1,_xlpm.col) +
INDEX(_xlpm.rango,$BA$4, _xlpm.col)
)</f>
        <v/>
      </c>
      <c r="AI85" s="96">
        <f t="array" ref="AI85">_xlfn.LET(
_xlpm.rango, INDIRECT("E!$C$" &amp; $BA$8 &amp; ":$DR$" &amp; $BA$9),
_xlpm.col, AI$72+$D84*10,
INDEX(_xlpm.rango,$BA$4-3,_xlpm.col) +
INDEX(_xlpm.rango,$BA$4-2,_xlpm.col) +
INDEX(_xlpm.rango,$BA$4-1,_xlpm.col) +
INDEX(_xlpm.rango,$BA$4, _xlpm.col)
)</f>
        <v/>
      </c>
      <c r="AJ85" s="95">
        <f t="array" ref="AJ85">_xlfn.LET(
_xlpm.rango, INDIRECT("E!$C$" &amp; $BA$8 &amp; ":$DR$" &amp; $BA$9),
_xlpm.col, AJ$72+$D84*10,
INDEX(_xlpm.rango,$BA$4-3,_xlpm.col) +
INDEX(_xlpm.rango,$BA$4-2,_xlpm.col) +
INDEX(_xlpm.rango,$BA$4-1,_xlpm.col) +
INDEX(_xlpm.rango,$BA$4, _xlpm.col)
)</f>
        <v/>
      </c>
      <c r="AK85" s="95">
        <f t="array" ref="AK85">_xlfn.LET(
_xlpm.rango, INDIRECT("E!$C$" &amp; $BA$8 &amp; ":$DR$" &amp; $BA$9),
_xlpm.col, AK$72+$D84*10,
INDEX(_xlpm.rango,$BA$4-3,_xlpm.col) +
INDEX(_xlpm.rango,$BA$4-2,_xlpm.col) +
INDEX(_xlpm.rango,$BA$4-1,_xlpm.col) +
INDEX(_xlpm.rango,$BA$4, _xlpm.col)
)</f>
        <v/>
      </c>
      <c r="AL85" s="95">
        <f t="array" ref="AL85">_xlfn.LET(
_xlpm.rango, INDIRECT("E!$C$" &amp; $BA$8 &amp; ":$DR$" &amp; $BA$9),
_xlpm.col, AL$72+$D84*10,
INDEX(_xlpm.rango,$BA$4-3,_xlpm.col) +
INDEX(_xlpm.rango,$BA$4-2,_xlpm.col) +
INDEX(_xlpm.rango,$BA$4-1,_xlpm.col) +
INDEX(_xlpm.rango,$BA$4, _xlpm.col)
)</f>
        <v/>
      </c>
      <c r="AM85" s="95">
        <f t="array" ref="AM85">_xlfn.LET(
_xlpm.rango, INDIRECT("E!$C$" &amp; $BA$8 &amp; ":$DR$" &amp; $BA$9),
_xlpm.col, AM$72+$D84*10,
INDEX(_xlpm.rango,$BA$4-3,_xlpm.col) +
INDEX(_xlpm.rango,$BA$4-2,_xlpm.col) +
INDEX(_xlpm.rango,$BA$4-1,_xlpm.col) +
INDEX(_xlpm.rango,$BA$4, _xlpm.col)
)</f>
        <v/>
      </c>
      <c r="AN85" s="95">
        <f t="array" ref="AN85">_xlfn.LET(
_xlpm.rango, INDIRECT("E!$C$" &amp; $BA$8 &amp; ":$DR$" &amp; $BA$9),
_xlpm.col, AN$72+$D84*10,
INDEX(_xlpm.rango,$BA$4-3,_xlpm.col) +
INDEX(_xlpm.rango,$BA$4-2,_xlpm.col) +
INDEX(_xlpm.rango,$BA$4-1,_xlpm.col) +
INDEX(_xlpm.rango,$BA$4, _xlpm.col)
)</f>
        <v/>
      </c>
      <c r="AO85" s="95">
        <f t="array" ref="AO85">_xlfn.LET(
_xlpm.rango, INDIRECT("E!$C$" &amp; $BA$8 &amp; ":$DR$" &amp; $BA$9),
_xlpm.col, AO$72+$D84*10,
INDEX(_xlpm.rango,$BA$4-3,_xlpm.col) +
INDEX(_xlpm.rango,$BA$4-2,_xlpm.col) +
INDEX(_xlpm.rango,$BA$4-1,_xlpm.col) +
INDEX(_xlpm.rango,$BA$4, _xlpm.col)
)</f>
        <v/>
      </c>
      <c r="AP85" s="95">
        <f t="array" ref="AP85">_xlfn.LET(
_xlpm.rango, INDIRECT("E!$C$" &amp; $BA$8 &amp; ":$DR$" &amp; $BA$9),
_xlpm.col, AP$72+$D84*10,
INDEX(_xlpm.rango,$BA$4-3,_xlpm.col) +
INDEX(_xlpm.rango,$BA$4-2,_xlpm.col) +
INDEX(_xlpm.rango,$BA$4-1,_xlpm.col) +
INDEX(_xlpm.rango,$BA$4, _xlpm.col)
)</f>
        <v/>
      </c>
      <c r="AQ85" s="95">
        <f t="array" ref="AQ85">_xlfn.LET(
_xlpm.rango, INDIRECT("E!$C$" &amp; $BA$8 &amp; ":$DR$" &amp; $BA$9),
_xlpm.col, AQ$72+$D84*10,
INDEX(_xlpm.rango,$BA$4-3,_xlpm.col) +
INDEX(_xlpm.rango,$BA$4-2,_xlpm.col) +
INDEX(_xlpm.rango,$BA$4-1,_xlpm.col) +
INDEX(_xlpm.rango,$BA$4, _xlpm.col)
)</f>
        <v/>
      </c>
      <c r="AR85" s="95">
        <f t="array" ref="AR85">_xlfn.LET(
_xlpm.rango, INDIRECT("E!$C$" &amp; $BA$8 &amp; ":$DR$" &amp; $BA$9),
_xlpm.col, AR$72+$D84*10,
INDEX(_xlpm.rango,$BA$4-3,_xlpm.col) +
INDEX(_xlpm.rango,$BA$4-2,_xlpm.col) +
INDEX(_xlpm.rango,$BA$4-1,_xlpm.col) +
INDEX(_xlpm.rango,$BA$4, _xlpm.col)
)</f>
        <v/>
      </c>
      <c r="AS85" s="112">
        <f t="array" ref="AS85">_xlfn.LET(
_xlpm.rango, INDIRECT("E!$C$" &amp; $BA$8 &amp; ":$DR$" &amp; $BA$9),
_xlpm.col, AS$72+$D84*10,
INDEX(_xlpm.rango,$BA$4-3,_xlpm.col) +
INDEX(_xlpm.rango,$BA$4-2,_xlpm.col) +
INDEX(_xlpm.rango,$BA$4-1,_xlpm.col) +
INDEX(_xlpm.rango,$BA$4, _xlpm.col)
)</f>
        <v/>
      </c>
      <c r="AT85" s="118">
        <f>SUM(F85:AS85)</f>
        <v/>
      </c>
      <c r="AU85" s="120">
        <f>AT85/$AT$88</f>
        <v/>
      </c>
    </row>
    <row r="86">
      <c r="D86" t="n">
        <v>11</v>
      </c>
      <c r="E86" s="106">
        <f>Inicio!V14</f>
        <v/>
      </c>
      <c r="F86" s="100">
        <f t="array" ref="F86">_xlfn.LET(
_xlpm.rango, INDIRECT("N!$C$" &amp; $BA$8 &amp; ":$DR$" &amp; $BA$9),
_xlpm.col, F$72+$D85*10,
INDEX(_xlpm.rango,$BA$4-3,_xlpm.col) +
INDEX(_xlpm.rango,$BA$4-2,_xlpm.col) +
INDEX(_xlpm.rango,$BA$4-1,_xlpm.col) +
INDEX(_xlpm.rango,$BA$4, _xlpm.col)
)</f>
        <v/>
      </c>
      <c r="G86" s="95">
        <f t="array" ref="G86">_xlfn.LET(
_xlpm.rango, INDIRECT("N!$C$" &amp; $BA$8 &amp; ":$DR$" &amp; $BA$9),
_xlpm.col, G$72+$D85*10,
INDEX(_xlpm.rango,$BA$4-3,_xlpm.col) +
INDEX(_xlpm.rango,$BA$4-2,_xlpm.col) +
INDEX(_xlpm.rango,$BA$4-1,_xlpm.col) +
INDEX(_xlpm.rango,$BA$4, _xlpm.col)
)</f>
        <v/>
      </c>
      <c r="H86" s="95">
        <f t="array" ref="H86">_xlfn.LET(
_xlpm.rango, INDIRECT("N!$C$" &amp; $BA$8 &amp; ":$DR$" &amp; $BA$9),
_xlpm.col, H$72+$D85*10,
INDEX(_xlpm.rango,$BA$4-3,_xlpm.col) +
INDEX(_xlpm.rango,$BA$4-2,_xlpm.col) +
INDEX(_xlpm.rango,$BA$4-1,_xlpm.col) +
INDEX(_xlpm.rango,$BA$4, _xlpm.col)
)</f>
        <v/>
      </c>
      <c r="I86" s="95">
        <f t="array" ref="I86">_xlfn.LET(
_xlpm.rango, INDIRECT("N!$C$" &amp; $BA$8 &amp; ":$DR$" &amp; $BA$9),
_xlpm.col, I$72+$D85*10,
INDEX(_xlpm.rango,$BA$4-3,_xlpm.col) +
INDEX(_xlpm.rango,$BA$4-2,_xlpm.col) +
INDEX(_xlpm.rango,$BA$4-1,_xlpm.col) +
INDEX(_xlpm.rango,$BA$4, _xlpm.col)
)</f>
        <v/>
      </c>
      <c r="J86" s="95">
        <f t="array" ref="J86">_xlfn.LET(
_xlpm.rango, INDIRECT("N!$C$" &amp; $BA$8 &amp; ":$DR$" &amp; $BA$9),
_xlpm.col, J$72+$D85*10,
INDEX(_xlpm.rango,$BA$4-3,_xlpm.col) +
INDEX(_xlpm.rango,$BA$4-2,_xlpm.col) +
INDEX(_xlpm.rango,$BA$4-1,_xlpm.col) +
INDEX(_xlpm.rango,$BA$4, _xlpm.col)
)</f>
        <v/>
      </c>
      <c r="K86" s="95">
        <f t="array" ref="K86">_xlfn.LET(
_xlpm.rango, INDIRECT("N!$C$" &amp; $BA$8 &amp; ":$DR$" &amp; $BA$9),
_xlpm.col, K$72+$D85*10,
INDEX(_xlpm.rango,$BA$4-3,_xlpm.col) +
INDEX(_xlpm.rango,$BA$4-2,_xlpm.col) +
INDEX(_xlpm.rango,$BA$4-1,_xlpm.col) +
INDEX(_xlpm.rango,$BA$4, _xlpm.col)
)</f>
        <v/>
      </c>
      <c r="L86" s="95">
        <f t="array" ref="L86">_xlfn.LET(
_xlpm.rango, INDIRECT("N!$C$" &amp; $BA$8 &amp; ":$DR$" &amp; $BA$9),
_xlpm.col, L$72+$D85*10,
INDEX(_xlpm.rango,$BA$4-3,_xlpm.col) +
INDEX(_xlpm.rango,$BA$4-2,_xlpm.col) +
INDEX(_xlpm.rango,$BA$4-1,_xlpm.col) +
INDEX(_xlpm.rango,$BA$4, _xlpm.col)
)</f>
        <v/>
      </c>
      <c r="M86" s="95">
        <f t="array" ref="M86">_xlfn.LET(
_xlpm.rango, INDIRECT("N!$C$" &amp; $BA$8 &amp; ":$DR$" &amp; $BA$9),
_xlpm.col, M$72+$D85*10,
INDEX(_xlpm.rango,$BA$4-3,_xlpm.col) +
INDEX(_xlpm.rango,$BA$4-2,_xlpm.col) +
INDEX(_xlpm.rango,$BA$4-1,_xlpm.col) +
INDEX(_xlpm.rango,$BA$4, _xlpm.col)
)</f>
        <v/>
      </c>
      <c r="N86" s="95">
        <f t="array" ref="N86">_xlfn.LET(
_xlpm.rango, INDIRECT("N!$C$" &amp; $BA$8 &amp; ":$DR$" &amp; $BA$9),
_xlpm.col, N$72+$D85*10,
INDEX(_xlpm.rango,$BA$4-3,_xlpm.col) +
INDEX(_xlpm.rango,$BA$4-2,_xlpm.col) +
INDEX(_xlpm.rango,$BA$4-1,_xlpm.col) +
INDEX(_xlpm.rango,$BA$4, _xlpm.col)
)</f>
        <v/>
      </c>
      <c r="O86" s="96">
        <f t="array" ref="O86">_xlfn.LET(
_xlpm.rango, INDIRECT("N!$C$" &amp; $BA$8 &amp; ":$DR$" &amp; $BA$9),
_xlpm.col, O$72+$D85*10,
INDEX(_xlpm.rango,$BA$4-3,_xlpm.col) +
INDEX(_xlpm.rango,$BA$4-2,_xlpm.col) +
INDEX(_xlpm.rango,$BA$4-1,_xlpm.col) +
INDEX(_xlpm.rango,$BA$4, _xlpm.col)
)</f>
        <v/>
      </c>
      <c r="P86" s="95">
        <f t="array" ref="P86">_xlfn.LET(
_xlpm.rango, INDIRECT("S!$C$" &amp; $BA$8 &amp; ":$DR$" &amp; $BA$9),
_xlpm.col, P$72+$D85*10,
INDEX(_xlpm.rango,$BA$4-3,_xlpm.col) +
INDEX(_xlpm.rango,$BA$4-2,_xlpm.col) +
INDEX(_xlpm.rango,$BA$4-1,_xlpm.col) +
INDEX(_xlpm.rango,$BA$4, _xlpm.col)
)</f>
        <v/>
      </c>
      <c r="Q86" s="95">
        <f t="array" ref="Q86">_xlfn.LET(
_xlpm.rango, INDIRECT("S!$C$" &amp; $BA$8 &amp; ":$DR$" &amp; $BA$9),
_xlpm.col, Q$72+$D85*10,
INDEX(_xlpm.rango,$BA$4-3,_xlpm.col) +
INDEX(_xlpm.rango,$BA$4-2,_xlpm.col) +
INDEX(_xlpm.rango,$BA$4-1,_xlpm.col) +
INDEX(_xlpm.rango,$BA$4, _xlpm.col)
)</f>
        <v/>
      </c>
      <c r="R86" s="95">
        <f t="array" ref="R86">_xlfn.LET(
_xlpm.rango, INDIRECT("S!$C$" &amp; $BA$8 &amp; ":$DR$" &amp; $BA$9),
_xlpm.col, R$72+$D85*10,
INDEX(_xlpm.rango,$BA$4-3,_xlpm.col) +
INDEX(_xlpm.rango,$BA$4-2,_xlpm.col) +
INDEX(_xlpm.rango,$BA$4-1,_xlpm.col) +
INDEX(_xlpm.rango,$BA$4, _xlpm.col)
)</f>
        <v/>
      </c>
      <c r="S86" s="95">
        <f t="array" ref="S86">_xlfn.LET(
_xlpm.rango, INDIRECT("S!$C$" &amp; $BA$8 &amp; ":$DR$" &amp; $BA$9),
_xlpm.col, S$72+$D85*10,
INDEX(_xlpm.rango,$BA$4-3,_xlpm.col) +
INDEX(_xlpm.rango,$BA$4-2,_xlpm.col) +
INDEX(_xlpm.rango,$BA$4-1,_xlpm.col) +
INDEX(_xlpm.rango,$BA$4, _xlpm.col)
)</f>
        <v/>
      </c>
      <c r="T86" s="95">
        <f t="array" ref="T86">_xlfn.LET(
_xlpm.rango, INDIRECT("S!$C$" &amp; $BA$8 &amp; ":$DR$" &amp; $BA$9),
_xlpm.col, T$72+$D85*10,
INDEX(_xlpm.rango,$BA$4-3,_xlpm.col) +
INDEX(_xlpm.rango,$BA$4-2,_xlpm.col) +
INDEX(_xlpm.rango,$BA$4-1,_xlpm.col) +
INDEX(_xlpm.rango,$BA$4, _xlpm.col)
)</f>
        <v/>
      </c>
      <c r="U86" s="95">
        <f t="array" ref="U86">_xlfn.LET(
_xlpm.rango, INDIRECT("S!$C$" &amp; $BA$8 &amp; ":$DR$" &amp; $BA$9),
_xlpm.col, U$72+$D85*10,
INDEX(_xlpm.rango,$BA$4-3,_xlpm.col) +
INDEX(_xlpm.rango,$BA$4-2,_xlpm.col) +
INDEX(_xlpm.rango,$BA$4-1,_xlpm.col) +
INDEX(_xlpm.rango,$BA$4, _xlpm.col)
)</f>
        <v/>
      </c>
      <c r="V86" s="95">
        <f t="array" ref="V86">_xlfn.LET(
_xlpm.rango, INDIRECT("S!$C$" &amp; $BA$8 &amp; ":$DR$" &amp; $BA$9),
_xlpm.col, V$72+$D85*10,
INDEX(_xlpm.rango,$BA$4-3,_xlpm.col) +
INDEX(_xlpm.rango,$BA$4-2,_xlpm.col) +
INDEX(_xlpm.rango,$BA$4-1,_xlpm.col) +
INDEX(_xlpm.rango,$BA$4, _xlpm.col)
)</f>
        <v/>
      </c>
      <c r="W86" s="95">
        <f t="array" ref="W86">_xlfn.LET(
_xlpm.rango, INDIRECT("S!$C$" &amp; $BA$8 &amp; ":$DR$" &amp; $BA$9),
_xlpm.col, W$72+$D85*10,
INDEX(_xlpm.rango,$BA$4-3,_xlpm.col) +
INDEX(_xlpm.rango,$BA$4-2,_xlpm.col) +
INDEX(_xlpm.rango,$BA$4-1,_xlpm.col) +
INDEX(_xlpm.rango,$BA$4, _xlpm.col)
)</f>
        <v/>
      </c>
      <c r="X86" s="95">
        <f t="array" ref="X86">_xlfn.LET(
_xlpm.rango, INDIRECT("S!$C$" &amp; $BA$8 &amp; ":$DR$" &amp; $BA$9),
_xlpm.col, X$72+$D85*10,
INDEX(_xlpm.rango,$BA$4-3,_xlpm.col) +
INDEX(_xlpm.rango,$BA$4-2,_xlpm.col) +
INDEX(_xlpm.rango,$BA$4-1,_xlpm.col) +
INDEX(_xlpm.rango,$BA$4, _xlpm.col)
)</f>
        <v/>
      </c>
      <c r="Y86" s="95">
        <f t="array" ref="Y86">_xlfn.LET(
_xlpm.rango, INDIRECT("S!$C$" &amp; $BA$8 &amp; ":$DR$" &amp; $BA$9),
_xlpm.col, Y$72+$D85*10,
INDEX(_xlpm.rango,$BA$4-3,_xlpm.col) +
INDEX(_xlpm.rango,$BA$4-2,_xlpm.col) +
INDEX(_xlpm.rango,$BA$4-1,_xlpm.col) +
INDEX(_xlpm.rango,$BA$4, _xlpm.col)
)</f>
        <v/>
      </c>
      <c r="Z86" s="100">
        <f t="array" ref="Z86">_xlfn.LET(
_xlpm.rango, INDIRECT("E!$C$" &amp; $BA$8 &amp; ":$DR$" &amp; $BA$9),
_xlpm.col, Z$72+$D85*10,
INDEX(_xlpm.rango,$BA$4-3,_xlpm.col) +
INDEX(_xlpm.rango,$BA$4-2,_xlpm.col) +
INDEX(_xlpm.rango,$BA$4-1,_xlpm.col) +
INDEX(_xlpm.rango,$BA$4, _xlpm.col)
)</f>
        <v/>
      </c>
      <c r="AA86" s="95">
        <f t="array" ref="AA86">_xlfn.LET(
_xlpm.rango, INDIRECT("E!$C$" &amp; $BA$8 &amp; ":$DR$" &amp; $BA$9),
_xlpm.col, AA$72+$D85*10,
INDEX(_xlpm.rango,$BA$4-3,_xlpm.col) +
INDEX(_xlpm.rango,$BA$4-2,_xlpm.col) +
INDEX(_xlpm.rango,$BA$4-1,_xlpm.col) +
INDEX(_xlpm.rango,$BA$4, _xlpm.col)
)</f>
        <v/>
      </c>
      <c r="AB86" s="95">
        <f t="array" ref="AB86">_xlfn.LET(
_xlpm.rango, INDIRECT("E!$C$" &amp; $BA$8 &amp; ":$DR$" &amp; $BA$9),
_xlpm.col, AB$72+$D85*10,
INDEX(_xlpm.rango,$BA$4-3,_xlpm.col) +
INDEX(_xlpm.rango,$BA$4-2,_xlpm.col) +
INDEX(_xlpm.rango,$BA$4-1,_xlpm.col) +
INDEX(_xlpm.rango,$BA$4, _xlpm.col)
)</f>
        <v/>
      </c>
      <c r="AC86" s="95">
        <f t="array" ref="AC86">_xlfn.LET(
_xlpm.rango, INDIRECT("E!$C$" &amp; $BA$8 &amp; ":$DR$" &amp; $BA$9),
_xlpm.col, AC$72+$D85*10,
INDEX(_xlpm.rango,$BA$4-3,_xlpm.col) +
INDEX(_xlpm.rango,$BA$4-2,_xlpm.col) +
INDEX(_xlpm.rango,$BA$4-1,_xlpm.col) +
INDEX(_xlpm.rango,$BA$4, _xlpm.col)
)</f>
        <v/>
      </c>
      <c r="AD86" s="95">
        <f t="array" ref="AD86">_xlfn.LET(
_xlpm.rango, INDIRECT("E!$C$" &amp; $BA$8 &amp; ":$DR$" &amp; $BA$9),
_xlpm.col, AD$72+$D85*10,
INDEX(_xlpm.rango,$BA$4-3,_xlpm.col) +
INDEX(_xlpm.rango,$BA$4-2,_xlpm.col) +
INDEX(_xlpm.rango,$BA$4-1,_xlpm.col) +
INDEX(_xlpm.rango,$BA$4, _xlpm.col)
)</f>
        <v/>
      </c>
      <c r="AE86" s="95">
        <f t="array" ref="AE86">_xlfn.LET(
_xlpm.rango, INDIRECT("E!$C$" &amp; $BA$8 &amp; ":$DR$" &amp; $BA$9),
_xlpm.col, AE$72+$D85*10,
INDEX(_xlpm.rango,$BA$4-3,_xlpm.col) +
INDEX(_xlpm.rango,$BA$4-2,_xlpm.col) +
INDEX(_xlpm.rango,$BA$4-1,_xlpm.col) +
INDEX(_xlpm.rango,$BA$4, _xlpm.col)
)</f>
        <v/>
      </c>
      <c r="AF86" s="95">
        <f t="array" ref="AF86">_xlfn.LET(
_xlpm.rango, INDIRECT("E!$C$" &amp; $BA$8 &amp; ":$DR$" &amp; $BA$9),
_xlpm.col, AF$72+$D85*10,
INDEX(_xlpm.rango,$BA$4-3,_xlpm.col) +
INDEX(_xlpm.rango,$BA$4-2,_xlpm.col) +
INDEX(_xlpm.rango,$BA$4-1,_xlpm.col) +
INDEX(_xlpm.rango,$BA$4, _xlpm.col)
)</f>
        <v/>
      </c>
      <c r="AG86" s="95">
        <f t="array" ref="AG86">_xlfn.LET(
_xlpm.rango, INDIRECT("E!$C$" &amp; $BA$8 &amp; ":$DR$" &amp; $BA$9),
_xlpm.col, AG$72+$D85*10,
INDEX(_xlpm.rango,$BA$4-3,_xlpm.col) +
INDEX(_xlpm.rango,$BA$4-2,_xlpm.col) +
INDEX(_xlpm.rango,$BA$4-1,_xlpm.col) +
INDEX(_xlpm.rango,$BA$4, _xlpm.col)
)</f>
        <v/>
      </c>
      <c r="AH86" s="95">
        <f t="array" ref="AH86">_xlfn.LET(
_xlpm.rango, INDIRECT("E!$C$" &amp; $BA$8 &amp; ":$DR$" &amp; $BA$9),
_xlpm.col, AH$72+$D85*10,
INDEX(_xlpm.rango,$BA$4-3,_xlpm.col) +
INDEX(_xlpm.rango,$BA$4-2,_xlpm.col) +
INDEX(_xlpm.rango,$BA$4-1,_xlpm.col) +
INDEX(_xlpm.rango,$BA$4, _xlpm.col)
)</f>
        <v/>
      </c>
      <c r="AI86" s="96">
        <f t="array" ref="AI86">_xlfn.LET(
_xlpm.rango, INDIRECT("E!$C$" &amp; $BA$8 &amp; ":$DR$" &amp; $BA$9),
_xlpm.col, AI$72+$D85*10,
INDEX(_xlpm.rango,$BA$4-3,_xlpm.col) +
INDEX(_xlpm.rango,$BA$4-2,_xlpm.col) +
INDEX(_xlpm.rango,$BA$4-1,_xlpm.col) +
INDEX(_xlpm.rango,$BA$4, _xlpm.col)
)</f>
        <v/>
      </c>
      <c r="AJ86" s="95">
        <f t="array" ref="AJ86">_xlfn.LET(
_xlpm.rango, INDIRECT("E!$C$" &amp; $BA$8 &amp; ":$DR$" &amp; $BA$9),
_xlpm.col, AJ$72+$D85*10,
INDEX(_xlpm.rango,$BA$4-3,_xlpm.col) +
INDEX(_xlpm.rango,$BA$4-2,_xlpm.col) +
INDEX(_xlpm.rango,$BA$4-1,_xlpm.col) +
INDEX(_xlpm.rango,$BA$4, _xlpm.col)
)</f>
        <v/>
      </c>
      <c r="AK86" s="95">
        <f t="array" ref="AK86">_xlfn.LET(
_xlpm.rango, INDIRECT("E!$C$" &amp; $BA$8 &amp; ":$DR$" &amp; $BA$9),
_xlpm.col, AK$72+$D85*10,
INDEX(_xlpm.rango,$BA$4-3,_xlpm.col) +
INDEX(_xlpm.rango,$BA$4-2,_xlpm.col) +
INDEX(_xlpm.rango,$BA$4-1,_xlpm.col) +
INDEX(_xlpm.rango,$BA$4, _xlpm.col)
)</f>
        <v/>
      </c>
      <c r="AL86" s="95">
        <f t="array" ref="AL86">_xlfn.LET(
_xlpm.rango, INDIRECT("E!$C$" &amp; $BA$8 &amp; ":$DR$" &amp; $BA$9),
_xlpm.col, AL$72+$D85*10,
INDEX(_xlpm.rango,$BA$4-3,_xlpm.col) +
INDEX(_xlpm.rango,$BA$4-2,_xlpm.col) +
INDEX(_xlpm.rango,$BA$4-1,_xlpm.col) +
INDEX(_xlpm.rango,$BA$4, _xlpm.col)
)</f>
        <v/>
      </c>
      <c r="AM86" s="95">
        <f t="array" ref="AM86">_xlfn.LET(
_xlpm.rango, INDIRECT("E!$C$" &amp; $BA$8 &amp; ":$DR$" &amp; $BA$9),
_xlpm.col, AM$72+$D85*10,
INDEX(_xlpm.rango,$BA$4-3,_xlpm.col) +
INDEX(_xlpm.rango,$BA$4-2,_xlpm.col) +
INDEX(_xlpm.rango,$BA$4-1,_xlpm.col) +
INDEX(_xlpm.rango,$BA$4, _xlpm.col)
)</f>
        <v/>
      </c>
      <c r="AN86" s="95">
        <f t="array" ref="AN86">_xlfn.LET(
_xlpm.rango, INDIRECT("E!$C$" &amp; $BA$8 &amp; ":$DR$" &amp; $BA$9),
_xlpm.col, AN$72+$D85*10,
INDEX(_xlpm.rango,$BA$4-3,_xlpm.col) +
INDEX(_xlpm.rango,$BA$4-2,_xlpm.col) +
INDEX(_xlpm.rango,$BA$4-1,_xlpm.col) +
INDEX(_xlpm.rango,$BA$4, _xlpm.col)
)</f>
        <v/>
      </c>
      <c r="AO86" s="95">
        <f t="array" ref="AO86">_xlfn.LET(
_xlpm.rango, INDIRECT("E!$C$" &amp; $BA$8 &amp; ":$DR$" &amp; $BA$9),
_xlpm.col, AO$72+$D85*10,
INDEX(_xlpm.rango,$BA$4-3,_xlpm.col) +
INDEX(_xlpm.rango,$BA$4-2,_xlpm.col) +
INDEX(_xlpm.rango,$BA$4-1,_xlpm.col) +
INDEX(_xlpm.rango,$BA$4, _xlpm.col)
)</f>
        <v/>
      </c>
      <c r="AP86" s="95">
        <f t="array" ref="AP86">_xlfn.LET(
_xlpm.rango, INDIRECT("E!$C$" &amp; $BA$8 &amp; ":$DR$" &amp; $BA$9),
_xlpm.col, AP$72+$D85*10,
INDEX(_xlpm.rango,$BA$4-3,_xlpm.col) +
INDEX(_xlpm.rango,$BA$4-2,_xlpm.col) +
INDEX(_xlpm.rango,$BA$4-1,_xlpm.col) +
INDEX(_xlpm.rango,$BA$4, _xlpm.col)
)</f>
        <v/>
      </c>
      <c r="AQ86" s="95">
        <f t="array" ref="AQ86">_xlfn.LET(
_xlpm.rango, INDIRECT("E!$C$" &amp; $BA$8 &amp; ":$DR$" &amp; $BA$9),
_xlpm.col, AQ$72+$D85*10,
INDEX(_xlpm.rango,$BA$4-3,_xlpm.col) +
INDEX(_xlpm.rango,$BA$4-2,_xlpm.col) +
INDEX(_xlpm.rango,$BA$4-1,_xlpm.col) +
INDEX(_xlpm.rango,$BA$4, _xlpm.col)
)</f>
        <v/>
      </c>
      <c r="AR86" s="95">
        <f t="array" ref="AR86">_xlfn.LET(
_xlpm.rango, INDIRECT("E!$C$" &amp; $BA$8 &amp; ":$DR$" &amp; $BA$9),
_xlpm.col, AR$72+$D85*10,
INDEX(_xlpm.rango,$BA$4-3,_xlpm.col) +
INDEX(_xlpm.rango,$BA$4-2,_xlpm.col) +
INDEX(_xlpm.rango,$BA$4-1,_xlpm.col) +
INDEX(_xlpm.rango,$BA$4, _xlpm.col)
)</f>
        <v/>
      </c>
      <c r="AS86" s="112">
        <f t="array" ref="AS86">_xlfn.LET(
_xlpm.rango, INDIRECT("E!$C$" &amp; $BA$8 &amp; ":$DR$" &amp; $BA$9),
_xlpm.col, AS$72+$D85*10,
INDEX(_xlpm.rango,$BA$4-3,_xlpm.col) +
INDEX(_xlpm.rango,$BA$4-2,_xlpm.col) +
INDEX(_xlpm.rango,$BA$4-1,_xlpm.col) +
INDEX(_xlpm.rango,$BA$4, _xlpm.col)
)</f>
        <v/>
      </c>
      <c r="AT86" s="118">
        <f>SUM(F86:AS86)</f>
        <v/>
      </c>
      <c r="AU86" s="120">
        <f>AT86/$AT$88</f>
        <v/>
      </c>
    </row>
    <row r="87">
      <c r="D87" t="n">
        <v>12</v>
      </c>
      <c r="E87" s="113">
        <f>Inicio!V15</f>
        <v/>
      </c>
      <c r="F87" s="101">
        <f t="array" ref="F87">_xlfn.LET(
_xlpm.rango, INDIRECT("N!$C$" &amp; $BA$8 &amp; ":$DR$" &amp; $BA$9),
_xlpm.col, F$72+$D86*10,
INDEX(_xlpm.rango,$BA$4-3,_xlpm.col) +
INDEX(_xlpm.rango,$BA$4-2,_xlpm.col) +
INDEX(_xlpm.rango,$BA$4-1,_xlpm.col) +
INDEX(_xlpm.rango,$BA$4, _xlpm.col)
)</f>
        <v/>
      </c>
      <c r="G87" s="97">
        <f t="array" ref="G87">_xlfn.LET(
_xlpm.rango, INDIRECT("N!$C$" &amp; $BA$8 &amp; ":$DR$" &amp; $BA$9),
_xlpm.col, G$72+$D86*10,
INDEX(_xlpm.rango,$BA$4-3,_xlpm.col) +
INDEX(_xlpm.rango,$BA$4-2,_xlpm.col) +
INDEX(_xlpm.rango,$BA$4-1,_xlpm.col) +
INDEX(_xlpm.rango,$BA$4, _xlpm.col)
)</f>
        <v/>
      </c>
      <c r="H87" s="97">
        <f t="array" ref="H87">_xlfn.LET(
_xlpm.rango, INDIRECT("N!$C$" &amp; $BA$8 &amp; ":$DR$" &amp; $BA$9),
_xlpm.col, H$72+$D86*10,
INDEX(_xlpm.rango,$BA$4-3,_xlpm.col) +
INDEX(_xlpm.rango,$BA$4-2,_xlpm.col) +
INDEX(_xlpm.rango,$BA$4-1,_xlpm.col) +
INDEX(_xlpm.rango,$BA$4, _xlpm.col)
)</f>
        <v/>
      </c>
      <c r="I87" s="97">
        <f t="array" ref="I87">_xlfn.LET(
_xlpm.rango, INDIRECT("N!$C$" &amp; $BA$8 &amp; ":$DR$" &amp; $BA$9),
_xlpm.col, I$72+$D86*10,
INDEX(_xlpm.rango,$BA$4-3,_xlpm.col) +
INDEX(_xlpm.rango,$BA$4-2,_xlpm.col) +
INDEX(_xlpm.rango,$BA$4-1,_xlpm.col) +
INDEX(_xlpm.rango,$BA$4, _xlpm.col)
)</f>
        <v/>
      </c>
      <c r="J87" s="97">
        <f t="array" ref="J87">_xlfn.LET(
_xlpm.rango, INDIRECT("N!$C$" &amp; $BA$8 &amp; ":$DR$" &amp; $BA$9),
_xlpm.col, J$72+$D86*10,
INDEX(_xlpm.rango,$BA$4-3,_xlpm.col) +
INDEX(_xlpm.rango,$BA$4-2,_xlpm.col) +
INDEX(_xlpm.rango,$BA$4-1,_xlpm.col) +
INDEX(_xlpm.rango,$BA$4, _xlpm.col)
)</f>
        <v/>
      </c>
      <c r="K87" s="97">
        <f t="array" ref="K87">_xlfn.LET(
_xlpm.rango, INDIRECT("N!$C$" &amp; $BA$8 &amp; ":$DR$" &amp; $BA$9),
_xlpm.col, K$72+$D86*10,
INDEX(_xlpm.rango,$BA$4-3,_xlpm.col) +
INDEX(_xlpm.rango,$BA$4-2,_xlpm.col) +
INDEX(_xlpm.rango,$BA$4-1,_xlpm.col) +
INDEX(_xlpm.rango,$BA$4, _xlpm.col)
)</f>
        <v/>
      </c>
      <c r="L87" s="97">
        <f t="array" ref="L87">_xlfn.LET(
_xlpm.rango, INDIRECT("N!$C$" &amp; $BA$8 &amp; ":$DR$" &amp; $BA$9),
_xlpm.col, L$72+$D86*10,
INDEX(_xlpm.rango,$BA$4-3,_xlpm.col) +
INDEX(_xlpm.rango,$BA$4-2,_xlpm.col) +
INDEX(_xlpm.rango,$BA$4-1,_xlpm.col) +
INDEX(_xlpm.rango,$BA$4, _xlpm.col)
)</f>
        <v/>
      </c>
      <c r="M87" s="97">
        <f t="array" ref="M87">_xlfn.LET(
_xlpm.rango, INDIRECT("N!$C$" &amp; $BA$8 &amp; ":$DR$" &amp; $BA$9),
_xlpm.col, M$72+$D86*10,
INDEX(_xlpm.rango,$BA$4-3,_xlpm.col) +
INDEX(_xlpm.rango,$BA$4-2,_xlpm.col) +
INDEX(_xlpm.rango,$BA$4-1,_xlpm.col) +
INDEX(_xlpm.rango,$BA$4, _xlpm.col)
)</f>
        <v/>
      </c>
      <c r="N87" s="97">
        <f t="array" ref="N87">_xlfn.LET(
_xlpm.rango, INDIRECT("N!$C$" &amp; $BA$8 &amp; ":$DR$" &amp; $BA$9),
_xlpm.col, N$72+$D86*10,
INDEX(_xlpm.rango,$BA$4-3,_xlpm.col) +
INDEX(_xlpm.rango,$BA$4-2,_xlpm.col) +
INDEX(_xlpm.rango,$BA$4-1,_xlpm.col) +
INDEX(_xlpm.rango,$BA$4, _xlpm.col)
)</f>
        <v/>
      </c>
      <c r="O87" s="98">
        <f t="array" ref="O87">_xlfn.LET(
_xlpm.rango, INDIRECT("N!$C$" &amp; $BA$8 &amp; ":$DR$" &amp; $BA$9),
_xlpm.col, O$72+$D86*10,
INDEX(_xlpm.rango,$BA$4-3,_xlpm.col) +
INDEX(_xlpm.rango,$BA$4-2,_xlpm.col) +
INDEX(_xlpm.rango,$BA$4-1,_xlpm.col) +
INDEX(_xlpm.rango,$BA$4, _xlpm.col)
)</f>
        <v/>
      </c>
      <c r="P87" s="97">
        <f t="array" ref="P87">_xlfn.LET(
_xlpm.rango, INDIRECT("S!$C$" &amp; $BA$8 &amp; ":$DR$" &amp; $BA$9),
_xlpm.col, P$72+$D86*10,
INDEX(_xlpm.rango,$BA$4-3,_xlpm.col) +
INDEX(_xlpm.rango,$BA$4-2,_xlpm.col) +
INDEX(_xlpm.rango,$BA$4-1,_xlpm.col) +
INDEX(_xlpm.rango,$BA$4, _xlpm.col)
)</f>
        <v/>
      </c>
      <c r="Q87" s="97">
        <f t="array" ref="Q87">_xlfn.LET(
_xlpm.rango, INDIRECT("S!$C$" &amp; $BA$8 &amp; ":$DR$" &amp; $BA$9),
_xlpm.col, Q$72+$D86*10,
INDEX(_xlpm.rango,$BA$4-3,_xlpm.col) +
INDEX(_xlpm.rango,$BA$4-2,_xlpm.col) +
INDEX(_xlpm.rango,$BA$4-1,_xlpm.col) +
INDEX(_xlpm.rango,$BA$4, _xlpm.col)
)</f>
        <v/>
      </c>
      <c r="R87" s="97">
        <f t="array" ref="R87">_xlfn.LET(
_xlpm.rango, INDIRECT("S!$C$" &amp; $BA$8 &amp; ":$DR$" &amp; $BA$9),
_xlpm.col, R$72+$D86*10,
INDEX(_xlpm.rango,$BA$4-3,_xlpm.col) +
INDEX(_xlpm.rango,$BA$4-2,_xlpm.col) +
INDEX(_xlpm.rango,$BA$4-1,_xlpm.col) +
INDEX(_xlpm.rango,$BA$4, _xlpm.col)
)</f>
        <v/>
      </c>
      <c r="S87" s="97">
        <f t="array" ref="S87">_xlfn.LET(
_xlpm.rango, INDIRECT("S!$C$" &amp; $BA$8 &amp; ":$DR$" &amp; $BA$9),
_xlpm.col, S$72+$D86*10,
INDEX(_xlpm.rango,$BA$4-3,_xlpm.col) +
INDEX(_xlpm.rango,$BA$4-2,_xlpm.col) +
INDEX(_xlpm.rango,$BA$4-1,_xlpm.col) +
INDEX(_xlpm.rango,$BA$4, _xlpm.col)
)</f>
        <v/>
      </c>
      <c r="T87" s="97">
        <f t="array" ref="T87">_xlfn.LET(
_xlpm.rango, INDIRECT("S!$C$" &amp; $BA$8 &amp; ":$DR$" &amp; $BA$9),
_xlpm.col, T$72+$D86*10,
INDEX(_xlpm.rango,$BA$4-3,_xlpm.col) +
INDEX(_xlpm.rango,$BA$4-2,_xlpm.col) +
INDEX(_xlpm.rango,$BA$4-1,_xlpm.col) +
INDEX(_xlpm.rango,$BA$4, _xlpm.col)
)</f>
        <v/>
      </c>
      <c r="U87" s="97">
        <f t="array" ref="U87">_xlfn.LET(
_xlpm.rango, INDIRECT("S!$C$" &amp; $BA$8 &amp; ":$DR$" &amp; $BA$9),
_xlpm.col, U$72+$D86*10,
INDEX(_xlpm.rango,$BA$4-3,_xlpm.col) +
INDEX(_xlpm.rango,$BA$4-2,_xlpm.col) +
INDEX(_xlpm.rango,$BA$4-1,_xlpm.col) +
INDEX(_xlpm.rango,$BA$4, _xlpm.col)
)</f>
        <v/>
      </c>
      <c r="V87" s="97">
        <f t="array" ref="V87">_xlfn.LET(
_xlpm.rango, INDIRECT("S!$C$" &amp; $BA$8 &amp; ":$DR$" &amp; $BA$9),
_xlpm.col, V$72+$D86*10,
INDEX(_xlpm.rango,$BA$4-3,_xlpm.col) +
INDEX(_xlpm.rango,$BA$4-2,_xlpm.col) +
INDEX(_xlpm.rango,$BA$4-1,_xlpm.col) +
INDEX(_xlpm.rango,$BA$4, _xlpm.col)
)</f>
        <v/>
      </c>
      <c r="W87" s="97">
        <f t="array" ref="W87">_xlfn.LET(
_xlpm.rango, INDIRECT("S!$C$" &amp; $BA$8 &amp; ":$DR$" &amp; $BA$9),
_xlpm.col, W$72+$D86*10,
INDEX(_xlpm.rango,$BA$4-3,_xlpm.col) +
INDEX(_xlpm.rango,$BA$4-2,_xlpm.col) +
INDEX(_xlpm.rango,$BA$4-1,_xlpm.col) +
INDEX(_xlpm.rango,$BA$4, _xlpm.col)
)</f>
        <v/>
      </c>
      <c r="X87" s="97">
        <f t="array" ref="X87">_xlfn.LET(
_xlpm.rango, INDIRECT("S!$C$" &amp; $BA$8 &amp; ":$DR$" &amp; $BA$9),
_xlpm.col, X$72+$D86*10,
INDEX(_xlpm.rango,$BA$4-3,_xlpm.col) +
INDEX(_xlpm.rango,$BA$4-2,_xlpm.col) +
INDEX(_xlpm.rango,$BA$4-1,_xlpm.col) +
INDEX(_xlpm.rango,$BA$4, _xlpm.col)
)</f>
        <v/>
      </c>
      <c r="Y87" s="97">
        <f t="array" ref="Y87">_xlfn.LET(
_xlpm.rango, INDIRECT("S!$C$" &amp; $BA$8 &amp; ":$DR$" &amp; $BA$9),
_xlpm.col, Y$72+$D86*10,
INDEX(_xlpm.rango,$BA$4-3,_xlpm.col) +
INDEX(_xlpm.rango,$BA$4-2,_xlpm.col) +
INDEX(_xlpm.rango,$BA$4-1,_xlpm.col) +
INDEX(_xlpm.rango,$BA$4, _xlpm.col)
)</f>
        <v/>
      </c>
      <c r="Z87" s="101">
        <f t="array" ref="Z87">_xlfn.LET(
_xlpm.rango, INDIRECT("E!$C$" &amp; $BA$8 &amp; ":$DR$" &amp; $BA$9),
_xlpm.col, Z$72+$D86*10,
INDEX(_xlpm.rango,$BA$4-3,_xlpm.col) +
INDEX(_xlpm.rango,$BA$4-2,_xlpm.col) +
INDEX(_xlpm.rango,$BA$4-1,_xlpm.col) +
INDEX(_xlpm.rango,$BA$4, _xlpm.col)
)</f>
        <v/>
      </c>
      <c r="AA87" s="97">
        <f t="array" ref="AA87">_xlfn.LET(
_xlpm.rango, INDIRECT("E!$C$" &amp; $BA$8 &amp; ":$DR$" &amp; $BA$9),
_xlpm.col, AA$72+$D86*10,
INDEX(_xlpm.rango,$BA$4-3,_xlpm.col) +
INDEX(_xlpm.rango,$BA$4-2,_xlpm.col) +
INDEX(_xlpm.rango,$BA$4-1,_xlpm.col) +
INDEX(_xlpm.rango,$BA$4, _xlpm.col)
)</f>
        <v/>
      </c>
      <c r="AB87" s="97">
        <f t="array" ref="AB87">_xlfn.LET(
_xlpm.rango, INDIRECT("E!$C$" &amp; $BA$8 &amp; ":$DR$" &amp; $BA$9),
_xlpm.col, AB$72+$D86*10,
INDEX(_xlpm.rango,$BA$4-3,_xlpm.col) +
INDEX(_xlpm.rango,$BA$4-2,_xlpm.col) +
INDEX(_xlpm.rango,$BA$4-1,_xlpm.col) +
INDEX(_xlpm.rango,$BA$4, _xlpm.col)
)</f>
        <v/>
      </c>
      <c r="AC87" s="97">
        <f t="array" ref="AC87">_xlfn.LET(
_xlpm.rango, INDIRECT("E!$C$" &amp; $BA$8 &amp; ":$DR$" &amp; $BA$9),
_xlpm.col, AC$72+$D86*10,
INDEX(_xlpm.rango,$BA$4-3,_xlpm.col) +
INDEX(_xlpm.rango,$BA$4-2,_xlpm.col) +
INDEX(_xlpm.rango,$BA$4-1,_xlpm.col) +
INDEX(_xlpm.rango,$BA$4, _xlpm.col)
)</f>
        <v/>
      </c>
      <c r="AD87" s="97">
        <f t="array" ref="AD87">_xlfn.LET(
_xlpm.rango, INDIRECT("E!$C$" &amp; $BA$8 &amp; ":$DR$" &amp; $BA$9),
_xlpm.col, AD$72+$D86*10,
INDEX(_xlpm.rango,$BA$4-3,_xlpm.col) +
INDEX(_xlpm.rango,$BA$4-2,_xlpm.col) +
INDEX(_xlpm.rango,$BA$4-1,_xlpm.col) +
INDEX(_xlpm.rango,$BA$4, _xlpm.col)
)</f>
        <v/>
      </c>
      <c r="AE87" s="97">
        <f t="array" ref="AE87">_xlfn.LET(
_xlpm.rango, INDIRECT("E!$C$" &amp; $BA$8 &amp; ":$DR$" &amp; $BA$9),
_xlpm.col, AE$72+$D86*10,
INDEX(_xlpm.rango,$BA$4-3,_xlpm.col) +
INDEX(_xlpm.rango,$BA$4-2,_xlpm.col) +
INDEX(_xlpm.rango,$BA$4-1,_xlpm.col) +
INDEX(_xlpm.rango,$BA$4, _xlpm.col)
)</f>
        <v/>
      </c>
      <c r="AF87" s="97">
        <f t="array" ref="AF87">_xlfn.LET(
_xlpm.rango, INDIRECT("E!$C$" &amp; $BA$8 &amp; ":$DR$" &amp; $BA$9),
_xlpm.col, AF$72+$D86*10,
INDEX(_xlpm.rango,$BA$4-3,_xlpm.col) +
INDEX(_xlpm.rango,$BA$4-2,_xlpm.col) +
INDEX(_xlpm.rango,$BA$4-1,_xlpm.col) +
INDEX(_xlpm.rango,$BA$4, _xlpm.col)
)</f>
        <v/>
      </c>
      <c r="AG87" s="97">
        <f t="array" ref="AG87">_xlfn.LET(
_xlpm.rango, INDIRECT("E!$C$" &amp; $BA$8 &amp; ":$DR$" &amp; $BA$9),
_xlpm.col, AG$72+$D86*10,
INDEX(_xlpm.rango,$BA$4-3,_xlpm.col) +
INDEX(_xlpm.rango,$BA$4-2,_xlpm.col) +
INDEX(_xlpm.rango,$BA$4-1,_xlpm.col) +
INDEX(_xlpm.rango,$BA$4, _xlpm.col)
)</f>
        <v/>
      </c>
      <c r="AH87" s="97">
        <f t="array" ref="AH87">_xlfn.LET(
_xlpm.rango, INDIRECT("E!$C$" &amp; $BA$8 &amp; ":$DR$" &amp; $BA$9),
_xlpm.col, AH$72+$D86*10,
INDEX(_xlpm.rango,$BA$4-3,_xlpm.col) +
INDEX(_xlpm.rango,$BA$4-2,_xlpm.col) +
INDEX(_xlpm.rango,$BA$4-1,_xlpm.col) +
INDEX(_xlpm.rango,$BA$4, _xlpm.col)
)</f>
        <v/>
      </c>
      <c r="AI87" s="98">
        <f t="array" ref="AI87">_xlfn.LET(
_xlpm.rango, INDIRECT("E!$C$" &amp; $BA$8 &amp; ":$DR$" &amp; $BA$9),
_xlpm.col, AI$72+$D86*10,
INDEX(_xlpm.rango,$BA$4-3,_xlpm.col) +
INDEX(_xlpm.rango,$BA$4-2,_xlpm.col) +
INDEX(_xlpm.rango,$BA$4-1,_xlpm.col) +
INDEX(_xlpm.rango,$BA$4, _xlpm.col)
)</f>
        <v/>
      </c>
      <c r="AJ87" s="97">
        <f t="array" ref="AJ87">_xlfn.LET(
_xlpm.rango, INDIRECT("E!$C$" &amp; $BA$8 &amp; ":$DR$" &amp; $BA$9),
_xlpm.col, AJ$72+$D86*10,
INDEX(_xlpm.rango,$BA$4-3,_xlpm.col) +
INDEX(_xlpm.rango,$BA$4-2,_xlpm.col) +
INDEX(_xlpm.rango,$BA$4-1,_xlpm.col) +
INDEX(_xlpm.rango,$BA$4, _xlpm.col)
)</f>
        <v/>
      </c>
      <c r="AK87" s="97">
        <f t="array" ref="AK87">_xlfn.LET(
_xlpm.rango, INDIRECT("E!$C$" &amp; $BA$8 &amp; ":$DR$" &amp; $BA$9),
_xlpm.col, AK$72+$D86*10,
INDEX(_xlpm.rango,$BA$4-3,_xlpm.col) +
INDEX(_xlpm.rango,$BA$4-2,_xlpm.col) +
INDEX(_xlpm.rango,$BA$4-1,_xlpm.col) +
INDEX(_xlpm.rango,$BA$4, _xlpm.col)
)</f>
        <v/>
      </c>
      <c r="AL87" s="97">
        <f t="array" ref="AL87">_xlfn.LET(
_xlpm.rango, INDIRECT("E!$C$" &amp; $BA$8 &amp; ":$DR$" &amp; $BA$9),
_xlpm.col, AL$72+$D86*10,
INDEX(_xlpm.rango,$BA$4-3,_xlpm.col) +
INDEX(_xlpm.rango,$BA$4-2,_xlpm.col) +
INDEX(_xlpm.rango,$BA$4-1,_xlpm.col) +
INDEX(_xlpm.rango,$BA$4, _xlpm.col)
)</f>
        <v/>
      </c>
      <c r="AM87" s="97">
        <f t="array" ref="AM87">_xlfn.LET(
_xlpm.rango, INDIRECT("E!$C$" &amp; $BA$8 &amp; ":$DR$" &amp; $BA$9),
_xlpm.col, AM$72+$D86*10,
INDEX(_xlpm.rango,$BA$4-3,_xlpm.col) +
INDEX(_xlpm.rango,$BA$4-2,_xlpm.col) +
INDEX(_xlpm.rango,$BA$4-1,_xlpm.col) +
INDEX(_xlpm.rango,$BA$4, _xlpm.col)
)</f>
        <v/>
      </c>
      <c r="AN87" s="97">
        <f t="array" ref="AN87">_xlfn.LET(
_xlpm.rango, INDIRECT("E!$C$" &amp; $BA$8 &amp; ":$DR$" &amp; $BA$9),
_xlpm.col, AN$72+$D86*10,
INDEX(_xlpm.rango,$BA$4-3,_xlpm.col) +
INDEX(_xlpm.rango,$BA$4-2,_xlpm.col) +
INDEX(_xlpm.rango,$BA$4-1,_xlpm.col) +
INDEX(_xlpm.rango,$BA$4, _xlpm.col)
)</f>
        <v/>
      </c>
      <c r="AO87" s="97">
        <f t="array" ref="AO87">_xlfn.LET(
_xlpm.rango, INDIRECT("E!$C$" &amp; $BA$8 &amp; ":$DR$" &amp; $BA$9),
_xlpm.col, AO$72+$D86*10,
INDEX(_xlpm.rango,$BA$4-3,_xlpm.col) +
INDEX(_xlpm.rango,$BA$4-2,_xlpm.col) +
INDEX(_xlpm.rango,$BA$4-1,_xlpm.col) +
INDEX(_xlpm.rango,$BA$4, _xlpm.col)
)</f>
        <v/>
      </c>
      <c r="AP87" s="97">
        <f t="array" ref="AP87">_xlfn.LET(
_xlpm.rango, INDIRECT("E!$C$" &amp; $BA$8 &amp; ":$DR$" &amp; $BA$9),
_xlpm.col, AP$72+$D86*10,
INDEX(_xlpm.rango,$BA$4-3,_xlpm.col) +
INDEX(_xlpm.rango,$BA$4-2,_xlpm.col) +
INDEX(_xlpm.rango,$BA$4-1,_xlpm.col) +
INDEX(_xlpm.rango,$BA$4, _xlpm.col)
)</f>
        <v/>
      </c>
      <c r="AQ87" s="97">
        <f t="array" ref="AQ87">_xlfn.LET(
_xlpm.rango, INDIRECT("E!$C$" &amp; $BA$8 &amp; ":$DR$" &amp; $BA$9),
_xlpm.col, AQ$72+$D86*10,
INDEX(_xlpm.rango,$BA$4-3,_xlpm.col) +
INDEX(_xlpm.rango,$BA$4-2,_xlpm.col) +
INDEX(_xlpm.rango,$BA$4-1,_xlpm.col) +
INDEX(_xlpm.rango,$BA$4, _xlpm.col)
)</f>
        <v/>
      </c>
      <c r="AR87" s="97">
        <f t="array" ref="AR87">_xlfn.LET(
_xlpm.rango, INDIRECT("E!$C$" &amp; $BA$8 &amp; ":$DR$" &amp; $BA$9),
_xlpm.col, AR$72+$D86*10,
INDEX(_xlpm.rango,$BA$4-3,_xlpm.col) +
INDEX(_xlpm.rango,$BA$4-2,_xlpm.col) +
INDEX(_xlpm.rango,$BA$4-1,_xlpm.col) +
INDEX(_xlpm.rango,$BA$4, _xlpm.col)
)</f>
        <v/>
      </c>
      <c r="AS87" s="114">
        <f t="array" ref="AS87">_xlfn.LET(
_xlpm.rango, INDIRECT("E!$C$" &amp; $BA$8 &amp; ":$DR$" &amp; $BA$9),
_xlpm.col, AS$72+$D86*10,
INDEX(_xlpm.rango,$BA$4-3,_xlpm.col) +
INDEX(_xlpm.rango,$BA$4-2,_xlpm.col) +
INDEX(_xlpm.rango,$BA$4-1,_xlpm.col) +
INDEX(_xlpm.rango,$BA$4, _xlpm.col)
)</f>
        <v/>
      </c>
      <c r="AT87" s="121">
        <f>SUM(F87:AS87)</f>
        <v/>
      </c>
      <c r="AU87" s="122">
        <f>AT87/$AT$88</f>
        <v/>
      </c>
    </row>
    <row r="88" ht="15.75" customHeight="1" thickBot="1">
      <c r="E88" s="115" t="inlineStr">
        <is>
          <t>Total</t>
        </is>
      </c>
      <c r="F88" s="92">
        <f>SUM(F76:F87)</f>
        <v/>
      </c>
      <c r="G88" s="92">
        <f>SUM(G76:G87)</f>
        <v/>
      </c>
      <c r="H88" s="92">
        <f>SUM(H76:H87)</f>
        <v/>
      </c>
      <c r="I88" s="92">
        <f>SUM(I76:I87)</f>
        <v/>
      </c>
      <c r="J88" s="92">
        <f>SUM(J76:J87)</f>
        <v/>
      </c>
      <c r="K88" s="92">
        <f>SUM(K76:K87)</f>
        <v/>
      </c>
      <c r="L88" s="92">
        <f>SUM(L76:L87)</f>
        <v/>
      </c>
      <c r="M88" s="92">
        <f>SUM(M76:M87)</f>
        <v/>
      </c>
      <c r="N88" s="92">
        <f>SUM(N76:N87)</f>
        <v/>
      </c>
      <c r="O88" s="92">
        <f>SUM(O76:O87)</f>
        <v/>
      </c>
      <c r="P88" s="92">
        <f>SUM(P76:P87)</f>
        <v/>
      </c>
      <c r="Q88" s="92">
        <f>SUM(Q76:Q87)</f>
        <v/>
      </c>
      <c r="R88" s="92">
        <f>SUM(R76:R87)</f>
        <v/>
      </c>
      <c r="S88" s="92">
        <f>SUM(S76:S87)</f>
        <v/>
      </c>
      <c r="T88" s="92">
        <f>SUM(T76:T87)</f>
        <v/>
      </c>
      <c r="U88" s="92">
        <f>SUM(U76:U87)</f>
        <v/>
      </c>
      <c r="V88" s="92">
        <f>SUM(V76:V87)</f>
        <v/>
      </c>
      <c r="W88" s="92">
        <f>SUM(W76:W87)</f>
        <v/>
      </c>
      <c r="X88" s="92">
        <f>SUM(X76:X87)</f>
        <v/>
      </c>
      <c r="Y88" s="92">
        <f>SUM(Y76:Y87)</f>
        <v/>
      </c>
      <c r="Z88" s="92">
        <f>SUM(Z76:Z87)</f>
        <v/>
      </c>
      <c r="AA88" s="92">
        <f>SUM(AA76:AA87)</f>
        <v/>
      </c>
      <c r="AB88" s="92">
        <f>SUM(AB76:AB87)</f>
        <v/>
      </c>
      <c r="AC88" s="92">
        <f>SUM(AC76:AC87)</f>
        <v/>
      </c>
      <c r="AD88" s="92">
        <f>SUM(AD76:AD87)</f>
        <v/>
      </c>
      <c r="AE88" s="92">
        <f>SUM(AE76:AE87)</f>
        <v/>
      </c>
      <c r="AF88" s="92">
        <f>SUM(AF76:AF87)</f>
        <v/>
      </c>
      <c r="AG88" s="92">
        <f>SUM(AG76:AG87)</f>
        <v/>
      </c>
      <c r="AH88" s="92">
        <f>SUM(AH76:AH87)</f>
        <v/>
      </c>
      <c r="AI88" s="92">
        <f>SUM(AI76:AI87)</f>
        <v/>
      </c>
      <c r="AJ88" s="92">
        <f>SUM(AJ76:AJ87)</f>
        <v/>
      </c>
      <c r="AK88" s="92">
        <f>SUM(AK76:AK87)</f>
        <v/>
      </c>
      <c r="AL88" s="92">
        <f>SUM(AL76:AL87)</f>
        <v/>
      </c>
      <c r="AM88" s="92">
        <f>SUM(AM76:AM87)</f>
        <v/>
      </c>
      <c r="AN88" s="92">
        <f>SUM(AN76:AN87)</f>
        <v/>
      </c>
      <c r="AO88" s="92">
        <f>SUM(AO76:AO87)</f>
        <v/>
      </c>
      <c r="AP88" s="92">
        <f>SUM(AP76:AP87)</f>
        <v/>
      </c>
      <c r="AQ88" s="92">
        <f>SUM(AQ76:AQ87)</f>
        <v/>
      </c>
      <c r="AR88" s="92">
        <f>SUM(AR76:AR87)</f>
        <v/>
      </c>
      <c r="AS88" s="116">
        <f>SUM(AS76:AS87)</f>
        <v/>
      </c>
      <c r="AT88" s="123">
        <f>SUM(AT76:AT87)</f>
        <v/>
      </c>
      <c r="AU88" s="124">
        <f>SUM(AU76:AU87)</f>
        <v/>
      </c>
    </row>
    <row r="89" ht="15.75" customHeight="1" thickBot="1">
      <c r="E89" s="117" t="inlineStr">
        <is>
          <t>UCP</t>
        </is>
      </c>
      <c r="F89" s="226">
        <f>F76*Inicio!$W$4+F77*Inicio!$W$5+F78*Inicio!$W$6+F79*Inicio!$W$7+F80*Inicio!$W$8+F81*Inicio!$W$9+F82*Inicio!$W$10+F83*Inicio!$W$11+F84*Inicio!$W$12+F85*Inicio!$W$13+F86*Inicio!$W$14+F87*Inicio!$W$15</f>
        <v/>
      </c>
      <c r="G89" s="226">
        <f>G76*Inicio!$W$4+G77*Inicio!$W$5+G78*Inicio!$W$6+G79*Inicio!$W$7+G80*Inicio!$W$8+G81*Inicio!$W$9+G82*Inicio!$W$10+G83*Inicio!$W$11+G84*Inicio!$W$12+G85*Inicio!$W$13+G86*Inicio!$W$14+G87*Inicio!$W$15</f>
        <v/>
      </c>
      <c r="H89" s="226">
        <f>H76*Inicio!$W$4+H77*Inicio!$W$5+H78*Inicio!$W$6+H79*Inicio!$W$7+H80*Inicio!$W$8+H81*Inicio!$W$9+H82*Inicio!$W$10+H83*Inicio!$W$11+H84*Inicio!$W$12+H85*Inicio!$W$13+H86*Inicio!$W$14+H87*Inicio!$W$15</f>
        <v/>
      </c>
      <c r="I89" s="226">
        <f>I76*Inicio!$W$4+I77*Inicio!$W$5+I78*Inicio!$W$6+I79*Inicio!$W$7+I80*Inicio!$W$8+I81*Inicio!$W$9+I82*Inicio!$W$10+I83*Inicio!$W$11+I84*Inicio!$W$12+I85*Inicio!$W$13+I86*Inicio!$W$14+I87*Inicio!$W$15</f>
        <v/>
      </c>
      <c r="J89" s="226">
        <f>J76*Inicio!$W$4+J77*Inicio!$W$5+J78*Inicio!$W$6+J79*Inicio!$W$7+J80*Inicio!$W$8+J81*Inicio!$W$9+J82*Inicio!$W$10+J83*Inicio!$W$11+J84*Inicio!$W$12+J85*Inicio!$W$13+J86*Inicio!$W$14+J87*Inicio!$W$15</f>
        <v/>
      </c>
      <c r="K89" s="226">
        <f>K76*Inicio!$W$4+K77*Inicio!$W$5+K78*Inicio!$W$6+K79*Inicio!$W$7+K80*Inicio!$W$8+K81*Inicio!$W$9+K82*Inicio!$W$10+K83*Inicio!$W$11+K84*Inicio!$W$12+K85*Inicio!$W$13+K86*Inicio!$W$14+K87*Inicio!$W$15</f>
        <v/>
      </c>
      <c r="L89" s="226">
        <f>L76*Inicio!$W$4+L77*Inicio!$W$5+L78*Inicio!$W$6+L79*Inicio!$W$7+L80*Inicio!$W$8+L81*Inicio!$W$9+L82*Inicio!$W$10+L83*Inicio!$W$11+L84*Inicio!$W$12+L85*Inicio!$W$13+L86*Inicio!$W$14+L87*Inicio!$W$15</f>
        <v/>
      </c>
      <c r="M89" s="226">
        <f>M76*Inicio!$W$4+M77*Inicio!$W$5+M78*Inicio!$W$6+M79*Inicio!$W$7+M80*Inicio!$W$8+M81*Inicio!$W$9+M82*Inicio!$W$10+M83*Inicio!$W$11+M84*Inicio!$W$12+M85*Inicio!$W$13+M86*Inicio!$W$14+M87*Inicio!$W$15</f>
        <v/>
      </c>
      <c r="N89" s="226">
        <f>N76*Inicio!$W$4+N77*Inicio!$W$5+N78*Inicio!$W$6+N79*Inicio!$W$7+N80*Inicio!$W$8+N81*Inicio!$W$9+N82*Inicio!$W$10+N83*Inicio!$W$11+N84*Inicio!$W$12+N85*Inicio!$W$13+N86*Inicio!$W$14+N87*Inicio!$W$15</f>
        <v/>
      </c>
      <c r="O89" s="226">
        <f>O76*Inicio!$W$4+O77*Inicio!$W$5+O78*Inicio!$W$6+O79*Inicio!$W$7+O80*Inicio!$W$8+O81*Inicio!$W$9+O82*Inicio!$W$10+O83*Inicio!$W$11+O84*Inicio!$W$12+O85*Inicio!$W$13+O86*Inicio!$W$14+O87*Inicio!$W$15</f>
        <v/>
      </c>
      <c r="P89" s="226">
        <f>P76*Inicio!$W$4+P77*Inicio!$W$5+P78*Inicio!$W$6+P79*Inicio!$W$7+P80*Inicio!$W$8+P81*Inicio!$W$9+P82*Inicio!$W$10+P83*Inicio!$W$11+P84*Inicio!$W$12+P85*Inicio!$W$13+P86*Inicio!$W$14+P87*Inicio!$W$15</f>
        <v/>
      </c>
      <c r="Q89" s="226">
        <f>Q76*Inicio!$W$4+Q77*Inicio!$W$5+Q78*Inicio!$W$6+Q79*Inicio!$W$7+Q80*Inicio!$W$8+Q81*Inicio!$W$9+Q82*Inicio!$W$10+Q83*Inicio!$W$11+Q84*Inicio!$W$12+Q85*Inicio!$W$13+Q86*Inicio!$W$14+Q87*Inicio!$W$15</f>
        <v/>
      </c>
      <c r="R89" s="226">
        <f>R76*Inicio!$W$4+R77*Inicio!$W$5+R78*Inicio!$W$6+R79*Inicio!$W$7+R80*Inicio!$W$8+R81*Inicio!$W$9+R82*Inicio!$W$10+R83*Inicio!$W$11+R84*Inicio!$W$12+R85*Inicio!$W$13+R86*Inicio!$W$14+R87*Inicio!$W$15</f>
        <v/>
      </c>
      <c r="S89" s="226">
        <f>S76*Inicio!$W$4+S77*Inicio!$W$5+S78*Inicio!$W$6+S79*Inicio!$W$7+S80*Inicio!$W$8+S81*Inicio!$W$9+S82*Inicio!$W$10+S83*Inicio!$W$11+S84*Inicio!$W$12+S85*Inicio!$W$13+S86*Inicio!$W$14+S87*Inicio!$W$15</f>
        <v/>
      </c>
      <c r="T89" s="226">
        <f>T76*Inicio!$W$4+T77*Inicio!$W$5+T78*Inicio!$W$6+T79*Inicio!$W$7+T80*Inicio!$W$8+T81*Inicio!$W$9+T82*Inicio!$W$10+T83*Inicio!$W$11+T84*Inicio!$W$12+T85*Inicio!$W$13+T86*Inicio!$W$14+T87*Inicio!$W$15</f>
        <v/>
      </c>
      <c r="U89" s="226">
        <f>U76*Inicio!$W$4+U77*Inicio!$W$5+U78*Inicio!$W$6+U79*Inicio!$W$7+U80*Inicio!$W$8+U81*Inicio!$W$9+U82*Inicio!$W$10+U83*Inicio!$W$11+U84*Inicio!$W$12+U85*Inicio!$W$13+U86*Inicio!$W$14+U87*Inicio!$W$15</f>
        <v/>
      </c>
      <c r="V89" s="226">
        <f>V76*Inicio!$W$4+V77*Inicio!$W$5+V78*Inicio!$W$6+V79*Inicio!$W$7+V80*Inicio!$W$8+V81*Inicio!$W$9+V82*Inicio!$W$10+V83*Inicio!$W$11+V84*Inicio!$W$12+V85*Inicio!$W$13+V86*Inicio!$W$14+V87*Inicio!$W$15</f>
        <v/>
      </c>
      <c r="W89" s="226">
        <f>W76*Inicio!$W$4+W77*Inicio!$W$5+W78*Inicio!$W$6+W79*Inicio!$W$7+W80*Inicio!$W$8+W81*Inicio!$W$9+W82*Inicio!$W$10+W83*Inicio!$W$11+W84*Inicio!$W$12+W85*Inicio!$W$13+W86*Inicio!$W$14+W87*Inicio!$W$15</f>
        <v/>
      </c>
      <c r="X89" s="226">
        <f>X76*Inicio!$W$4+X77*Inicio!$W$5+X78*Inicio!$W$6+X79*Inicio!$W$7+X80*Inicio!$W$8+X81*Inicio!$W$9+X82*Inicio!$W$10+X83*Inicio!$W$11+X84*Inicio!$W$12+X85*Inicio!$W$13+X86*Inicio!$W$14+X87*Inicio!$W$15</f>
        <v/>
      </c>
      <c r="Y89" s="226">
        <f>Y76*Inicio!$W$4+Y77*Inicio!$W$5+Y78*Inicio!$W$6+Y79*Inicio!$W$7+Y80*Inicio!$W$8+Y81*Inicio!$W$9+Y82*Inicio!$W$10+Y83*Inicio!$W$11+Y84*Inicio!$W$12+Y85*Inicio!$W$13+Y86*Inicio!$W$14+Y87*Inicio!$W$15</f>
        <v/>
      </c>
      <c r="Z89" s="226">
        <f>Z76*Inicio!$W$4+Z77*Inicio!$W$5+Z78*Inicio!$W$6+Z79*Inicio!$W$7+Z80*Inicio!$W$8+Z81*Inicio!$W$9+Z82*Inicio!$W$10+Z83*Inicio!$W$11+Z84*Inicio!$W$12+Z85*Inicio!$W$13+Z86*Inicio!$W$14+Z87*Inicio!$W$15</f>
        <v/>
      </c>
      <c r="AA89" s="226">
        <f>AA76*Inicio!$W$4+AA77*Inicio!$W$5+AA78*Inicio!$W$6+AA79*Inicio!$W$7+AA80*Inicio!$W$8+AA81*Inicio!$W$9+AA82*Inicio!$W$10+AA83*Inicio!$W$11+AA84*Inicio!$W$12+AA85*Inicio!$W$13+AA86*Inicio!$W$14+AA87*Inicio!$W$15</f>
        <v/>
      </c>
      <c r="AB89" s="226">
        <f>AB76*Inicio!$W$4+AB77*Inicio!$W$5+AB78*Inicio!$W$6+AB79*Inicio!$W$7+AB80*Inicio!$W$8+AB81*Inicio!$W$9+AB82*Inicio!$W$10+AB83*Inicio!$W$11+AB84*Inicio!$W$12+AB85*Inicio!$W$13+AB86*Inicio!$W$14+AB87*Inicio!$W$15</f>
        <v/>
      </c>
      <c r="AC89" s="226">
        <f>AC76*Inicio!$W$4+AC77*Inicio!$W$5+AC78*Inicio!$W$6+AC79*Inicio!$W$7+AC80*Inicio!$W$8+AC81*Inicio!$W$9+AC82*Inicio!$W$10+AC83*Inicio!$W$11+AC84*Inicio!$W$12+AC85*Inicio!$W$13+AC86*Inicio!$W$14+AC87*Inicio!$W$15</f>
        <v/>
      </c>
      <c r="AD89" s="226">
        <f>AD76*Inicio!$W$4+AD77*Inicio!$W$5+AD78*Inicio!$W$6+AD79*Inicio!$W$7+AD80*Inicio!$W$8+AD81*Inicio!$W$9+AD82*Inicio!$W$10+AD83*Inicio!$W$11+AD84*Inicio!$W$12+AD85*Inicio!$W$13+AD86*Inicio!$W$14+AD87*Inicio!$W$15</f>
        <v/>
      </c>
      <c r="AE89" s="226">
        <f>AE76*Inicio!$W$4+AE77*Inicio!$W$5+AE78*Inicio!$W$6+AE79*Inicio!$W$7+AE80*Inicio!$W$8+AE81*Inicio!$W$9+AE82*Inicio!$W$10+AE83*Inicio!$W$11+AE84*Inicio!$W$12+AE85*Inicio!$W$13+AE86*Inicio!$W$14+AE87*Inicio!$W$15</f>
        <v/>
      </c>
      <c r="AF89" s="226">
        <f>AF76*Inicio!$W$4+AF77*Inicio!$W$5+AF78*Inicio!$W$6+AF79*Inicio!$W$7+AF80*Inicio!$W$8+AF81*Inicio!$W$9+AF82*Inicio!$W$10+AF83*Inicio!$W$11+AF84*Inicio!$W$12+AF85*Inicio!$W$13+AF86*Inicio!$W$14+AF87*Inicio!$W$15</f>
        <v/>
      </c>
      <c r="AG89" s="226">
        <f>AG76*Inicio!$W$4+AG77*Inicio!$W$5+AG78*Inicio!$W$6+AG79*Inicio!$W$7+AG80*Inicio!$W$8+AG81*Inicio!$W$9+AG82*Inicio!$W$10+AG83*Inicio!$W$11+AG84*Inicio!$W$12+AG85*Inicio!$W$13+AG86*Inicio!$W$14+AG87*Inicio!$W$15</f>
        <v/>
      </c>
      <c r="AH89" s="226">
        <f>AH76*Inicio!$W$4+AH77*Inicio!$W$5+AH78*Inicio!$W$6+AH79*Inicio!$W$7+AH80*Inicio!$W$8+AH81*Inicio!$W$9+AH82*Inicio!$W$10+AH83*Inicio!$W$11+AH84*Inicio!$W$12+AH85*Inicio!$W$13+AH86*Inicio!$W$14+AH87*Inicio!$W$15</f>
        <v/>
      </c>
      <c r="AI89" s="226">
        <f>AI76*Inicio!$W$4+AI77*Inicio!$W$5+AI78*Inicio!$W$6+AI79*Inicio!$W$7+AI80*Inicio!$W$8+AI81*Inicio!$W$9+AI82*Inicio!$W$10+AI83*Inicio!$W$11+AI84*Inicio!$W$12+AI85*Inicio!$W$13+AI86*Inicio!$W$14+AI87*Inicio!$W$15</f>
        <v/>
      </c>
      <c r="AJ89" s="226">
        <f>AJ76*Inicio!$W$4+AJ77*Inicio!$W$5+AJ78*Inicio!$W$6+AJ79*Inicio!$W$7+AJ80*Inicio!$W$8+AJ81*Inicio!$W$9+AJ82*Inicio!$W$10+AJ83*Inicio!$W$11+AJ84*Inicio!$W$12+AJ85*Inicio!$W$13+AJ86*Inicio!$W$14+AJ87*Inicio!$W$15</f>
        <v/>
      </c>
      <c r="AK89" s="226">
        <f>AK76*Inicio!$W$4+AK77*Inicio!$W$5+AK78*Inicio!$W$6+AK79*Inicio!$W$7+AK80*Inicio!$W$8+AK81*Inicio!$W$9+AK82*Inicio!$W$10+AK83*Inicio!$W$11+AK84*Inicio!$W$12+AK85*Inicio!$W$13+AK86*Inicio!$W$14+AK87*Inicio!$W$15</f>
        <v/>
      </c>
      <c r="AL89" s="226">
        <f>AL76*Inicio!$W$4+AL77*Inicio!$W$5+AL78*Inicio!$W$6+AL79*Inicio!$W$7+AL80*Inicio!$W$8+AL81*Inicio!$W$9+AL82*Inicio!$W$10+AL83*Inicio!$W$11+AL84*Inicio!$W$12+AL85*Inicio!$W$13+AL86*Inicio!$W$14+AL87*Inicio!$W$15</f>
        <v/>
      </c>
      <c r="AM89" s="226">
        <f>AM76*Inicio!$W$4+AM77*Inicio!$W$5+AM78*Inicio!$W$6+AM79*Inicio!$W$7+AM80*Inicio!$W$8+AM81*Inicio!$W$9+AM82*Inicio!$W$10+AM83*Inicio!$W$11+AM84*Inicio!$W$12+AM85*Inicio!$W$13+AM86*Inicio!$W$14+AM87*Inicio!$W$15</f>
        <v/>
      </c>
      <c r="AN89" s="226">
        <f>AN76*Inicio!$W$4+AN77*Inicio!$W$5+AN78*Inicio!$W$6+AN79*Inicio!$W$7+AN80*Inicio!$W$8+AN81*Inicio!$W$9+AN82*Inicio!$W$10+AN83*Inicio!$W$11+AN84*Inicio!$W$12+AN85*Inicio!$W$13+AN86*Inicio!$W$14+AN87*Inicio!$W$15</f>
        <v/>
      </c>
      <c r="AO89" s="226">
        <f>AO76*Inicio!$W$4+AO77*Inicio!$W$5+AO78*Inicio!$W$6+AO79*Inicio!$W$7+AO80*Inicio!$W$8+AO81*Inicio!$W$9+AO82*Inicio!$W$10+AO83*Inicio!$W$11+AO84*Inicio!$W$12+AO85*Inicio!$W$13+AO86*Inicio!$W$14+AO87*Inicio!$W$15</f>
        <v/>
      </c>
      <c r="AP89" s="226">
        <f>AP76*Inicio!$W$4+AP77*Inicio!$W$5+AP78*Inicio!$W$6+AP79*Inicio!$W$7+AP80*Inicio!$W$8+AP81*Inicio!$W$9+AP82*Inicio!$W$10+AP83*Inicio!$W$11+AP84*Inicio!$W$12+AP85*Inicio!$W$13+AP86*Inicio!$W$14+AP87*Inicio!$W$15</f>
        <v/>
      </c>
      <c r="AQ89" s="226">
        <f>AQ76*Inicio!$W$4+AQ77*Inicio!$W$5+AQ78*Inicio!$W$6+AQ79*Inicio!$W$7+AQ80*Inicio!$W$8+AQ81*Inicio!$W$9+AQ82*Inicio!$W$10+AQ83*Inicio!$W$11+AQ84*Inicio!$W$12+AQ85*Inicio!$W$13+AQ86*Inicio!$W$14+AQ87*Inicio!$W$15</f>
        <v/>
      </c>
      <c r="AR89" s="226">
        <f>AR76*Inicio!$W$4+AR77*Inicio!$W$5+AR78*Inicio!$W$6+AR79*Inicio!$W$7+AR80*Inicio!$W$8+AR81*Inicio!$W$9+AR82*Inicio!$W$10+AR83*Inicio!$W$11+AR84*Inicio!$W$12+AR85*Inicio!$W$13+AR86*Inicio!$W$14+AR87*Inicio!$W$15</f>
        <v/>
      </c>
      <c r="AS89" s="227">
        <f>AS76*Inicio!$W$4+AS77*Inicio!$W$5+AS78*Inicio!$W$6+AS79*Inicio!$W$7+AS80*Inicio!$W$8+AS81*Inicio!$W$9+AS82*Inicio!$W$10+AS83*Inicio!$W$11+AS84*Inicio!$W$12+AS85*Inicio!$W$13+AS86*Inicio!$W$14+AS87*Inicio!$W$15</f>
        <v/>
      </c>
    </row>
  </sheetData>
  <mergeCells count="26">
    <mergeCell ref="AS6:AU6"/>
    <mergeCell ref="AJ74:AS74"/>
    <mergeCell ref="E2:AU2"/>
    <mergeCell ref="AT73:AT75"/>
    <mergeCell ref="F6:J6"/>
    <mergeCell ref="E9:AU68"/>
    <mergeCell ref="AS7:AU7"/>
    <mergeCell ref="E70:AU70"/>
    <mergeCell ref="AQ7:AR7"/>
    <mergeCell ref="F7:J7"/>
    <mergeCell ref="P74:Y74"/>
    <mergeCell ref="F73:O73"/>
    <mergeCell ref="Z74:AI74"/>
    <mergeCell ref="F5:J5"/>
    <mergeCell ref="P73:Y73"/>
    <mergeCell ref="E73:E75"/>
    <mergeCell ref="F74:O74"/>
    <mergeCell ref="AU73:AU75"/>
    <mergeCell ref="AS5:AU5"/>
    <mergeCell ref="AQ5:AR5"/>
    <mergeCell ref="AJ73:AS73"/>
    <mergeCell ref="AQ4:AR4"/>
    <mergeCell ref="AQ6:AR6"/>
    <mergeCell ref="AS4:AU4"/>
    <mergeCell ref="Z73:AI73"/>
    <mergeCell ref="F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BA89"/>
  <sheetViews>
    <sheetView topLeftCell="C44" zoomScale="70" zoomScaleNormal="70" workbookViewId="0">
      <selection activeCell="C1" sqref="C1"/>
    </sheetView>
  </sheetViews>
  <sheetFormatPr baseColWidth="10" defaultRowHeight="15" outlineLevelCol="0"/>
  <cols>
    <col width="11.42578125" customWidth="1" style="134" min="1" max="1"/>
    <col width="11.42578125" customWidth="1" style="134" min="2" max="3"/>
    <col hidden="1" width="4.140625" customWidth="1" min="4" max="4"/>
    <col width="14.85546875" customWidth="1" min="5" max="5"/>
    <col width="6.7109375" customWidth="1" min="6" max="45"/>
    <col width="7.28515625" customWidth="1" style="134" min="46" max="47"/>
    <col width="14.85546875" customWidth="1" min="48" max="49"/>
    <col width="14.42578125" bestFit="1" customWidth="1" min="53" max="53"/>
  </cols>
  <sheetData>
    <row r="1" ht="15.75" customFormat="1" customHeight="1" s="134" thickBot="1"/>
    <row r="2" ht="36.75" customFormat="1" customHeight="1" s="134" thickBot="1">
      <c r="E2" s="238" t="inlineStr">
        <is>
          <t>FLUJOGRAMA VEHICULAR DIRECCIONAL</t>
        </is>
      </c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39" t="n"/>
      <c r="AJ2" s="239" t="n"/>
      <c r="AK2" s="239" t="n"/>
      <c r="AL2" s="239" t="n"/>
      <c r="AM2" s="239" t="n"/>
      <c r="AN2" s="239" t="n"/>
      <c r="AO2" s="239" t="n"/>
      <c r="AP2" s="239" t="n"/>
      <c r="AQ2" s="239" t="n"/>
      <c r="AR2" s="239" t="n"/>
      <c r="AS2" s="239" t="n"/>
      <c r="AT2" s="239" t="n"/>
      <c r="AU2" s="240" t="n"/>
    </row>
    <row r="3" ht="15.75" customFormat="1" customHeight="1" s="134" thickBot="1">
      <c r="AZ3" s="126" t="inlineStr">
        <is>
          <t>Metadatos</t>
        </is>
      </c>
    </row>
    <row r="4" customFormat="1" s="134">
      <c r="E4" s="104" t="inlineStr">
        <is>
          <t>Intersección:</t>
        </is>
      </c>
      <c r="F4" s="186">
        <f>Inicio!G5</f>
        <v/>
      </c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105" t="n"/>
      <c r="AJ4" s="105" t="n"/>
      <c r="AK4" s="105" t="n"/>
      <c r="AL4" s="105" t="n"/>
      <c r="AM4" s="105" t="n"/>
      <c r="AN4" s="105" t="n"/>
      <c r="AO4" s="105" t="n"/>
      <c r="AP4" s="105" t="n"/>
      <c r="AQ4" s="187" t="inlineStr">
        <is>
          <t>Distrito:</t>
        </is>
      </c>
      <c r="AR4" s="105" t="n"/>
      <c r="AS4" s="188">
        <f>Inicio!G9</f>
        <v/>
      </c>
      <c r="AT4" s="105" t="n"/>
      <c r="AU4" s="241" t="n"/>
      <c r="AZ4" s="134" t="inlineStr">
        <is>
          <t>Fila HP:</t>
        </is>
      </c>
      <c r="BA4" s="134">
        <f>_xlfn.LET(
_xlpm.rango, INDIRECT("N!EJ" &amp; $BA$8 &amp; ":EJ" &amp; BA9),
MATCH(MAX(_xlpm.rango),_xlpm.rango,0)
)</f>
        <v/>
      </c>
    </row>
    <row r="5" customFormat="1" s="134">
      <c r="E5" s="106" t="inlineStr">
        <is>
          <t>Fecha:</t>
        </is>
      </c>
      <c r="F5" s="189">
        <f>Inicio!G6</f>
        <v/>
      </c>
      <c r="AQ5" s="178" t="inlineStr">
        <is>
          <t>Turno:</t>
        </is>
      </c>
      <c r="AS5" s="179" t="inlineStr">
        <is>
          <t>Tarde</t>
        </is>
      </c>
      <c r="AU5" s="242" t="n"/>
      <c r="AZ5" s="134" t="inlineStr">
        <is>
          <t>Fin:</t>
        </is>
      </c>
      <c r="BA5" s="90">
        <f>TIME(0,15,0)*BA4+TIME((BA8-9)/4,0,0)</f>
        <v/>
      </c>
    </row>
    <row r="6" customFormat="1" s="134">
      <c r="E6" s="106" t="inlineStr">
        <is>
          <t>Día:</t>
        </is>
      </c>
      <c r="F6" s="177">
        <f>Inicio!G8</f>
        <v/>
      </c>
      <c r="AQ6" s="178" t="inlineStr">
        <is>
          <t>Hora Punta:</t>
        </is>
      </c>
      <c r="AS6" s="179">
        <f>BA7</f>
        <v/>
      </c>
      <c r="AU6" s="242" t="n"/>
      <c r="AZ6" s="134" t="inlineStr">
        <is>
          <t>Inicio:</t>
        </is>
      </c>
      <c r="BA6" s="90">
        <f>TIME(0,15,0)*(BA4-4)+TIME((BA8-9)/4,0,0)</f>
        <v/>
      </c>
    </row>
    <row r="7" ht="15.75" customFormat="1" customHeight="1" s="134" thickBot="1">
      <c r="E7" s="107" t="inlineStr">
        <is>
          <t>Volumen:</t>
        </is>
      </c>
      <c r="F7" s="180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81" t="inlineStr">
        <is>
          <t>Volumen UCP:</t>
        </is>
      </c>
      <c r="AR7" s="108" t="n"/>
      <c r="AS7" s="182" t="n"/>
      <c r="AT7" s="108" t="n"/>
      <c r="AU7" s="243" t="n"/>
      <c r="AZ7" s="134" t="inlineStr">
        <is>
          <t>HP:</t>
        </is>
      </c>
      <c r="BA7" s="177">
        <f>TEXT(BA6, "[hh]:mm") &amp; " - " &amp; TEXT(BA5, "[hh]:mm")</f>
        <v/>
      </c>
    </row>
    <row r="8" ht="15.75" customFormat="1" customHeight="1" s="134" thickBot="1">
      <c r="AV8" s="178" t="n"/>
      <c r="AZ8" s="134" t="inlineStr">
        <is>
          <t>Fila Inicio</t>
        </is>
      </c>
      <c r="BA8" s="134" t="n">
        <v>57</v>
      </c>
    </row>
    <row r="9" customFormat="1" s="134">
      <c r="E9" s="244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5" t="n"/>
      <c r="W9" s="105" t="n"/>
      <c r="X9" s="105" t="n"/>
      <c r="Y9" s="105" t="n"/>
      <c r="Z9" s="105" t="n"/>
      <c r="AA9" s="105" t="n"/>
      <c r="AB9" s="105" t="n"/>
      <c r="AC9" s="105" t="n"/>
      <c r="AD9" s="105" t="n"/>
      <c r="AE9" s="105" t="n"/>
      <c r="AF9" s="105" t="n"/>
      <c r="AG9" s="105" t="n"/>
      <c r="AH9" s="105" t="n"/>
      <c r="AI9" s="105" t="n"/>
      <c r="AJ9" s="105" t="n"/>
      <c r="AK9" s="105" t="n"/>
      <c r="AL9" s="105" t="n"/>
      <c r="AM9" s="105" t="n"/>
      <c r="AN9" s="105" t="n"/>
      <c r="AO9" s="105" t="n"/>
      <c r="AP9" s="105" t="n"/>
      <c r="AQ9" s="105" t="n"/>
      <c r="AR9" s="105" t="n"/>
      <c r="AS9" s="105" t="n"/>
      <c r="AT9" s="105" t="n"/>
      <c r="AU9" s="241" t="n"/>
      <c r="AV9" s="178" t="n"/>
      <c r="AZ9" s="134" t="inlineStr">
        <is>
          <t>Fila Fin</t>
        </is>
      </c>
      <c r="BA9" s="134" t="n">
        <v>80</v>
      </c>
    </row>
    <row r="10" customFormat="1" s="134">
      <c r="E10" s="106" t="n"/>
      <c r="AU10" s="242" t="n"/>
      <c r="AV10" s="178" t="n"/>
    </row>
    <row r="11" customFormat="1" s="134">
      <c r="E11" s="106" t="n"/>
      <c r="AU11" s="242" t="n"/>
      <c r="AV11" s="178" t="n"/>
    </row>
    <row r="12" customFormat="1" s="134">
      <c r="E12" s="106" t="n"/>
      <c r="AU12" s="242" t="n"/>
      <c r="AV12" s="178" t="n"/>
    </row>
    <row r="13" customFormat="1" s="134">
      <c r="E13" s="106" t="n"/>
      <c r="AU13" s="242" t="n"/>
      <c r="AV13" s="178" t="n"/>
    </row>
    <row r="14" customFormat="1" s="134">
      <c r="E14" s="106" t="n"/>
      <c r="AU14" s="242" t="n"/>
      <c r="AV14" s="178" t="n"/>
    </row>
    <row r="15" customFormat="1" s="134">
      <c r="E15" s="106" t="n"/>
      <c r="AU15" s="242" t="n"/>
      <c r="AV15" s="178" t="n"/>
    </row>
    <row r="16" customFormat="1" s="134">
      <c r="E16" s="106" t="n"/>
      <c r="AU16" s="242" t="n"/>
      <c r="AV16" s="178" t="n"/>
    </row>
    <row r="17" customFormat="1" s="134">
      <c r="E17" s="106" t="n"/>
      <c r="AU17" s="242" t="n"/>
      <c r="AV17" s="178" t="n"/>
    </row>
    <row r="18" customFormat="1" s="134">
      <c r="E18" s="106" t="n"/>
      <c r="AU18" s="242" t="n"/>
      <c r="AV18" s="178" t="n"/>
    </row>
    <row r="19" customFormat="1" s="134">
      <c r="E19" s="106" t="n"/>
      <c r="AU19" s="242" t="n"/>
      <c r="AV19" s="178" t="n"/>
    </row>
    <row r="20" customFormat="1" s="134">
      <c r="E20" s="106" t="n"/>
      <c r="AU20" s="242" t="n"/>
      <c r="AV20" s="178" t="n"/>
    </row>
    <row r="21" customFormat="1" s="134">
      <c r="E21" s="106" t="n"/>
      <c r="AU21" s="242" t="n"/>
      <c r="AV21" s="178" t="n"/>
    </row>
    <row r="22" customFormat="1" s="134">
      <c r="E22" s="106" t="n"/>
      <c r="AU22" s="242" t="n"/>
      <c r="AV22" s="178" t="n"/>
    </row>
    <row r="23" customFormat="1" s="134">
      <c r="E23" s="106" t="n"/>
      <c r="AU23" s="242" t="n"/>
      <c r="AV23" s="178" t="n"/>
    </row>
    <row r="24" customFormat="1" s="134">
      <c r="E24" s="106" t="n"/>
      <c r="AU24" s="242" t="n"/>
      <c r="AV24" s="178" t="n"/>
    </row>
    <row r="25" customFormat="1" s="134">
      <c r="E25" s="106" t="n"/>
      <c r="AU25" s="242" t="n"/>
      <c r="AV25" s="178" t="n"/>
    </row>
    <row r="26" customFormat="1" s="134">
      <c r="E26" s="106" t="n"/>
      <c r="AU26" s="242" t="n"/>
      <c r="AV26" s="178" t="n"/>
    </row>
    <row r="27" customFormat="1" s="134">
      <c r="E27" s="106" t="n"/>
      <c r="AU27" s="242" t="n"/>
      <c r="AV27" s="178" t="n"/>
    </row>
    <row r="28" customFormat="1" s="134">
      <c r="E28" s="106" t="n"/>
      <c r="AU28" s="242" t="n"/>
      <c r="AV28" s="178" t="n"/>
    </row>
    <row r="29" customFormat="1" s="134">
      <c r="E29" s="106" t="n"/>
      <c r="AU29" s="242" t="n"/>
      <c r="AV29" s="178" t="n"/>
    </row>
    <row r="30" customFormat="1" s="134">
      <c r="E30" s="106" t="n"/>
      <c r="AU30" s="242" t="n"/>
      <c r="AV30" s="178" t="n"/>
    </row>
    <row r="31" customFormat="1" s="134">
      <c r="E31" s="106" t="n"/>
      <c r="AU31" s="242" t="n"/>
      <c r="AV31" s="178" t="n"/>
    </row>
    <row r="32" customFormat="1" s="134">
      <c r="E32" s="106" t="n"/>
      <c r="AU32" s="242" t="n"/>
      <c r="AV32" s="178" t="n"/>
    </row>
    <row r="33" customFormat="1" s="134">
      <c r="E33" s="106" t="n"/>
      <c r="AU33" s="242" t="n"/>
      <c r="AV33" s="178" t="n"/>
    </row>
    <row r="34" customFormat="1" s="134">
      <c r="E34" s="106" t="n"/>
      <c r="AU34" s="242" t="n"/>
      <c r="AV34" s="178" t="n"/>
    </row>
    <row r="35" customFormat="1" s="134">
      <c r="E35" s="106" t="n"/>
      <c r="AU35" s="242" t="n"/>
      <c r="AV35" s="178" t="n"/>
    </row>
    <row r="36" customFormat="1" s="134">
      <c r="E36" s="106" t="n"/>
      <c r="AU36" s="242" t="n"/>
      <c r="AV36" s="178" t="n"/>
    </row>
    <row r="37" customFormat="1" s="134">
      <c r="E37" s="106" t="n"/>
      <c r="AU37" s="242" t="n"/>
      <c r="AV37" s="178" t="n"/>
    </row>
    <row r="38" customFormat="1" s="134">
      <c r="E38" s="106" t="n"/>
      <c r="AU38" s="242" t="n"/>
      <c r="AV38" s="178" t="n"/>
    </row>
    <row r="39" customFormat="1" s="134">
      <c r="E39" s="106" t="n"/>
      <c r="AU39" s="242" t="n"/>
      <c r="AV39" s="178" t="n"/>
    </row>
    <row r="40" customFormat="1" s="134">
      <c r="E40" s="106" t="n"/>
      <c r="AU40" s="242" t="n"/>
      <c r="AV40" s="178" t="n"/>
    </row>
    <row r="41" customFormat="1" s="134">
      <c r="E41" s="106" t="n"/>
      <c r="AU41" s="242" t="n"/>
      <c r="AV41" s="178" t="n"/>
    </row>
    <row r="42" customFormat="1" s="134">
      <c r="E42" s="106" t="n"/>
      <c r="AU42" s="242" t="n"/>
      <c r="AV42" s="178" t="n"/>
    </row>
    <row r="43" customFormat="1" s="134">
      <c r="E43" s="106" t="n"/>
      <c r="AU43" s="242" t="n"/>
      <c r="AV43" s="178" t="n"/>
    </row>
    <row r="44" customFormat="1" s="134">
      <c r="E44" s="106" t="n"/>
      <c r="AU44" s="242" t="n"/>
      <c r="AV44" s="178" t="n"/>
    </row>
    <row r="45" customFormat="1" s="134">
      <c r="E45" s="106" t="n"/>
      <c r="AU45" s="242" t="n"/>
      <c r="AV45" s="178" t="n"/>
    </row>
    <row r="46" customFormat="1" s="134">
      <c r="E46" s="106" t="n"/>
      <c r="AU46" s="242" t="n"/>
      <c r="AV46" s="178" t="n"/>
    </row>
    <row r="47" customFormat="1" s="134">
      <c r="E47" s="106" t="n"/>
      <c r="AU47" s="242" t="n"/>
      <c r="AV47" s="178" t="n"/>
    </row>
    <row r="48" customFormat="1" s="134">
      <c r="E48" s="106" t="n"/>
      <c r="AU48" s="242" t="n"/>
      <c r="AV48" s="178" t="n"/>
    </row>
    <row r="49" customFormat="1" s="134">
      <c r="E49" s="106" t="n"/>
      <c r="AU49" s="242" t="n"/>
      <c r="AV49" s="178" t="n"/>
    </row>
    <row r="50" customFormat="1" s="134">
      <c r="E50" s="106" t="n"/>
      <c r="AU50" s="242" t="n"/>
      <c r="AV50" s="178" t="n"/>
    </row>
    <row r="51" customFormat="1" s="134">
      <c r="E51" s="106" t="n"/>
      <c r="AU51" s="242" t="n"/>
      <c r="AV51" s="178" t="n"/>
    </row>
    <row r="52" customFormat="1" s="134">
      <c r="E52" s="106" t="n"/>
      <c r="AU52" s="242" t="n"/>
      <c r="AV52" s="178" t="n"/>
    </row>
    <row r="53" customFormat="1" s="134">
      <c r="E53" s="106" t="n"/>
      <c r="AU53" s="242" t="n"/>
      <c r="AV53" s="178" t="n"/>
    </row>
    <row r="54" customFormat="1" s="134">
      <c r="E54" s="106" t="n"/>
      <c r="AU54" s="242" t="n"/>
      <c r="AV54" s="178" t="n"/>
    </row>
    <row r="55" customFormat="1" s="134">
      <c r="E55" s="106" t="n"/>
      <c r="AU55" s="242" t="n"/>
      <c r="AV55" s="178" t="n"/>
    </row>
    <row r="56" customFormat="1" s="134">
      <c r="E56" s="106" t="n"/>
      <c r="AU56" s="242" t="n"/>
      <c r="AV56" s="178" t="n"/>
    </row>
    <row r="57" customFormat="1" s="134">
      <c r="E57" s="106" t="n"/>
      <c r="AU57" s="242" t="n"/>
      <c r="AV57" s="178" t="n"/>
    </row>
    <row r="58" customFormat="1" s="134">
      <c r="E58" s="106" t="n"/>
      <c r="AU58" s="242" t="n"/>
    </row>
    <row r="59" customFormat="1" s="134">
      <c r="E59" s="106" t="n"/>
      <c r="AU59" s="242" t="n"/>
    </row>
    <row r="60" customFormat="1" s="134">
      <c r="E60" s="106" t="n"/>
      <c r="AU60" s="242" t="n"/>
    </row>
    <row r="61" customFormat="1" s="134">
      <c r="E61" s="106" t="n"/>
      <c r="AU61" s="242" t="n"/>
    </row>
    <row r="62" customFormat="1" s="134">
      <c r="E62" s="106" t="n"/>
      <c r="AU62" s="242" t="n"/>
    </row>
    <row r="63" customFormat="1" s="134">
      <c r="E63" s="106" t="n"/>
      <c r="AU63" s="242" t="n"/>
    </row>
    <row r="64" customFormat="1" s="134">
      <c r="E64" s="106" t="n"/>
      <c r="AU64" s="242" t="n"/>
    </row>
    <row r="65" customFormat="1" s="134">
      <c r="E65" s="106" t="n"/>
      <c r="AU65" s="242" t="n"/>
    </row>
    <row r="66">
      <c r="E66" s="106" t="n"/>
      <c r="AU66" s="242" t="n"/>
    </row>
    <row r="67">
      <c r="E67" s="106" t="n"/>
      <c r="AU67" s="242" t="n"/>
    </row>
    <row r="68" ht="15.75" customHeight="1" thickBot="1">
      <c r="E68" s="107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243" t="n"/>
    </row>
    <row r="69" ht="15.75" customFormat="1" customHeight="1" s="134" thickBot="1"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  <c r="AG69" s="159" t="n"/>
      <c r="AH69" s="159" t="n"/>
      <c r="AI69" s="159" t="n"/>
      <c r="AJ69" s="159" t="n"/>
      <c r="AK69" s="159" t="n"/>
      <c r="AL69" s="159" t="n"/>
      <c r="AM69" s="159" t="n"/>
      <c r="AN69" s="159" t="n"/>
      <c r="AO69" s="159" t="n"/>
      <c r="AP69" s="159" t="n"/>
      <c r="AQ69" s="159" t="n"/>
      <c r="AR69" s="159" t="n"/>
      <c r="AS69" s="159" t="n"/>
      <c r="AT69" s="159" t="n"/>
      <c r="AU69" s="159" t="n"/>
    </row>
    <row r="70" ht="30" customFormat="1" customHeight="1" s="134" thickBot="1">
      <c r="E70" s="245" t="inlineStr">
        <is>
          <t>DISTRIBUCIÓN DE VOLUMEN POR GIRO, SENTIDO Y TIPOLOGÍA</t>
        </is>
      </c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39" t="n"/>
      <c r="AC70" s="239" t="n"/>
      <c r="AD70" s="239" t="n"/>
      <c r="AE70" s="239" t="n"/>
      <c r="AF70" s="239" t="n"/>
      <c r="AG70" s="239" t="n"/>
      <c r="AH70" s="239" t="n"/>
      <c r="AI70" s="239" t="n"/>
      <c r="AJ70" s="239" t="n"/>
      <c r="AK70" s="239" t="n"/>
      <c r="AL70" s="239" t="n"/>
      <c r="AM70" s="239" t="n"/>
      <c r="AN70" s="239" t="n"/>
      <c r="AO70" s="239" t="n"/>
      <c r="AP70" s="239" t="n"/>
      <c r="AQ70" s="239" t="n"/>
      <c r="AR70" s="239" t="n"/>
      <c r="AS70" s="239" t="n"/>
      <c r="AT70" s="239" t="n"/>
      <c r="AU70" s="240" t="n"/>
    </row>
    <row r="71" ht="15.75" customHeight="1" thickBot="1"/>
    <row r="72" hidden="1" ht="15.75" customHeight="1" thickBot="1">
      <c r="F72" s="17" t="n">
        <v>1</v>
      </c>
      <c r="G72" s="17" t="n">
        <v>2</v>
      </c>
      <c r="H72" s="17" t="n">
        <v>3</v>
      </c>
      <c r="I72" s="17" t="n">
        <v>4</v>
      </c>
      <c r="J72" s="17" t="n">
        <v>5</v>
      </c>
      <c r="K72" s="17" t="n">
        <v>6</v>
      </c>
      <c r="L72" s="17" t="n">
        <v>7</v>
      </c>
      <c r="M72" s="17" t="n">
        <v>8</v>
      </c>
      <c r="N72" s="17" t="n">
        <v>9</v>
      </c>
      <c r="O72" s="17" t="n">
        <v>10</v>
      </c>
      <c r="P72" s="17" t="n">
        <v>1</v>
      </c>
      <c r="Q72" s="17" t="n">
        <v>2</v>
      </c>
      <c r="R72" s="17" t="n">
        <v>3</v>
      </c>
      <c r="S72" s="17" t="n">
        <v>4</v>
      </c>
      <c r="T72" s="17" t="n">
        <v>5</v>
      </c>
      <c r="U72" s="17" t="n">
        <v>6</v>
      </c>
      <c r="V72" s="17" t="n">
        <v>7</v>
      </c>
      <c r="W72" s="17" t="n">
        <v>8</v>
      </c>
      <c r="X72" s="17" t="n">
        <v>9</v>
      </c>
      <c r="Y72" s="17" t="n">
        <v>10</v>
      </c>
      <c r="Z72" s="17" t="n">
        <v>1</v>
      </c>
      <c r="AA72" s="17" t="n">
        <v>2</v>
      </c>
      <c r="AB72" s="17" t="n">
        <v>3</v>
      </c>
      <c r="AC72" s="17" t="n">
        <v>4</v>
      </c>
      <c r="AD72" s="17" t="n">
        <v>5</v>
      </c>
      <c r="AE72" s="17" t="n">
        <v>6</v>
      </c>
      <c r="AF72" s="17" t="n">
        <v>7</v>
      </c>
      <c r="AG72" s="17" t="n">
        <v>8</v>
      </c>
      <c r="AH72" s="17" t="n">
        <v>9</v>
      </c>
      <c r="AI72" s="17" t="n">
        <v>10</v>
      </c>
      <c r="AJ72" s="17" t="n">
        <v>1</v>
      </c>
      <c r="AK72" s="17" t="n">
        <v>2</v>
      </c>
      <c r="AL72" s="17" t="n">
        <v>3</v>
      </c>
      <c r="AM72" s="17" t="n">
        <v>4</v>
      </c>
      <c r="AN72" s="17" t="n">
        <v>5</v>
      </c>
      <c r="AO72" s="17" t="n">
        <v>6</v>
      </c>
      <c r="AP72" s="17" t="n">
        <v>7</v>
      </c>
      <c r="AQ72" s="17" t="n">
        <v>8</v>
      </c>
      <c r="AR72" s="17" t="n">
        <v>9</v>
      </c>
      <c r="AS72" s="17" t="n">
        <v>10</v>
      </c>
      <c r="AT72" s="159" t="n"/>
      <c r="AU72" s="159" t="n"/>
    </row>
    <row r="73" ht="21.75" customHeight="1">
      <c r="E73" s="167" t="inlineStr">
        <is>
          <t>Tipo de Vehículo</t>
        </is>
      </c>
      <c r="F73" s="169">
        <f>Inicio!$H$12</f>
        <v/>
      </c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7" t="n"/>
      <c r="P73" s="169">
        <f>Inicio!$H$12</f>
        <v/>
      </c>
      <c r="Q73" s="246" t="n"/>
      <c r="R73" s="246" t="n"/>
      <c r="S73" s="246" t="n"/>
      <c r="T73" s="246" t="n"/>
      <c r="U73" s="246" t="n"/>
      <c r="V73" s="246" t="n"/>
      <c r="W73" s="246" t="n"/>
      <c r="X73" s="246" t="n"/>
      <c r="Y73" s="247" t="n"/>
      <c r="Z73" s="169">
        <f>Inicio!$H$12</f>
        <v/>
      </c>
      <c r="AA73" s="246" t="n"/>
      <c r="AB73" s="246" t="n"/>
      <c r="AC73" s="246" t="n"/>
      <c r="AD73" s="246" t="n"/>
      <c r="AE73" s="246" t="n"/>
      <c r="AF73" s="246" t="n"/>
      <c r="AG73" s="246" t="n"/>
      <c r="AH73" s="246" t="n"/>
      <c r="AI73" s="247" t="n"/>
      <c r="AJ73" s="169">
        <f>Inicio!$H$12</f>
        <v/>
      </c>
      <c r="AK73" s="246" t="n"/>
      <c r="AL73" s="246" t="n"/>
      <c r="AM73" s="246" t="n"/>
      <c r="AN73" s="246" t="n"/>
      <c r="AO73" s="246" t="n"/>
      <c r="AP73" s="246" t="n"/>
      <c r="AQ73" s="246" t="n"/>
      <c r="AR73" s="246" t="n"/>
      <c r="AS73" s="247" t="n"/>
      <c r="AT73" s="248" t="inlineStr">
        <is>
          <t>Total</t>
        </is>
      </c>
      <c r="AU73" s="249" t="inlineStr">
        <is>
          <t>%</t>
        </is>
      </c>
    </row>
    <row r="74" ht="15" customHeight="1">
      <c r="E74" s="250" t="n"/>
      <c r="F74" s="153" t="inlineStr">
        <is>
          <t>Norte</t>
        </is>
      </c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2" t="n"/>
      <c r="P74" s="152" t="inlineStr">
        <is>
          <t>Sur</t>
        </is>
      </c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2" t="n"/>
      <c r="Z74" s="153" t="inlineStr">
        <is>
          <t>Este</t>
        </is>
      </c>
      <c r="AA74" s="251" t="n"/>
      <c r="AB74" s="251" t="n"/>
      <c r="AC74" s="251" t="n"/>
      <c r="AD74" s="251" t="n"/>
      <c r="AE74" s="251" t="n"/>
      <c r="AF74" s="251" t="n"/>
      <c r="AG74" s="251" t="n"/>
      <c r="AH74" s="251" t="n"/>
      <c r="AI74" s="252" t="n"/>
      <c r="AJ74" s="152" t="inlineStr">
        <is>
          <t>Oeste</t>
        </is>
      </c>
      <c r="AK74" s="251" t="n"/>
      <c r="AL74" s="251" t="n"/>
      <c r="AM74" s="251" t="n"/>
      <c r="AN74" s="251" t="n"/>
      <c r="AO74" s="251" t="n"/>
      <c r="AP74" s="251" t="n"/>
      <c r="AQ74" s="251" t="n"/>
      <c r="AR74" s="251" t="n"/>
      <c r="AS74" s="252" t="n"/>
      <c r="AT74" s="250" t="n"/>
      <c r="AU74" s="253" t="n"/>
    </row>
    <row r="75">
      <c r="D75" t="n">
        <v>0</v>
      </c>
      <c r="E75" s="254" t="n"/>
      <c r="F75" s="127">
        <f>Inicio!$G$12</f>
        <v/>
      </c>
      <c r="G75" s="127">
        <f>Inicio!$G$13</f>
        <v/>
      </c>
      <c r="H75" s="127">
        <f>Inicio!$G$14</f>
        <v/>
      </c>
      <c r="I75" s="127">
        <f>Inicio!$G$15</f>
        <v/>
      </c>
      <c r="J75" s="127">
        <f>Inicio!$G$16</f>
        <v/>
      </c>
      <c r="K75" s="127">
        <f>Inicio!$G$17</f>
        <v/>
      </c>
      <c r="L75" s="127">
        <f>Inicio!$G$18</f>
        <v/>
      </c>
      <c r="M75" s="127">
        <f>Inicio!$G$19</f>
        <v/>
      </c>
      <c r="N75" s="127">
        <f>Inicio!$G$20</f>
        <v/>
      </c>
      <c r="O75" s="127">
        <f>Inicio!$G$21</f>
        <v/>
      </c>
      <c r="P75" s="91">
        <f>Inicio!$M$12</f>
        <v/>
      </c>
      <c r="Q75" s="91">
        <f>Inicio!$M$13</f>
        <v/>
      </c>
      <c r="R75" s="91">
        <f>Inicio!$M$14</f>
        <v/>
      </c>
      <c r="S75" s="91">
        <f>Inicio!$M$15</f>
        <v/>
      </c>
      <c r="T75" s="91">
        <f>Inicio!$M$16</f>
        <v/>
      </c>
      <c r="U75" s="91">
        <f>Inicio!$M$17</f>
        <v/>
      </c>
      <c r="V75" s="91">
        <f>Inicio!$M$18</f>
        <v/>
      </c>
      <c r="W75" s="91">
        <f>Inicio!$M$19</f>
        <v/>
      </c>
      <c r="X75" s="91">
        <f>Inicio!$M$20</f>
        <v/>
      </c>
      <c r="Y75" s="91">
        <f>Inicio!$M$21</f>
        <v/>
      </c>
      <c r="Z75" s="102">
        <f>Inicio!$G$24</f>
        <v/>
      </c>
      <c r="AA75" s="102">
        <f>Inicio!$G$25</f>
        <v/>
      </c>
      <c r="AB75" s="102">
        <f>Inicio!$G$26</f>
        <v/>
      </c>
      <c r="AC75" s="102">
        <f>Inicio!$G$27</f>
        <v/>
      </c>
      <c r="AD75" s="102">
        <f>Inicio!$G$28</f>
        <v/>
      </c>
      <c r="AE75" s="102">
        <f>Inicio!$G$29</f>
        <v/>
      </c>
      <c r="AF75" s="102">
        <f>Inicio!$G$30</f>
        <v/>
      </c>
      <c r="AG75" s="102">
        <f>Inicio!$G$31</f>
        <v/>
      </c>
      <c r="AH75" s="102">
        <f>Inicio!$G$32</f>
        <v/>
      </c>
      <c r="AI75" s="102">
        <f>Inicio!$G$33</f>
        <v/>
      </c>
      <c r="AJ75" s="91">
        <f>Inicio!$M$24</f>
        <v/>
      </c>
      <c r="AK75" s="91">
        <f>Inicio!$M$25</f>
        <v/>
      </c>
      <c r="AL75" s="91">
        <f>Inicio!$M$26</f>
        <v/>
      </c>
      <c r="AM75" s="91">
        <f>Inicio!$M$27</f>
        <v/>
      </c>
      <c r="AN75" s="91">
        <f>Inicio!$M$28</f>
        <v/>
      </c>
      <c r="AO75" s="91">
        <f>Inicio!$M$29</f>
        <v/>
      </c>
      <c r="AP75" s="91">
        <f>Inicio!$M$30</f>
        <v/>
      </c>
      <c r="AQ75" s="91">
        <f>Inicio!$M$31</f>
        <v/>
      </c>
      <c r="AR75" s="91">
        <f>Inicio!$M$32</f>
        <v/>
      </c>
      <c r="AS75" s="109">
        <f>Inicio!$M$33</f>
        <v/>
      </c>
      <c r="AT75" s="254" t="n"/>
      <c r="AU75" s="255" t="n"/>
    </row>
    <row r="76">
      <c r="D76" t="n">
        <v>1</v>
      </c>
      <c r="E76" s="110">
        <f>Inicio!V4</f>
        <v/>
      </c>
      <c r="F76" s="99">
        <f t="array" ref="F76">_xlfn.LET(
_xlpm.rango, INDIRECT("N!$C$" &amp; $BA$8 &amp; ":$DR$" &amp; $BA$9),
_xlpm.col, F$72+$D75*10,
INDEX(_xlpm.rango,$BA$4-3,_xlpm.col) +
INDEX(_xlpm.rango,$BA$4-2,_xlpm.col) +
INDEX(_xlpm.rango,$BA$4-1,_xlpm.col) +
INDEX(_xlpm.rango,$BA$4, _xlpm.col)
)</f>
        <v/>
      </c>
      <c r="G76" s="93">
        <f t="array" ref="G76">_xlfn.LET(
_xlpm.rango, INDIRECT("N!$C$" &amp; $BA$8 &amp; ":$DR$" &amp; $BA$9),
_xlpm.col, G$72+$D75*10,
INDEX(_xlpm.rango,$BA$4-3,_xlpm.col) +
INDEX(_xlpm.rango,$BA$4-2,_xlpm.col) +
INDEX(_xlpm.rango,$BA$4-1,_xlpm.col) +
INDEX(_xlpm.rango,$BA$4, _xlpm.col)
)</f>
        <v/>
      </c>
      <c r="H76" s="93">
        <f t="array" ref="H76">_xlfn.LET(
_xlpm.rango, INDIRECT("N!$C$" &amp; $BA$8 &amp; ":$DR$" &amp; $BA$9),
_xlpm.col, H$72+$D75*10,
INDEX(_xlpm.rango,$BA$4-3,_xlpm.col) +
INDEX(_xlpm.rango,$BA$4-2,_xlpm.col) +
INDEX(_xlpm.rango,$BA$4-1,_xlpm.col) +
INDEX(_xlpm.rango,$BA$4, _xlpm.col)
)</f>
        <v/>
      </c>
      <c r="I76" s="93">
        <f t="array" ref="I76">_xlfn.LET(
_xlpm.rango, INDIRECT("N!$C$" &amp; $BA$8 &amp; ":$DR$" &amp; $BA$9),
_xlpm.col, I$72+$D75*10,
INDEX(_xlpm.rango,$BA$4-3,_xlpm.col) +
INDEX(_xlpm.rango,$BA$4-2,_xlpm.col) +
INDEX(_xlpm.rango,$BA$4-1,_xlpm.col) +
INDEX(_xlpm.rango,$BA$4, _xlpm.col)
)</f>
        <v/>
      </c>
      <c r="J76" s="93">
        <f t="array" ref="J76">_xlfn.LET(
_xlpm.rango, INDIRECT("N!$C$" &amp; $BA$8 &amp; ":$DR$" &amp; $BA$9),
_xlpm.col, J$72+$D75*10,
INDEX(_xlpm.rango,$BA$4-3,_xlpm.col) +
INDEX(_xlpm.rango,$BA$4-2,_xlpm.col) +
INDEX(_xlpm.rango,$BA$4-1,_xlpm.col) +
INDEX(_xlpm.rango,$BA$4, _xlpm.col)
)</f>
        <v/>
      </c>
      <c r="K76" s="93">
        <f t="array" ref="K76">_xlfn.LET(
_xlpm.rango, INDIRECT("N!$C$" &amp; $BA$8 &amp; ":$DR$" &amp; $BA$9),
_xlpm.col, K$72+$D75*10,
INDEX(_xlpm.rango,$BA$4-3,_xlpm.col) +
INDEX(_xlpm.rango,$BA$4-2,_xlpm.col) +
INDEX(_xlpm.rango,$BA$4-1,_xlpm.col) +
INDEX(_xlpm.rango,$BA$4, _xlpm.col)
)</f>
        <v/>
      </c>
      <c r="L76" s="93">
        <f t="array" ref="L76">_xlfn.LET(
_xlpm.rango, INDIRECT("N!$C$" &amp; $BA$8 &amp; ":$DR$" &amp; $BA$9),
_xlpm.col, L$72+$D75*10,
INDEX(_xlpm.rango,$BA$4-3,_xlpm.col) +
INDEX(_xlpm.rango,$BA$4-2,_xlpm.col) +
INDEX(_xlpm.rango,$BA$4-1,_xlpm.col) +
INDEX(_xlpm.rango,$BA$4, _xlpm.col)
)</f>
        <v/>
      </c>
      <c r="M76" s="93">
        <f t="array" ref="M76">_xlfn.LET(
_xlpm.rango, INDIRECT("N!$C$" &amp; $BA$8 &amp; ":$DR$" &amp; $BA$9),
_xlpm.col, M$72+$D75*10,
INDEX(_xlpm.rango,$BA$4-3,_xlpm.col) +
INDEX(_xlpm.rango,$BA$4-2,_xlpm.col) +
INDEX(_xlpm.rango,$BA$4-1,_xlpm.col) +
INDEX(_xlpm.rango,$BA$4, _xlpm.col)
)</f>
        <v/>
      </c>
      <c r="N76" s="93">
        <f t="array" ref="N76">_xlfn.LET(
_xlpm.rango, INDIRECT("N!$C$" &amp; $BA$8 &amp; ":$DR$" &amp; $BA$9),
_xlpm.col, N$72+$D75*10,
INDEX(_xlpm.rango,$BA$4-3,_xlpm.col) +
INDEX(_xlpm.rango,$BA$4-2,_xlpm.col) +
INDEX(_xlpm.rango,$BA$4-1,_xlpm.col) +
INDEX(_xlpm.rango,$BA$4, _xlpm.col)
)</f>
        <v/>
      </c>
      <c r="O76" s="94">
        <f t="array" ref="O76">_xlfn.LET(
_xlpm.rango, INDIRECT("N!$C$" &amp; $BA$8 &amp; ":$DR$" &amp; $BA$9),
_xlpm.col, O$72+$D75*10,
INDEX(_xlpm.rango,$BA$4-3,_xlpm.col) +
INDEX(_xlpm.rango,$BA$4-2,_xlpm.col) +
INDEX(_xlpm.rango,$BA$4-1,_xlpm.col) +
INDEX(_xlpm.rango,$BA$4, _xlpm.col)
)</f>
        <v/>
      </c>
      <c r="P76" s="93">
        <f t="array" ref="P76">_xlfn.LET(
_xlpm.rango, INDIRECT("S!$C$" &amp; $BA$8 &amp; ":$DR$" &amp; $BA$9),
_xlpm.col, P$72+$D75*10,
INDEX(_xlpm.rango,$BA$4-3,_xlpm.col) +
INDEX(_xlpm.rango,$BA$4-2,_xlpm.col) +
INDEX(_xlpm.rango,$BA$4-1,_xlpm.col) +
INDEX(_xlpm.rango,$BA$4, _xlpm.col)
)</f>
        <v/>
      </c>
      <c r="Q76" s="93">
        <f t="array" ref="Q76">_xlfn.LET(
_xlpm.rango, INDIRECT("S!$C$" &amp; $BA$8 &amp; ":$DR$" &amp; $BA$9),
_xlpm.col, Q$72+$D75*10,
INDEX(_xlpm.rango,$BA$4-3,_xlpm.col) +
INDEX(_xlpm.rango,$BA$4-2,_xlpm.col) +
INDEX(_xlpm.rango,$BA$4-1,_xlpm.col) +
INDEX(_xlpm.rango,$BA$4, _xlpm.col)
)</f>
        <v/>
      </c>
      <c r="R76" s="93">
        <f t="array" ref="R76">_xlfn.LET(
_xlpm.rango, INDIRECT("S!$C$" &amp; $BA$8 &amp; ":$DR$" &amp; $BA$9),
_xlpm.col, R$72+$D75*10,
INDEX(_xlpm.rango,$BA$4-3,_xlpm.col) +
INDEX(_xlpm.rango,$BA$4-2,_xlpm.col) +
INDEX(_xlpm.rango,$BA$4-1,_xlpm.col) +
INDEX(_xlpm.rango,$BA$4, _xlpm.col)
)</f>
        <v/>
      </c>
      <c r="S76" s="93">
        <f t="array" ref="S76">_xlfn.LET(
_xlpm.rango, INDIRECT("S!$C$" &amp; $BA$8 &amp; ":$DR$" &amp; $BA$9),
_xlpm.col, S$72+$D75*10,
INDEX(_xlpm.rango,$BA$4-3,_xlpm.col) +
INDEX(_xlpm.rango,$BA$4-2,_xlpm.col) +
INDEX(_xlpm.rango,$BA$4-1,_xlpm.col) +
INDEX(_xlpm.rango,$BA$4, _xlpm.col)
)</f>
        <v/>
      </c>
      <c r="T76" s="93">
        <f t="array" ref="T76">_xlfn.LET(
_xlpm.rango, INDIRECT("S!$C$" &amp; $BA$8 &amp; ":$DR$" &amp; $BA$9),
_xlpm.col, T$72+$D75*10,
INDEX(_xlpm.rango,$BA$4-3,_xlpm.col) +
INDEX(_xlpm.rango,$BA$4-2,_xlpm.col) +
INDEX(_xlpm.rango,$BA$4-1,_xlpm.col) +
INDEX(_xlpm.rango,$BA$4, _xlpm.col)
)</f>
        <v/>
      </c>
      <c r="U76" s="93">
        <f t="array" ref="U76">_xlfn.LET(
_xlpm.rango, INDIRECT("S!$C$" &amp; $BA$8 &amp; ":$DR$" &amp; $BA$9),
_xlpm.col, U$72+$D75*10,
INDEX(_xlpm.rango,$BA$4-3,_xlpm.col) +
INDEX(_xlpm.rango,$BA$4-2,_xlpm.col) +
INDEX(_xlpm.rango,$BA$4-1,_xlpm.col) +
INDEX(_xlpm.rango,$BA$4, _xlpm.col)
)</f>
        <v/>
      </c>
      <c r="V76" s="93">
        <f t="array" ref="V76">_xlfn.LET(
_xlpm.rango, INDIRECT("S!$C$" &amp; $BA$8 &amp; ":$DR$" &amp; $BA$9),
_xlpm.col, V$72+$D75*10,
INDEX(_xlpm.rango,$BA$4-3,_xlpm.col) +
INDEX(_xlpm.rango,$BA$4-2,_xlpm.col) +
INDEX(_xlpm.rango,$BA$4-1,_xlpm.col) +
INDEX(_xlpm.rango,$BA$4, _xlpm.col)
)</f>
        <v/>
      </c>
      <c r="W76" s="93">
        <f t="array" ref="W76">_xlfn.LET(
_xlpm.rango, INDIRECT("S!$C$" &amp; $BA$8 &amp; ":$DR$" &amp; $BA$9),
_xlpm.col, W$72+$D75*10,
INDEX(_xlpm.rango,$BA$4-3,_xlpm.col) +
INDEX(_xlpm.rango,$BA$4-2,_xlpm.col) +
INDEX(_xlpm.rango,$BA$4-1,_xlpm.col) +
INDEX(_xlpm.rango,$BA$4, _xlpm.col)
)</f>
        <v/>
      </c>
      <c r="X76" s="93">
        <f t="array" ref="X76">_xlfn.LET(
_xlpm.rango, INDIRECT("S!$C$" &amp; $BA$8 &amp; ":$DR$" &amp; $BA$9),
_xlpm.col, X$72+$D75*10,
INDEX(_xlpm.rango,$BA$4-3,_xlpm.col) +
INDEX(_xlpm.rango,$BA$4-2,_xlpm.col) +
INDEX(_xlpm.rango,$BA$4-1,_xlpm.col) +
INDEX(_xlpm.rango,$BA$4, _xlpm.col)
)</f>
        <v/>
      </c>
      <c r="Y76" s="93">
        <f t="array" ref="Y76">_xlfn.LET(
_xlpm.rango, INDIRECT("S!$C$" &amp; $BA$8 &amp; ":$DR$" &amp; $BA$9),
_xlpm.col, Y$72+$D75*10,
INDEX(_xlpm.rango,$BA$4-3,_xlpm.col) +
INDEX(_xlpm.rango,$BA$4-2,_xlpm.col) +
INDEX(_xlpm.rango,$BA$4-1,_xlpm.col) +
INDEX(_xlpm.rango,$BA$4, _xlpm.col)
)</f>
        <v/>
      </c>
      <c r="Z76" s="99">
        <f t="array" ref="Z76">_xlfn.LET(
_xlpm.rango, INDIRECT("E!$C$" &amp; $BA$8 &amp; ":$DR$" &amp; $BA$9),
_xlpm.col, Z$72+$D75*10,
INDEX(_xlpm.rango,$BA$4-3,_xlpm.col) +
INDEX(_xlpm.rango,$BA$4-2,_xlpm.col) +
INDEX(_xlpm.rango,$BA$4-1,_xlpm.col) +
INDEX(_xlpm.rango,$BA$4, _xlpm.col)
)</f>
        <v/>
      </c>
      <c r="AA76" s="93">
        <f t="array" ref="AA76">_xlfn.LET(
_xlpm.rango, INDIRECT("E!$C$" &amp; $BA$8 &amp; ":$DR$" &amp; $BA$9),
_xlpm.col, AA$72+$D75*10,
INDEX(_xlpm.rango,$BA$4-3,_xlpm.col) +
INDEX(_xlpm.rango,$BA$4-2,_xlpm.col) +
INDEX(_xlpm.rango,$BA$4-1,_xlpm.col) +
INDEX(_xlpm.rango,$BA$4, _xlpm.col)
)</f>
        <v/>
      </c>
      <c r="AB76" s="93">
        <f t="array" ref="AB76">_xlfn.LET(
_xlpm.rango, INDIRECT("E!$C$" &amp; $BA$8 &amp; ":$DR$" &amp; $BA$9),
_xlpm.col, AB$72+$D75*10,
INDEX(_xlpm.rango,$BA$4-3,_xlpm.col) +
INDEX(_xlpm.rango,$BA$4-2,_xlpm.col) +
INDEX(_xlpm.rango,$BA$4-1,_xlpm.col) +
INDEX(_xlpm.rango,$BA$4, _xlpm.col)
)</f>
        <v/>
      </c>
      <c r="AC76" s="93">
        <f t="array" ref="AC76">_xlfn.LET(
_xlpm.rango, INDIRECT("E!$C$" &amp; $BA$8 &amp; ":$DR$" &amp; $BA$9),
_xlpm.col, AC$72+$D75*10,
INDEX(_xlpm.rango,$BA$4-3,_xlpm.col) +
INDEX(_xlpm.rango,$BA$4-2,_xlpm.col) +
INDEX(_xlpm.rango,$BA$4-1,_xlpm.col) +
INDEX(_xlpm.rango,$BA$4, _xlpm.col)
)</f>
        <v/>
      </c>
      <c r="AD76" s="93">
        <f t="array" ref="AD76">_xlfn.LET(
_xlpm.rango, INDIRECT("E!$C$" &amp; $BA$8 &amp; ":$DR$" &amp; $BA$9),
_xlpm.col, AD$72+$D75*10,
INDEX(_xlpm.rango,$BA$4-3,_xlpm.col) +
INDEX(_xlpm.rango,$BA$4-2,_xlpm.col) +
INDEX(_xlpm.rango,$BA$4-1,_xlpm.col) +
INDEX(_xlpm.rango,$BA$4, _xlpm.col)
)</f>
        <v/>
      </c>
      <c r="AE76" s="93">
        <f t="array" ref="AE76">_xlfn.LET(
_xlpm.rango, INDIRECT("E!$C$" &amp; $BA$8 &amp; ":$DR$" &amp; $BA$9),
_xlpm.col, AE$72+$D75*10,
INDEX(_xlpm.rango,$BA$4-3,_xlpm.col) +
INDEX(_xlpm.rango,$BA$4-2,_xlpm.col) +
INDEX(_xlpm.rango,$BA$4-1,_xlpm.col) +
INDEX(_xlpm.rango,$BA$4, _xlpm.col)
)</f>
        <v/>
      </c>
      <c r="AF76" s="93">
        <f t="array" ref="AF76">_xlfn.LET(
_xlpm.rango, INDIRECT("E!$C$" &amp; $BA$8 &amp; ":$DR$" &amp; $BA$9),
_xlpm.col, AF$72+$D75*10,
INDEX(_xlpm.rango,$BA$4-3,_xlpm.col) +
INDEX(_xlpm.rango,$BA$4-2,_xlpm.col) +
INDEX(_xlpm.rango,$BA$4-1,_xlpm.col) +
INDEX(_xlpm.rango,$BA$4, _xlpm.col)
)</f>
        <v/>
      </c>
      <c r="AG76" s="93">
        <f t="array" ref="AG76">_xlfn.LET(
_xlpm.rango, INDIRECT("E!$C$" &amp; $BA$8 &amp; ":$DR$" &amp; $BA$9),
_xlpm.col, AG$72+$D75*10,
INDEX(_xlpm.rango,$BA$4-3,_xlpm.col) +
INDEX(_xlpm.rango,$BA$4-2,_xlpm.col) +
INDEX(_xlpm.rango,$BA$4-1,_xlpm.col) +
INDEX(_xlpm.rango,$BA$4, _xlpm.col)
)</f>
        <v/>
      </c>
      <c r="AH76" s="93">
        <f t="array" ref="AH76">_xlfn.LET(
_xlpm.rango, INDIRECT("E!$C$" &amp; $BA$8 &amp; ":$DR$" &amp; $BA$9),
_xlpm.col, AH$72+$D75*10,
INDEX(_xlpm.rango,$BA$4-3,_xlpm.col) +
INDEX(_xlpm.rango,$BA$4-2,_xlpm.col) +
INDEX(_xlpm.rango,$BA$4-1,_xlpm.col) +
INDEX(_xlpm.rango,$BA$4, _xlpm.col)
)</f>
        <v/>
      </c>
      <c r="AI76" s="94">
        <f t="array" ref="AI76">_xlfn.LET(
_xlpm.rango, INDIRECT("E!$C$" &amp; $BA$8 &amp; ":$DR$" &amp; $BA$9),
_xlpm.col, AI$72+$D75*10,
INDEX(_xlpm.rango,$BA$4-3,_xlpm.col) +
INDEX(_xlpm.rango,$BA$4-2,_xlpm.col) +
INDEX(_xlpm.rango,$BA$4-1,_xlpm.col) +
INDEX(_xlpm.rango,$BA$4, _xlpm.col)
)</f>
        <v/>
      </c>
      <c r="AJ76" s="99">
        <f t="array" ref="AJ76">_xlfn.LET(
_xlpm.rango, INDIRECT("E!$C$" &amp; $BA$8 &amp; ":$DR$" &amp; $BA$9),
_xlpm.col, AJ$72+$D75*10,
INDEX(_xlpm.rango,$BA$4-3,_xlpm.col) +
INDEX(_xlpm.rango,$BA$4-2,_xlpm.col) +
INDEX(_xlpm.rango,$BA$4-1,_xlpm.col) +
INDEX(_xlpm.rango,$BA$4, _xlpm.col)
)</f>
        <v/>
      </c>
      <c r="AK76" s="93">
        <f t="array" ref="AK76">_xlfn.LET(
_xlpm.rango, INDIRECT("E!$C$" &amp; $BA$8 &amp; ":$DR$" &amp; $BA$9),
_xlpm.col, AK$72+$D75*10,
INDEX(_xlpm.rango,$BA$4-3,_xlpm.col) +
INDEX(_xlpm.rango,$BA$4-2,_xlpm.col) +
INDEX(_xlpm.rango,$BA$4-1,_xlpm.col) +
INDEX(_xlpm.rango,$BA$4, _xlpm.col)
)</f>
        <v/>
      </c>
      <c r="AL76" s="93">
        <f t="array" ref="AL76">_xlfn.LET(
_xlpm.rango, INDIRECT("E!$C$" &amp; $BA$8 &amp; ":$DR$" &amp; $BA$9),
_xlpm.col, AL$72+$D75*10,
INDEX(_xlpm.rango,$BA$4-3,_xlpm.col) +
INDEX(_xlpm.rango,$BA$4-2,_xlpm.col) +
INDEX(_xlpm.rango,$BA$4-1,_xlpm.col) +
INDEX(_xlpm.rango,$BA$4, _xlpm.col)
)</f>
        <v/>
      </c>
      <c r="AM76" s="93">
        <f t="array" ref="AM76">_xlfn.LET(
_xlpm.rango, INDIRECT("E!$C$" &amp; $BA$8 &amp; ":$DR$" &amp; $BA$9),
_xlpm.col, AM$72+$D75*10,
INDEX(_xlpm.rango,$BA$4-3,_xlpm.col) +
INDEX(_xlpm.rango,$BA$4-2,_xlpm.col) +
INDEX(_xlpm.rango,$BA$4-1,_xlpm.col) +
INDEX(_xlpm.rango,$BA$4, _xlpm.col)
)</f>
        <v/>
      </c>
      <c r="AN76" s="93">
        <f t="array" ref="AN76">_xlfn.LET(
_xlpm.rango, INDIRECT("E!$C$" &amp; $BA$8 &amp; ":$DR$" &amp; $BA$9),
_xlpm.col, AN$72+$D75*10,
INDEX(_xlpm.rango,$BA$4-3,_xlpm.col) +
INDEX(_xlpm.rango,$BA$4-2,_xlpm.col) +
INDEX(_xlpm.rango,$BA$4-1,_xlpm.col) +
INDEX(_xlpm.rango,$BA$4, _xlpm.col)
)</f>
        <v/>
      </c>
      <c r="AO76" s="93">
        <f t="array" ref="AO76">_xlfn.LET(
_xlpm.rango, INDIRECT("E!$C$" &amp; $BA$8 &amp; ":$DR$" &amp; $BA$9),
_xlpm.col, AO$72+$D75*10,
INDEX(_xlpm.rango,$BA$4-3,_xlpm.col) +
INDEX(_xlpm.rango,$BA$4-2,_xlpm.col) +
INDEX(_xlpm.rango,$BA$4-1,_xlpm.col) +
INDEX(_xlpm.rango,$BA$4, _xlpm.col)
)</f>
        <v/>
      </c>
      <c r="AP76" s="93">
        <f t="array" ref="AP76">_xlfn.LET(
_xlpm.rango, INDIRECT("E!$C$" &amp; $BA$8 &amp; ":$DR$" &amp; $BA$9),
_xlpm.col, AP$72+$D75*10,
INDEX(_xlpm.rango,$BA$4-3,_xlpm.col) +
INDEX(_xlpm.rango,$BA$4-2,_xlpm.col) +
INDEX(_xlpm.rango,$BA$4-1,_xlpm.col) +
INDEX(_xlpm.rango,$BA$4, _xlpm.col)
)</f>
        <v/>
      </c>
      <c r="AQ76" s="93">
        <f t="array" ref="AQ76">_xlfn.LET(
_xlpm.rango, INDIRECT("E!$C$" &amp; $BA$8 &amp; ":$DR$" &amp; $BA$9),
_xlpm.col, AQ$72+$D75*10,
INDEX(_xlpm.rango,$BA$4-3,_xlpm.col) +
INDEX(_xlpm.rango,$BA$4-2,_xlpm.col) +
INDEX(_xlpm.rango,$BA$4-1,_xlpm.col) +
INDEX(_xlpm.rango,$BA$4, _xlpm.col)
)</f>
        <v/>
      </c>
      <c r="AR76" s="93">
        <f t="array" ref="AR76">_xlfn.LET(
_xlpm.rango, INDIRECT("E!$C$" &amp; $BA$8 &amp; ":$DR$" &amp; $BA$9),
_xlpm.col, AR$72+$D75*10,
INDEX(_xlpm.rango,$BA$4-3,_xlpm.col) +
INDEX(_xlpm.rango,$BA$4-2,_xlpm.col) +
INDEX(_xlpm.rango,$BA$4-1,_xlpm.col) +
INDEX(_xlpm.rango,$BA$4, _xlpm.col)
)</f>
        <v/>
      </c>
      <c r="AS76" s="111">
        <f t="array" ref="AS76">_xlfn.LET(
_xlpm.rango, INDIRECT("E!$C$" &amp; $BA$8 &amp; ":$DR$" &amp; $BA$9),
_xlpm.col, AS$72+$D75*10,
INDEX(_xlpm.rango,$BA$4-3,_xlpm.col) +
INDEX(_xlpm.rango,$BA$4-2,_xlpm.col) +
INDEX(_xlpm.rango,$BA$4-1,_xlpm.col) +
INDEX(_xlpm.rango,$BA$4, _xlpm.col)
)</f>
        <v/>
      </c>
      <c r="AT76" s="118">
        <f>SUM(F76:AS76)</f>
        <v/>
      </c>
      <c r="AU76" s="119">
        <f>AT76/$AT$88</f>
        <v/>
      </c>
    </row>
    <row r="77">
      <c r="D77" t="n">
        <v>2</v>
      </c>
      <c r="E77" s="106">
        <f>Inicio!V5</f>
        <v/>
      </c>
      <c r="F77" s="100">
        <f t="array" ref="F77">_xlfn.LET(
_xlpm.rango, INDIRECT("N!$C$" &amp; $BA$8 &amp; ":$DR$" &amp; $BA$9),
_xlpm.col, F$72+$D76*10,
INDEX(_xlpm.rango,$BA$4-3,_xlpm.col) +
INDEX(_xlpm.rango,$BA$4-2,_xlpm.col) +
INDEX(_xlpm.rango,$BA$4-1,_xlpm.col) +
INDEX(_xlpm.rango,$BA$4, _xlpm.col)
)</f>
        <v/>
      </c>
      <c r="G77" s="95">
        <f t="array" ref="G77">_xlfn.LET(
_xlpm.rango, INDIRECT("N!$C$" &amp; $BA$8 &amp; ":$DR$" &amp; $BA$9),
_xlpm.col, G$72+$D76*10,
INDEX(_xlpm.rango,$BA$4-3,_xlpm.col) +
INDEX(_xlpm.rango,$BA$4-2,_xlpm.col) +
INDEX(_xlpm.rango,$BA$4-1,_xlpm.col) +
INDEX(_xlpm.rango,$BA$4, _xlpm.col)
)</f>
        <v/>
      </c>
      <c r="H77" s="95">
        <f t="array" ref="H77">_xlfn.LET(
_xlpm.rango, INDIRECT("N!$C$" &amp; $BA$8 &amp; ":$DR$" &amp; $BA$9),
_xlpm.col, H$72+$D76*10,
INDEX(_xlpm.rango,$BA$4-3,_xlpm.col) +
INDEX(_xlpm.rango,$BA$4-2,_xlpm.col) +
INDEX(_xlpm.rango,$BA$4-1,_xlpm.col) +
INDEX(_xlpm.rango,$BA$4, _xlpm.col)
)</f>
        <v/>
      </c>
      <c r="I77" s="95">
        <f t="array" ref="I77">_xlfn.LET(
_xlpm.rango, INDIRECT("N!$C$" &amp; $BA$8 &amp; ":$DR$" &amp; $BA$9),
_xlpm.col, I$72+$D76*10,
INDEX(_xlpm.rango,$BA$4-3,_xlpm.col) +
INDEX(_xlpm.rango,$BA$4-2,_xlpm.col) +
INDEX(_xlpm.rango,$BA$4-1,_xlpm.col) +
INDEX(_xlpm.rango,$BA$4, _xlpm.col)
)</f>
        <v/>
      </c>
      <c r="J77" s="95">
        <f t="array" ref="J77">_xlfn.LET(
_xlpm.rango, INDIRECT("N!$C$" &amp; $BA$8 &amp; ":$DR$" &amp; $BA$9),
_xlpm.col, J$72+$D76*10,
INDEX(_xlpm.rango,$BA$4-3,_xlpm.col) +
INDEX(_xlpm.rango,$BA$4-2,_xlpm.col) +
INDEX(_xlpm.rango,$BA$4-1,_xlpm.col) +
INDEX(_xlpm.rango,$BA$4, _xlpm.col)
)</f>
        <v/>
      </c>
      <c r="K77" s="95">
        <f t="array" ref="K77">_xlfn.LET(
_xlpm.rango, INDIRECT("N!$C$" &amp; $BA$8 &amp; ":$DR$" &amp; $BA$9),
_xlpm.col, K$72+$D76*10,
INDEX(_xlpm.rango,$BA$4-3,_xlpm.col) +
INDEX(_xlpm.rango,$BA$4-2,_xlpm.col) +
INDEX(_xlpm.rango,$BA$4-1,_xlpm.col) +
INDEX(_xlpm.rango,$BA$4, _xlpm.col)
)</f>
        <v/>
      </c>
      <c r="L77" s="95">
        <f t="array" ref="L77">_xlfn.LET(
_xlpm.rango, INDIRECT("N!$C$" &amp; $BA$8 &amp; ":$DR$" &amp; $BA$9),
_xlpm.col, L$72+$D76*10,
INDEX(_xlpm.rango,$BA$4-3,_xlpm.col) +
INDEX(_xlpm.rango,$BA$4-2,_xlpm.col) +
INDEX(_xlpm.rango,$BA$4-1,_xlpm.col) +
INDEX(_xlpm.rango,$BA$4, _xlpm.col)
)</f>
        <v/>
      </c>
      <c r="M77" s="95">
        <f t="array" ref="M77">_xlfn.LET(
_xlpm.rango, INDIRECT("N!$C$" &amp; $BA$8 &amp; ":$DR$" &amp; $BA$9),
_xlpm.col, M$72+$D76*10,
INDEX(_xlpm.rango,$BA$4-3,_xlpm.col) +
INDEX(_xlpm.rango,$BA$4-2,_xlpm.col) +
INDEX(_xlpm.rango,$BA$4-1,_xlpm.col) +
INDEX(_xlpm.rango,$BA$4, _xlpm.col)
)</f>
        <v/>
      </c>
      <c r="N77" s="95">
        <f t="array" ref="N77">_xlfn.LET(
_xlpm.rango, INDIRECT("N!$C$" &amp; $BA$8 &amp; ":$DR$" &amp; $BA$9),
_xlpm.col, N$72+$D76*10,
INDEX(_xlpm.rango,$BA$4-3,_xlpm.col) +
INDEX(_xlpm.rango,$BA$4-2,_xlpm.col) +
INDEX(_xlpm.rango,$BA$4-1,_xlpm.col) +
INDEX(_xlpm.rango,$BA$4, _xlpm.col)
)</f>
        <v/>
      </c>
      <c r="O77" s="96">
        <f t="array" ref="O77">_xlfn.LET(
_xlpm.rango, INDIRECT("N!$C$" &amp; $BA$8 &amp; ":$DR$" &amp; $BA$9),
_xlpm.col, O$72+$D76*10,
INDEX(_xlpm.rango,$BA$4-3,_xlpm.col) +
INDEX(_xlpm.rango,$BA$4-2,_xlpm.col) +
INDEX(_xlpm.rango,$BA$4-1,_xlpm.col) +
INDEX(_xlpm.rango,$BA$4, _xlpm.col)
)</f>
        <v/>
      </c>
      <c r="P77" s="95">
        <f t="array" ref="P77">_xlfn.LET(
_xlpm.rango, INDIRECT("S!$C$" &amp; $BA$8 &amp; ":$DR$" &amp; $BA$9),
_xlpm.col, P$72+$D76*10,
INDEX(_xlpm.rango,$BA$4-3,_xlpm.col) +
INDEX(_xlpm.rango,$BA$4-2,_xlpm.col) +
INDEX(_xlpm.rango,$BA$4-1,_xlpm.col) +
INDEX(_xlpm.rango,$BA$4, _xlpm.col)
)</f>
        <v/>
      </c>
      <c r="Q77" s="95">
        <f t="array" ref="Q77">_xlfn.LET(
_xlpm.rango, INDIRECT("S!$C$" &amp; $BA$8 &amp; ":$DR$" &amp; $BA$9),
_xlpm.col, Q$72+$D76*10,
INDEX(_xlpm.rango,$BA$4-3,_xlpm.col) +
INDEX(_xlpm.rango,$BA$4-2,_xlpm.col) +
INDEX(_xlpm.rango,$BA$4-1,_xlpm.col) +
INDEX(_xlpm.rango,$BA$4, _xlpm.col)
)</f>
        <v/>
      </c>
      <c r="R77" s="95">
        <f t="array" ref="R77">_xlfn.LET(
_xlpm.rango, INDIRECT("S!$C$" &amp; $BA$8 &amp; ":$DR$" &amp; $BA$9),
_xlpm.col, R$72+$D76*10,
INDEX(_xlpm.rango,$BA$4-3,_xlpm.col) +
INDEX(_xlpm.rango,$BA$4-2,_xlpm.col) +
INDEX(_xlpm.rango,$BA$4-1,_xlpm.col) +
INDEX(_xlpm.rango,$BA$4, _xlpm.col)
)</f>
        <v/>
      </c>
      <c r="S77" s="95">
        <f t="array" ref="S77">_xlfn.LET(
_xlpm.rango, INDIRECT("S!$C$" &amp; $BA$8 &amp; ":$DR$" &amp; $BA$9),
_xlpm.col, S$72+$D76*10,
INDEX(_xlpm.rango,$BA$4-3,_xlpm.col) +
INDEX(_xlpm.rango,$BA$4-2,_xlpm.col) +
INDEX(_xlpm.rango,$BA$4-1,_xlpm.col) +
INDEX(_xlpm.rango,$BA$4, _xlpm.col)
)</f>
        <v/>
      </c>
      <c r="T77" s="95">
        <f t="array" ref="T77">_xlfn.LET(
_xlpm.rango, INDIRECT("S!$C$" &amp; $BA$8 &amp; ":$DR$" &amp; $BA$9),
_xlpm.col, T$72+$D76*10,
INDEX(_xlpm.rango,$BA$4-3,_xlpm.col) +
INDEX(_xlpm.rango,$BA$4-2,_xlpm.col) +
INDEX(_xlpm.rango,$BA$4-1,_xlpm.col) +
INDEX(_xlpm.rango,$BA$4, _xlpm.col)
)</f>
        <v/>
      </c>
      <c r="U77" s="95">
        <f t="array" ref="U77">_xlfn.LET(
_xlpm.rango, INDIRECT("S!$C$" &amp; $BA$8 &amp; ":$DR$" &amp; $BA$9),
_xlpm.col, U$72+$D76*10,
INDEX(_xlpm.rango,$BA$4-3,_xlpm.col) +
INDEX(_xlpm.rango,$BA$4-2,_xlpm.col) +
INDEX(_xlpm.rango,$BA$4-1,_xlpm.col) +
INDEX(_xlpm.rango,$BA$4, _xlpm.col)
)</f>
        <v/>
      </c>
      <c r="V77" s="95">
        <f t="array" ref="V77">_xlfn.LET(
_xlpm.rango, INDIRECT("S!$C$" &amp; $BA$8 &amp; ":$DR$" &amp; $BA$9),
_xlpm.col, V$72+$D76*10,
INDEX(_xlpm.rango,$BA$4-3,_xlpm.col) +
INDEX(_xlpm.rango,$BA$4-2,_xlpm.col) +
INDEX(_xlpm.rango,$BA$4-1,_xlpm.col) +
INDEX(_xlpm.rango,$BA$4, _xlpm.col)
)</f>
        <v/>
      </c>
      <c r="W77" s="95">
        <f t="array" ref="W77">_xlfn.LET(
_xlpm.rango, INDIRECT("S!$C$" &amp; $BA$8 &amp; ":$DR$" &amp; $BA$9),
_xlpm.col, W$72+$D76*10,
INDEX(_xlpm.rango,$BA$4-3,_xlpm.col) +
INDEX(_xlpm.rango,$BA$4-2,_xlpm.col) +
INDEX(_xlpm.rango,$BA$4-1,_xlpm.col) +
INDEX(_xlpm.rango,$BA$4, _xlpm.col)
)</f>
        <v/>
      </c>
      <c r="X77" s="95">
        <f t="array" ref="X77">_xlfn.LET(
_xlpm.rango, INDIRECT("S!$C$" &amp; $BA$8 &amp; ":$DR$" &amp; $BA$9),
_xlpm.col, X$72+$D76*10,
INDEX(_xlpm.rango,$BA$4-3,_xlpm.col) +
INDEX(_xlpm.rango,$BA$4-2,_xlpm.col) +
INDEX(_xlpm.rango,$BA$4-1,_xlpm.col) +
INDEX(_xlpm.rango,$BA$4, _xlpm.col)
)</f>
        <v/>
      </c>
      <c r="Y77" s="95">
        <f t="array" ref="Y77">_xlfn.LET(
_xlpm.rango, INDIRECT("S!$C$" &amp; $BA$8 &amp; ":$DR$" &amp; $BA$9),
_xlpm.col, Y$72+$D76*10,
INDEX(_xlpm.rango,$BA$4-3,_xlpm.col) +
INDEX(_xlpm.rango,$BA$4-2,_xlpm.col) +
INDEX(_xlpm.rango,$BA$4-1,_xlpm.col) +
INDEX(_xlpm.rango,$BA$4, _xlpm.col)
)</f>
        <v/>
      </c>
      <c r="Z77" s="100">
        <f t="array" ref="Z77">_xlfn.LET(
_xlpm.rango, INDIRECT("E!$C$" &amp; $BA$8 &amp; ":$DR$" &amp; $BA$9),
_xlpm.col, Z$72+$D76*10,
INDEX(_xlpm.rango,$BA$4-3,_xlpm.col) +
INDEX(_xlpm.rango,$BA$4-2,_xlpm.col) +
INDEX(_xlpm.rango,$BA$4-1,_xlpm.col) +
INDEX(_xlpm.rango,$BA$4, _xlpm.col)
)</f>
        <v/>
      </c>
      <c r="AA77" s="95">
        <f t="array" ref="AA77">_xlfn.LET(
_xlpm.rango, INDIRECT("E!$C$" &amp; $BA$8 &amp; ":$DR$" &amp; $BA$9),
_xlpm.col, AA$72+$D76*10,
INDEX(_xlpm.rango,$BA$4-3,_xlpm.col) +
INDEX(_xlpm.rango,$BA$4-2,_xlpm.col) +
INDEX(_xlpm.rango,$BA$4-1,_xlpm.col) +
INDEX(_xlpm.rango,$BA$4, _xlpm.col)
)</f>
        <v/>
      </c>
      <c r="AB77" s="95">
        <f t="array" ref="AB77">_xlfn.LET(
_xlpm.rango, INDIRECT("E!$C$" &amp; $BA$8 &amp; ":$DR$" &amp; $BA$9),
_xlpm.col, AB$72+$D76*10,
INDEX(_xlpm.rango,$BA$4-3,_xlpm.col) +
INDEX(_xlpm.rango,$BA$4-2,_xlpm.col) +
INDEX(_xlpm.rango,$BA$4-1,_xlpm.col) +
INDEX(_xlpm.rango,$BA$4, _xlpm.col)
)</f>
        <v/>
      </c>
      <c r="AC77" s="95">
        <f t="array" ref="AC77">_xlfn.LET(
_xlpm.rango, INDIRECT("E!$C$" &amp; $BA$8 &amp; ":$DR$" &amp; $BA$9),
_xlpm.col, AC$72+$D76*10,
INDEX(_xlpm.rango,$BA$4-3,_xlpm.col) +
INDEX(_xlpm.rango,$BA$4-2,_xlpm.col) +
INDEX(_xlpm.rango,$BA$4-1,_xlpm.col) +
INDEX(_xlpm.rango,$BA$4, _xlpm.col)
)</f>
        <v/>
      </c>
      <c r="AD77" s="95">
        <f t="array" ref="AD77">_xlfn.LET(
_xlpm.rango, INDIRECT("E!$C$" &amp; $BA$8 &amp; ":$DR$" &amp; $BA$9),
_xlpm.col, AD$72+$D76*10,
INDEX(_xlpm.rango,$BA$4-3,_xlpm.col) +
INDEX(_xlpm.rango,$BA$4-2,_xlpm.col) +
INDEX(_xlpm.rango,$BA$4-1,_xlpm.col) +
INDEX(_xlpm.rango,$BA$4, _xlpm.col)
)</f>
        <v/>
      </c>
      <c r="AE77" s="95">
        <f t="array" ref="AE77">_xlfn.LET(
_xlpm.rango, INDIRECT("E!$C$" &amp; $BA$8 &amp; ":$DR$" &amp; $BA$9),
_xlpm.col, AE$72+$D76*10,
INDEX(_xlpm.rango,$BA$4-3,_xlpm.col) +
INDEX(_xlpm.rango,$BA$4-2,_xlpm.col) +
INDEX(_xlpm.rango,$BA$4-1,_xlpm.col) +
INDEX(_xlpm.rango,$BA$4, _xlpm.col)
)</f>
        <v/>
      </c>
      <c r="AF77" s="95">
        <f t="array" ref="AF77">_xlfn.LET(
_xlpm.rango, INDIRECT("E!$C$" &amp; $BA$8 &amp; ":$DR$" &amp; $BA$9),
_xlpm.col, AF$72+$D76*10,
INDEX(_xlpm.rango,$BA$4-3,_xlpm.col) +
INDEX(_xlpm.rango,$BA$4-2,_xlpm.col) +
INDEX(_xlpm.rango,$BA$4-1,_xlpm.col) +
INDEX(_xlpm.rango,$BA$4, _xlpm.col)
)</f>
        <v/>
      </c>
      <c r="AG77" s="95">
        <f t="array" ref="AG77">_xlfn.LET(
_xlpm.rango, INDIRECT("E!$C$" &amp; $BA$8 &amp; ":$DR$" &amp; $BA$9),
_xlpm.col, AG$72+$D76*10,
INDEX(_xlpm.rango,$BA$4-3,_xlpm.col) +
INDEX(_xlpm.rango,$BA$4-2,_xlpm.col) +
INDEX(_xlpm.rango,$BA$4-1,_xlpm.col) +
INDEX(_xlpm.rango,$BA$4, _xlpm.col)
)</f>
        <v/>
      </c>
      <c r="AH77" s="95">
        <f t="array" ref="AH77">_xlfn.LET(
_xlpm.rango, INDIRECT("E!$C$" &amp; $BA$8 &amp; ":$DR$" &amp; $BA$9),
_xlpm.col, AH$72+$D76*10,
INDEX(_xlpm.rango,$BA$4-3,_xlpm.col) +
INDEX(_xlpm.rango,$BA$4-2,_xlpm.col) +
INDEX(_xlpm.rango,$BA$4-1,_xlpm.col) +
INDEX(_xlpm.rango,$BA$4, _xlpm.col)
)</f>
        <v/>
      </c>
      <c r="AI77" s="96">
        <f t="array" ref="AI77">_xlfn.LET(
_xlpm.rango, INDIRECT("E!$C$" &amp; $BA$8 &amp; ":$DR$" &amp; $BA$9),
_xlpm.col, AI$72+$D76*10,
INDEX(_xlpm.rango,$BA$4-3,_xlpm.col) +
INDEX(_xlpm.rango,$BA$4-2,_xlpm.col) +
INDEX(_xlpm.rango,$BA$4-1,_xlpm.col) +
INDEX(_xlpm.rango,$BA$4, _xlpm.col)
)</f>
        <v/>
      </c>
      <c r="AJ77" s="95">
        <f t="array" ref="AJ77">_xlfn.LET(
_xlpm.rango, INDIRECT("E!$C$" &amp; $BA$8 &amp; ":$DR$" &amp; $BA$9),
_xlpm.col, AJ$72+$D76*10,
INDEX(_xlpm.rango,$BA$4-3,_xlpm.col) +
INDEX(_xlpm.rango,$BA$4-2,_xlpm.col) +
INDEX(_xlpm.rango,$BA$4-1,_xlpm.col) +
INDEX(_xlpm.rango,$BA$4, _xlpm.col)
)</f>
        <v/>
      </c>
      <c r="AK77" s="95">
        <f t="array" ref="AK77">_xlfn.LET(
_xlpm.rango, INDIRECT("E!$C$" &amp; $BA$8 &amp; ":$DR$" &amp; $BA$9),
_xlpm.col, AK$72+$D76*10,
INDEX(_xlpm.rango,$BA$4-3,_xlpm.col) +
INDEX(_xlpm.rango,$BA$4-2,_xlpm.col) +
INDEX(_xlpm.rango,$BA$4-1,_xlpm.col) +
INDEX(_xlpm.rango,$BA$4, _xlpm.col)
)</f>
        <v/>
      </c>
      <c r="AL77" s="95">
        <f t="array" ref="AL77">_xlfn.LET(
_xlpm.rango, INDIRECT("E!$C$" &amp; $BA$8 &amp; ":$DR$" &amp; $BA$9),
_xlpm.col, AL$72+$D76*10,
INDEX(_xlpm.rango,$BA$4-3,_xlpm.col) +
INDEX(_xlpm.rango,$BA$4-2,_xlpm.col) +
INDEX(_xlpm.rango,$BA$4-1,_xlpm.col) +
INDEX(_xlpm.rango,$BA$4, _xlpm.col)
)</f>
        <v/>
      </c>
      <c r="AM77" s="95">
        <f t="array" ref="AM77">_xlfn.LET(
_xlpm.rango, INDIRECT("E!$C$" &amp; $BA$8 &amp; ":$DR$" &amp; $BA$9),
_xlpm.col, AM$72+$D76*10,
INDEX(_xlpm.rango,$BA$4-3,_xlpm.col) +
INDEX(_xlpm.rango,$BA$4-2,_xlpm.col) +
INDEX(_xlpm.rango,$BA$4-1,_xlpm.col) +
INDEX(_xlpm.rango,$BA$4, _xlpm.col)
)</f>
        <v/>
      </c>
      <c r="AN77" s="95">
        <f t="array" ref="AN77">_xlfn.LET(
_xlpm.rango, INDIRECT("E!$C$" &amp; $BA$8 &amp; ":$DR$" &amp; $BA$9),
_xlpm.col, AN$72+$D76*10,
INDEX(_xlpm.rango,$BA$4-3,_xlpm.col) +
INDEX(_xlpm.rango,$BA$4-2,_xlpm.col) +
INDEX(_xlpm.rango,$BA$4-1,_xlpm.col) +
INDEX(_xlpm.rango,$BA$4, _xlpm.col)
)</f>
        <v/>
      </c>
      <c r="AO77" s="95">
        <f t="array" ref="AO77">_xlfn.LET(
_xlpm.rango, INDIRECT("E!$C$" &amp; $BA$8 &amp; ":$DR$" &amp; $BA$9),
_xlpm.col, AO$72+$D76*10,
INDEX(_xlpm.rango,$BA$4-3,_xlpm.col) +
INDEX(_xlpm.rango,$BA$4-2,_xlpm.col) +
INDEX(_xlpm.rango,$BA$4-1,_xlpm.col) +
INDEX(_xlpm.rango,$BA$4, _xlpm.col)
)</f>
        <v/>
      </c>
      <c r="AP77" s="95">
        <f t="array" ref="AP77">_xlfn.LET(
_xlpm.rango, INDIRECT("E!$C$" &amp; $BA$8 &amp; ":$DR$" &amp; $BA$9),
_xlpm.col, AP$72+$D76*10,
INDEX(_xlpm.rango,$BA$4-3,_xlpm.col) +
INDEX(_xlpm.rango,$BA$4-2,_xlpm.col) +
INDEX(_xlpm.rango,$BA$4-1,_xlpm.col) +
INDEX(_xlpm.rango,$BA$4, _xlpm.col)
)</f>
        <v/>
      </c>
      <c r="AQ77" s="95">
        <f t="array" ref="AQ77">_xlfn.LET(
_xlpm.rango, INDIRECT("E!$C$" &amp; $BA$8 &amp; ":$DR$" &amp; $BA$9),
_xlpm.col, AQ$72+$D76*10,
INDEX(_xlpm.rango,$BA$4-3,_xlpm.col) +
INDEX(_xlpm.rango,$BA$4-2,_xlpm.col) +
INDEX(_xlpm.rango,$BA$4-1,_xlpm.col) +
INDEX(_xlpm.rango,$BA$4, _xlpm.col)
)</f>
        <v/>
      </c>
      <c r="AR77" s="95">
        <f t="array" ref="AR77">_xlfn.LET(
_xlpm.rango, INDIRECT("E!$C$" &amp; $BA$8 &amp; ":$DR$" &amp; $BA$9),
_xlpm.col, AR$72+$D76*10,
INDEX(_xlpm.rango,$BA$4-3,_xlpm.col) +
INDEX(_xlpm.rango,$BA$4-2,_xlpm.col) +
INDEX(_xlpm.rango,$BA$4-1,_xlpm.col) +
INDEX(_xlpm.rango,$BA$4, _xlpm.col)
)</f>
        <v/>
      </c>
      <c r="AS77" s="112">
        <f t="array" ref="AS77">_xlfn.LET(
_xlpm.rango, INDIRECT("E!$C$" &amp; $BA$8 &amp; ":$DR$" &amp; $BA$9),
_xlpm.col, AS$72+$D76*10,
INDEX(_xlpm.rango,$BA$4-3,_xlpm.col) +
INDEX(_xlpm.rango,$BA$4-2,_xlpm.col) +
INDEX(_xlpm.rango,$BA$4-1,_xlpm.col) +
INDEX(_xlpm.rango,$BA$4, _xlpm.col)
)</f>
        <v/>
      </c>
      <c r="AT77" s="118">
        <f>SUM(F77:AS77)</f>
        <v/>
      </c>
      <c r="AU77" s="120">
        <f>AT77/$AT$88</f>
        <v/>
      </c>
    </row>
    <row r="78">
      <c r="D78" t="n">
        <v>3</v>
      </c>
      <c r="E78" s="106">
        <f>Inicio!V6</f>
        <v/>
      </c>
      <c r="F78" s="100">
        <f t="array" ref="F78">_xlfn.LET(
_xlpm.rango, INDIRECT("N!$C$" &amp; $BA$8 &amp; ":$DR$" &amp; $BA$9),
_xlpm.col, F$72+$D77*10,
INDEX(_xlpm.rango,$BA$4-3,_xlpm.col) +
INDEX(_xlpm.rango,$BA$4-2,_xlpm.col) +
INDEX(_xlpm.rango,$BA$4-1,_xlpm.col) +
INDEX(_xlpm.rango,$BA$4, _xlpm.col)
)</f>
        <v/>
      </c>
      <c r="G78" s="95">
        <f t="array" ref="G78">_xlfn.LET(
_xlpm.rango, INDIRECT("N!$C$" &amp; $BA$8 &amp; ":$DR$" &amp; $BA$9),
_xlpm.col, G$72+$D77*10,
INDEX(_xlpm.rango,$BA$4-3,_xlpm.col) +
INDEX(_xlpm.rango,$BA$4-2,_xlpm.col) +
INDEX(_xlpm.rango,$BA$4-1,_xlpm.col) +
INDEX(_xlpm.rango,$BA$4, _xlpm.col)
)</f>
        <v/>
      </c>
      <c r="H78" s="95">
        <f t="array" ref="H78">_xlfn.LET(
_xlpm.rango, INDIRECT("N!$C$" &amp; $BA$8 &amp; ":$DR$" &amp; $BA$9),
_xlpm.col, H$72+$D77*10,
INDEX(_xlpm.rango,$BA$4-3,_xlpm.col) +
INDEX(_xlpm.rango,$BA$4-2,_xlpm.col) +
INDEX(_xlpm.rango,$BA$4-1,_xlpm.col) +
INDEX(_xlpm.rango,$BA$4, _xlpm.col)
)</f>
        <v/>
      </c>
      <c r="I78" s="95">
        <f t="array" ref="I78">_xlfn.LET(
_xlpm.rango, INDIRECT("N!$C$" &amp; $BA$8 &amp; ":$DR$" &amp; $BA$9),
_xlpm.col, I$72+$D77*10,
INDEX(_xlpm.rango,$BA$4-3,_xlpm.col) +
INDEX(_xlpm.rango,$BA$4-2,_xlpm.col) +
INDEX(_xlpm.rango,$BA$4-1,_xlpm.col) +
INDEX(_xlpm.rango,$BA$4, _xlpm.col)
)</f>
        <v/>
      </c>
      <c r="J78" s="95">
        <f t="array" ref="J78">_xlfn.LET(
_xlpm.rango, INDIRECT("N!$C$" &amp; $BA$8 &amp; ":$DR$" &amp; $BA$9),
_xlpm.col, J$72+$D77*10,
INDEX(_xlpm.rango,$BA$4-3,_xlpm.col) +
INDEX(_xlpm.rango,$BA$4-2,_xlpm.col) +
INDEX(_xlpm.rango,$BA$4-1,_xlpm.col) +
INDEX(_xlpm.rango,$BA$4, _xlpm.col)
)</f>
        <v/>
      </c>
      <c r="K78" s="95">
        <f t="array" ref="K78">_xlfn.LET(
_xlpm.rango, INDIRECT("N!$C$" &amp; $BA$8 &amp; ":$DR$" &amp; $BA$9),
_xlpm.col, K$72+$D77*10,
INDEX(_xlpm.rango,$BA$4-3,_xlpm.col) +
INDEX(_xlpm.rango,$BA$4-2,_xlpm.col) +
INDEX(_xlpm.rango,$BA$4-1,_xlpm.col) +
INDEX(_xlpm.rango,$BA$4, _xlpm.col)
)</f>
        <v/>
      </c>
      <c r="L78" s="95">
        <f t="array" ref="L78">_xlfn.LET(
_xlpm.rango, INDIRECT("N!$C$" &amp; $BA$8 &amp; ":$DR$" &amp; $BA$9),
_xlpm.col, L$72+$D77*10,
INDEX(_xlpm.rango,$BA$4-3,_xlpm.col) +
INDEX(_xlpm.rango,$BA$4-2,_xlpm.col) +
INDEX(_xlpm.rango,$BA$4-1,_xlpm.col) +
INDEX(_xlpm.rango,$BA$4, _xlpm.col)
)</f>
        <v/>
      </c>
      <c r="M78" s="95">
        <f t="array" ref="M78">_xlfn.LET(
_xlpm.rango, INDIRECT("N!$C$" &amp; $BA$8 &amp; ":$DR$" &amp; $BA$9),
_xlpm.col, M$72+$D77*10,
INDEX(_xlpm.rango,$BA$4-3,_xlpm.col) +
INDEX(_xlpm.rango,$BA$4-2,_xlpm.col) +
INDEX(_xlpm.rango,$BA$4-1,_xlpm.col) +
INDEX(_xlpm.rango,$BA$4, _xlpm.col)
)</f>
        <v/>
      </c>
      <c r="N78" s="95">
        <f t="array" ref="N78">_xlfn.LET(
_xlpm.rango, INDIRECT("N!$C$" &amp; $BA$8 &amp; ":$DR$" &amp; $BA$9),
_xlpm.col, N$72+$D77*10,
INDEX(_xlpm.rango,$BA$4-3,_xlpm.col) +
INDEX(_xlpm.rango,$BA$4-2,_xlpm.col) +
INDEX(_xlpm.rango,$BA$4-1,_xlpm.col) +
INDEX(_xlpm.rango,$BA$4, _xlpm.col)
)</f>
        <v/>
      </c>
      <c r="O78" s="96">
        <f t="array" ref="O78">_xlfn.LET(
_xlpm.rango, INDIRECT("N!$C$" &amp; $BA$8 &amp; ":$DR$" &amp; $BA$9),
_xlpm.col, O$72+$D77*10,
INDEX(_xlpm.rango,$BA$4-3,_xlpm.col) +
INDEX(_xlpm.rango,$BA$4-2,_xlpm.col) +
INDEX(_xlpm.rango,$BA$4-1,_xlpm.col) +
INDEX(_xlpm.rango,$BA$4, _xlpm.col)
)</f>
        <v/>
      </c>
      <c r="P78" s="95">
        <f t="array" ref="P78">_xlfn.LET(
_xlpm.rango, INDIRECT("S!$C$" &amp; $BA$8 &amp; ":$DR$" &amp; $BA$9),
_xlpm.col, P$72+$D77*10,
INDEX(_xlpm.rango,$BA$4-3,_xlpm.col) +
INDEX(_xlpm.rango,$BA$4-2,_xlpm.col) +
INDEX(_xlpm.rango,$BA$4-1,_xlpm.col) +
INDEX(_xlpm.rango,$BA$4, _xlpm.col)
)</f>
        <v/>
      </c>
      <c r="Q78" s="95">
        <f t="array" ref="Q78">_xlfn.LET(
_xlpm.rango, INDIRECT("S!$C$" &amp; $BA$8 &amp; ":$DR$" &amp; $BA$9),
_xlpm.col, Q$72+$D77*10,
INDEX(_xlpm.rango,$BA$4-3,_xlpm.col) +
INDEX(_xlpm.rango,$BA$4-2,_xlpm.col) +
INDEX(_xlpm.rango,$BA$4-1,_xlpm.col) +
INDEX(_xlpm.rango,$BA$4, _xlpm.col)
)</f>
        <v/>
      </c>
      <c r="R78" s="95">
        <f t="array" ref="R78">_xlfn.LET(
_xlpm.rango, INDIRECT("S!$C$" &amp; $BA$8 &amp; ":$DR$" &amp; $BA$9),
_xlpm.col, R$72+$D77*10,
INDEX(_xlpm.rango,$BA$4-3,_xlpm.col) +
INDEX(_xlpm.rango,$BA$4-2,_xlpm.col) +
INDEX(_xlpm.rango,$BA$4-1,_xlpm.col) +
INDEX(_xlpm.rango,$BA$4, _xlpm.col)
)</f>
        <v/>
      </c>
      <c r="S78" s="95">
        <f t="array" ref="S78">_xlfn.LET(
_xlpm.rango, INDIRECT("S!$C$" &amp; $BA$8 &amp; ":$DR$" &amp; $BA$9),
_xlpm.col, S$72+$D77*10,
INDEX(_xlpm.rango,$BA$4-3,_xlpm.col) +
INDEX(_xlpm.rango,$BA$4-2,_xlpm.col) +
INDEX(_xlpm.rango,$BA$4-1,_xlpm.col) +
INDEX(_xlpm.rango,$BA$4, _xlpm.col)
)</f>
        <v/>
      </c>
      <c r="T78" s="95">
        <f t="array" ref="T78">_xlfn.LET(
_xlpm.rango, INDIRECT("S!$C$" &amp; $BA$8 &amp; ":$DR$" &amp; $BA$9),
_xlpm.col, T$72+$D77*10,
INDEX(_xlpm.rango,$BA$4-3,_xlpm.col) +
INDEX(_xlpm.rango,$BA$4-2,_xlpm.col) +
INDEX(_xlpm.rango,$BA$4-1,_xlpm.col) +
INDEX(_xlpm.rango,$BA$4, _xlpm.col)
)</f>
        <v/>
      </c>
      <c r="U78" s="95">
        <f t="array" ref="U78">_xlfn.LET(
_xlpm.rango, INDIRECT("S!$C$" &amp; $BA$8 &amp; ":$DR$" &amp; $BA$9),
_xlpm.col, U$72+$D77*10,
INDEX(_xlpm.rango,$BA$4-3,_xlpm.col) +
INDEX(_xlpm.rango,$BA$4-2,_xlpm.col) +
INDEX(_xlpm.rango,$BA$4-1,_xlpm.col) +
INDEX(_xlpm.rango,$BA$4, _xlpm.col)
)</f>
        <v/>
      </c>
      <c r="V78" s="95">
        <f t="array" ref="V78">_xlfn.LET(
_xlpm.rango, INDIRECT("S!$C$" &amp; $BA$8 &amp; ":$DR$" &amp; $BA$9),
_xlpm.col, V$72+$D77*10,
INDEX(_xlpm.rango,$BA$4-3,_xlpm.col) +
INDEX(_xlpm.rango,$BA$4-2,_xlpm.col) +
INDEX(_xlpm.rango,$BA$4-1,_xlpm.col) +
INDEX(_xlpm.rango,$BA$4, _xlpm.col)
)</f>
        <v/>
      </c>
      <c r="W78" s="95">
        <f t="array" ref="W78">_xlfn.LET(
_xlpm.rango, INDIRECT("S!$C$" &amp; $BA$8 &amp; ":$DR$" &amp; $BA$9),
_xlpm.col, W$72+$D77*10,
INDEX(_xlpm.rango,$BA$4-3,_xlpm.col) +
INDEX(_xlpm.rango,$BA$4-2,_xlpm.col) +
INDEX(_xlpm.rango,$BA$4-1,_xlpm.col) +
INDEX(_xlpm.rango,$BA$4, _xlpm.col)
)</f>
        <v/>
      </c>
      <c r="X78" s="95">
        <f t="array" ref="X78">_xlfn.LET(
_xlpm.rango, INDIRECT("S!$C$" &amp; $BA$8 &amp; ":$DR$" &amp; $BA$9),
_xlpm.col, X$72+$D77*10,
INDEX(_xlpm.rango,$BA$4-3,_xlpm.col) +
INDEX(_xlpm.rango,$BA$4-2,_xlpm.col) +
INDEX(_xlpm.rango,$BA$4-1,_xlpm.col) +
INDEX(_xlpm.rango,$BA$4, _xlpm.col)
)</f>
        <v/>
      </c>
      <c r="Y78" s="95">
        <f t="array" ref="Y78">_xlfn.LET(
_xlpm.rango, INDIRECT("S!$C$" &amp; $BA$8 &amp; ":$DR$" &amp; $BA$9),
_xlpm.col, Y$72+$D77*10,
INDEX(_xlpm.rango,$BA$4-3,_xlpm.col) +
INDEX(_xlpm.rango,$BA$4-2,_xlpm.col) +
INDEX(_xlpm.rango,$BA$4-1,_xlpm.col) +
INDEX(_xlpm.rango,$BA$4, _xlpm.col)
)</f>
        <v/>
      </c>
      <c r="Z78" s="100">
        <f t="array" ref="Z78">_xlfn.LET(
_xlpm.rango, INDIRECT("E!$C$" &amp; $BA$8 &amp; ":$DR$" &amp; $BA$9),
_xlpm.col, Z$72+$D77*10,
INDEX(_xlpm.rango,$BA$4-3,_xlpm.col) +
INDEX(_xlpm.rango,$BA$4-2,_xlpm.col) +
INDEX(_xlpm.rango,$BA$4-1,_xlpm.col) +
INDEX(_xlpm.rango,$BA$4, _xlpm.col)
)</f>
        <v/>
      </c>
      <c r="AA78" s="95">
        <f t="array" ref="AA78">_xlfn.LET(
_xlpm.rango, INDIRECT("E!$C$" &amp; $BA$8 &amp; ":$DR$" &amp; $BA$9),
_xlpm.col, AA$72+$D77*10,
INDEX(_xlpm.rango,$BA$4-3,_xlpm.col) +
INDEX(_xlpm.rango,$BA$4-2,_xlpm.col) +
INDEX(_xlpm.rango,$BA$4-1,_xlpm.col) +
INDEX(_xlpm.rango,$BA$4, _xlpm.col)
)</f>
        <v/>
      </c>
      <c r="AB78" s="95">
        <f t="array" ref="AB78">_xlfn.LET(
_xlpm.rango, INDIRECT("E!$C$" &amp; $BA$8 &amp; ":$DR$" &amp; $BA$9),
_xlpm.col, AB$72+$D77*10,
INDEX(_xlpm.rango,$BA$4-3,_xlpm.col) +
INDEX(_xlpm.rango,$BA$4-2,_xlpm.col) +
INDEX(_xlpm.rango,$BA$4-1,_xlpm.col) +
INDEX(_xlpm.rango,$BA$4, _xlpm.col)
)</f>
        <v/>
      </c>
      <c r="AC78" s="95">
        <f t="array" ref="AC78">_xlfn.LET(
_xlpm.rango, INDIRECT("E!$C$" &amp; $BA$8 &amp; ":$DR$" &amp; $BA$9),
_xlpm.col, AC$72+$D77*10,
INDEX(_xlpm.rango,$BA$4-3,_xlpm.col) +
INDEX(_xlpm.rango,$BA$4-2,_xlpm.col) +
INDEX(_xlpm.rango,$BA$4-1,_xlpm.col) +
INDEX(_xlpm.rango,$BA$4, _xlpm.col)
)</f>
        <v/>
      </c>
      <c r="AD78" s="95">
        <f t="array" ref="AD78">_xlfn.LET(
_xlpm.rango, INDIRECT("E!$C$" &amp; $BA$8 &amp; ":$DR$" &amp; $BA$9),
_xlpm.col, AD$72+$D77*10,
INDEX(_xlpm.rango,$BA$4-3,_xlpm.col) +
INDEX(_xlpm.rango,$BA$4-2,_xlpm.col) +
INDEX(_xlpm.rango,$BA$4-1,_xlpm.col) +
INDEX(_xlpm.rango,$BA$4, _xlpm.col)
)</f>
        <v/>
      </c>
      <c r="AE78" s="95">
        <f t="array" ref="AE78">_xlfn.LET(
_xlpm.rango, INDIRECT("E!$C$" &amp; $BA$8 &amp; ":$DR$" &amp; $BA$9),
_xlpm.col, AE$72+$D77*10,
INDEX(_xlpm.rango,$BA$4-3,_xlpm.col) +
INDEX(_xlpm.rango,$BA$4-2,_xlpm.col) +
INDEX(_xlpm.rango,$BA$4-1,_xlpm.col) +
INDEX(_xlpm.rango,$BA$4, _xlpm.col)
)</f>
        <v/>
      </c>
      <c r="AF78" s="95">
        <f t="array" ref="AF78">_xlfn.LET(
_xlpm.rango, INDIRECT("E!$C$" &amp; $BA$8 &amp; ":$DR$" &amp; $BA$9),
_xlpm.col, AF$72+$D77*10,
INDEX(_xlpm.rango,$BA$4-3,_xlpm.col) +
INDEX(_xlpm.rango,$BA$4-2,_xlpm.col) +
INDEX(_xlpm.rango,$BA$4-1,_xlpm.col) +
INDEX(_xlpm.rango,$BA$4, _xlpm.col)
)</f>
        <v/>
      </c>
      <c r="AG78" s="95">
        <f t="array" ref="AG78">_xlfn.LET(
_xlpm.rango, INDIRECT("E!$C$" &amp; $BA$8 &amp; ":$DR$" &amp; $BA$9),
_xlpm.col, AG$72+$D77*10,
INDEX(_xlpm.rango,$BA$4-3,_xlpm.col) +
INDEX(_xlpm.rango,$BA$4-2,_xlpm.col) +
INDEX(_xlpm.rango,$BA$4-1,_xlpm.col) +
INDEX(_xlpm.rango,$BA$4, _xlpm.col)
)</f>
        <v/>
      </c>
      <c r="AH78" s="95">
        <f t="array" ref="AH78">_xlfn.LET(
_xlpm.rango, INDIRECT("E!$C$" &amp; $BA$8 &amp; ":$DR$" &amp; $BA$9),
_xlpm.col, AH$72+$D77*10,
INDEX(_xlpm.rango,$BA$4-3,_xlpm.col) +
INDEX(_xlpm.rango,$BA$4-2,_xlpm.col) +
INDEX(_xlpm.rango,$BA$4-1,_xlpm.col) +
INDEX(_xlpm.rango,$BA$4, _xlpm.col)
)</f>
        <v/>
      </c>
      <c r="AI78" s="96">
        <f t="array" ref="AI78">_xlfn.LET(
_xlpm.rango, INDIRECT("E!$C$" &amp; $BA$8 &amp; ":$DR$" &amp; $BA$9),
_xlpm.col, AI$72+$D77*10,
INDEX(_xlpm.rango,$BA$4-3,_xlpm.col) +
INDEX(_xlpm.rango,$BA$4-2,_xlpm.col) +
INDEX(_xlpm.rango,$BA$4-1,_xlpm.col) +
INDEX(_xlpm.rango,$BA$4, _xlpm.col)
)</f>
        <v/>
      </c>
      <c r="AJ78" s="95">
        <f t="array" ref="AJ78">_xlfn.LET(
_xlpm.rango, INDIRECT("E!$C$" &amp; $BA$8 &amp; ":$DR$" &amp; $BA$9),
_xlpm.col, AJ$72+$D77*10,
INDEX(_xlpm.rango,$BA$4-3,_xlpm.col) +
INDEX(_xlpm.rango,$BA$4-2,_xlpm.col) +
INDEX(_xlpm.rango,$BA$4-1,_xlpm.col) +
INDEX(_xlpm.rango,$BA$4, _xlpm.col)
)</f>
        <v/>
      </c>
      <c r="AK78" s="95">
        <f t="array" ref="AK78">_xlfn.LET(
_xlpm.rango, INDIRECT("E!$C$" &amp; $BA$8 &amp; ":$DR$" &amp; $BA$9),
_xlpm.col, AK$72+$D77*10,
INDEX(_xlpm.rango,$BA$4-3,_xlpm.col) +
INDEX(_xlpm.rango,$BA$4-2,_xlpm.col) +
INDEX(_xlpm.rango,$BA$4-1,_xlpm.col) +
INDEX(_xlpm.rango,$BA$4, _xlpm.col)
)</f>
        <v/>
      </c>
      <c r="AL78" s="95">
        <f t="array" ref="AL78">_xlfn.LET(
_xlpm.rango, INDIRECT("E!$C$" &amp; $BA$8 &amp; ":$DR$" &amp; $BA$9),
_xlpm.col, AL$72+$D77*10,
INDEX(_xlpm.rango,$BA$4-3,_xlpm.col) +
INDEX(_xlpm.rango,$BA$4-2,_xlpm.col) +
INDEX(_xlpm.rango,$BA$4-1,_xlpm.col) +
INDEX(_xlpm.rango,$BA$4, _xlpm.col)
)</f>
        <v/>
      </c>
      <c r="AM78" s="95">
        <f t="array" ref="AM78">_xlfn.LET(
_xlpm.rango, INDIRECT("E!$C$" &amp; $BA$8 &amp; ":$DR$" &amp; $BA$9),
_xlpm.col, AM$72+$D77*10,
INDEX(_xlpm.rango,$BA$4-3,_xlpm.col) +
INDEX(_xlpm.rango,$BA$4-2,_xlpm.col) +
INDEX(_xlpm.rango,$BA$4-1,_xlpm.col) +
INDEX(_xlpm.rango,$BA$4, _xlpm.col)
)</f>
        <v/>
      </c>
      <c r="AN78" s="95">
        <f t="array" ref="AN78">_xlfn.LET(
_xlpm.rango, INDIRECT("E!$C$" &amp; $BA$8 &amp; ":$DR$" &amp; $BA$9),
_xlpm.col, AN$72+$D77*10,
INDEX(_xlpm.rango,$BA$4-3,_xlpm.col) +
INDEX(_xlpm.rango,$BA$4-2,_xlpm.col) +
INDEX(_xlpm.rango,$BA$4-1,_xlpm.col) +
INDEX(_xlpm.rango,$BA$4, _xlpm.col)
)</f>
        <v/>
      </c>
      <c r="AO78" s="95">
        <f t="array" ref="AO78">_xlfn.LET(
_xlpm.rango, INDIRECT("E!$C$" &amp; $BA$8 &amp; ":$DR$" &amp; $BA$9),
_xlpm.col, AO$72+$D77*10,
INDEX(_xlpm.rango,$BA$4-3,_xlpm.col) +
INDEX(_xlpm.rango,$BA$4-2,_xlpm.col) +
INDEX(_xlpm.rango,$BA$4-1,_xlpm.col) +
INDEX(_xlpm.rango,$BA$4, _xlpm.col)
)</f>
        <v/>
      </c>
      <c r="AP78" s="95">
        <f t="array" ref="AP78">_xlfn.LET(
_xlpm.rango, INDIRECT("E!$C$" &amp; $BA$8 &amp; ":$DR$" &amp; $BA$9),
_xlpm.col, AP$72+$D77*10,
INDEX(_xlpm.rango,$BA$4-3,_xlpm.col) +
INDEX(_xlpm.rango,$BA$4-2,_xlpm.col) +
INDEX(_xlpm.rango,$BA$4-1,_xlpm.col) +
INDEX(_xlpm.rango,$BA$4, _xlpm.col)
)</f>
        <v/>
      </c>
      <c r="AQ78" s="95">
        <f t="array" ref="AQ78">_xlfn.LET(
_xlpm.rango, INDIRECT("E!$C$" &amp; $BA$8 &amp; ":$DR$" &amp; $BA$9),
_xlpm.col, AQ$72+$D77*10,
INDEX(_xlpm.rango,$BA$4-3,_xlpm.col) +
INDEX(_xlpm.rango,$BA$4-2,_xlpm.col) +
INDEX(_xlpm.rango,$BA$4-1,_xlpm.col) +
INDEX(_xlpm.rango,$BA$4, _xlpm.col)
)</f>
        <v/>
      </c>
      <c r="AR78" s="95">
        <f t="array" ref="AR78">_xlfn.LET(
_xlpm.rango, INDIRECT("E!$C$" &amp; $BA$8 &amp; ":$DR$" &amp; $BA$9),
_xlpm.col, AR$72+$D77*10,
INDEX(_xlpm.rango,$BA$4-3,_xlpm.col) +
INDEX(_xlpm.rango,$BA$4-2,_xlpm.col) +
INDEX(_xlpm.rango,$BA$4-1,_xlpm.col) +
INDEX(_xlpm.rango,$BA$4, _xlpm.col)
)</f>
        <v/>
      </c>
      <c r="AS78" s="112">
        <f t="array" ref="AS78">_xlfn.LET(
_xlpm.rango, INDIRECT("E!$C$" &amp; $BA$8 &amp; ":$DR$" &amp; $BA$9),
_xlpm.col, AS$72+$D77*10,
INDEX(_xlpm.rango,$BA$4-3,_xlpm.col) +
INDEX(_xlpm.rango,$BA$4-2,_xlpm.col) +
INDEX(_xlpm.rango,$BA$4-1,_xlpm.col) +
INDEX(_xlpm.rango,$BA$4, _xlpm.col)
)</f>
        <v/>
      </c>
      <c r="AT78" s="118">
        <f>SUM(F78:AS78)</f>
        <v/>
      </c>
      <c r="AU78" s="120">
        <f>AT78/$AT$88</f>
        <v/>
      </c>
    </row>
    <row r="79">
      <c r="D79" t="n">
        <v>4</v>
      </c>
      <c r="E79" s="106">
        <f>Inicio!V7</f>
        <v/>
      </c>
      <c r="F79" s="100">
        <f t="array" ref="F79">_xlfn.LET(
_xlpm.rango, INDIRECT("N!$C$" &amp; $BA$8 &amp; ":$DR$" &amp; $BA$9),
_xlpm.col, F$72+$D78*10,
INDEX(_xlpm.rango,$BA$4-3,_xlpm.col) +
INDEX(_xlpm.rango,$BA$4-2,_xlpm.col) +
INDEX(_xlpm.rango,$BA$4-1,_xlpm.col) +
INDEX(_xlpm.rango,$BA$4, _xlpm.col)
)</f>
        <v/>
      </c>
      <c r="G79" s="95">
        <f t="array" ref="G79">_xlfn.LET(
_xlpm.rango, INDIRECT("N!$C$" &amp; $BA$8 &amp; ":$DR$" &amp; $BA$9),
_xlpm.col, G$72+$D78*10,
INDEX(_xlpm.rango,$BA$4-3,_xlpm.col) +
INDEX(_xlpm.rango,$BA$4-2,_xlpm.col) +
INDEX(_xlpm.rango,$BA$4-1,_xlpm.col) +
INDEX(_xlpm.rango,$BA$4, _xlpm.col)
)</f>
        <v/>
      </c>
      <c r="H79" s="95">
        <f t="array" ref="H79">_xlfn.LET(
_xlpm.rango, INDIRECT("N!$C$" &amp; $BA$8 &amp; ":$DR$" &amp; $BA$9),
_xlpm.col, H$72+$D78*10,
INDEX(_xlpm.rango,$BA$4-3,_xlpm.col) +
INDEX(_xlpm.rango,$BA$4-2,_xlpm.col) +
INDEX(_xlpm.rango,$BA$4-1,_xlpm.col) +
INDEX(_xlpm.rango,$BA$4, _xlpm.col)
)</f>
        <v/>
      </c>
      <c r="I79" s="95">
        <f t="array" ref="I79">_xlfn.LET(
_xlpm.rango, INDIRECT("N!$C$" &amp; $BA$8 &amp; ":$DR$" &amp; $BA$9),
_xlpm.col, I$72+$D78*10,
INDEX(_xlpm.rango,$BA$4-3,_xlpm.col) +
INDEX(_xlpm.rango,$BA$4-2,_xlpm.col) +
INDEX(_xlpm.rango,$BA$4-1,_xlpm.col) +
INDEX(_xlpm.rango,$BA$4, _xlpm.col)
)</f>
        <v/>
      </c>
      <c r="J79" s="95">
        <f t="array" ref="J79">_xlfn.LET(
_xlpm.rango, INDIRECT("N!$C$" &amp; $BA$8 &amp; ":$DR$" &amp; $BA$9),
_xlpm.col, J$72+$D78*10,
INDEX(_xlpm.rango,$BA$4-3,_xlpm.col) +
INDEX(_xlpm.rango,$BA$4-2,_xlpm.col) +
INDEX(_xlpm.rango,$BA$4-1,_xlpm.col) +
INDEX(_xlpm.rango,$BA$4, _xlpm.col)
)</f>
        <v/>
      </c>
      <c r="K79" s="95">
        <f t="array" ref="K79">_xlfn.LET(
_xlpm.rango, INDIRECT("N!$C$" &amp; $BA$8 &amp; ":$DR$" &amp; $BA$9),
_xlpm.col, K$72+$D78*10,
INDEX(_xlpm.rango,$BA$4-3,_xlpm.col) +
INDEX(_xlpm.rango,$BA$4-2,_xlpm.col) +
INDEX(_xlpm.rango,$BA$4-1,_xlpm.col) +
INDEX(_xlpm.rango,$BA$4, _xlpm.col)
)</f>
        <v/>
      </c>
      <c r="L79" s="95">
        <f t="array" ref="L79">_xlfn.LET(
_xlpm.rango, INDIRECT("N!$C$" &amp; $BA$8 &amp; ":$DR$" &amp; $BA$9),
_xlpm.col, L$72+$D78*10,
INDEX(_xlpm.rango,$BA$4-3,_xlpm.col) +
INDEX(_xlpm.rango,$BA$4-2,_xlpm.col) +
INDEX(_xlpm.rango,$BA$4-1,_xlpm.col) +
INDEX(_xlpm.rango,$BA$4, _xlpm.col)
)</f>
        <v/>
      </c>
      <c r="M79" s="95">
        <f t="array" ref="M79">_xlfn.LET(
_xlpm.rango, INDIRECT("N!$C$" &amp; $BA$8 &amp; ":$DR$" &amp; $BA$9),
_xlpm.col, M$72+$D78*10,
INDEX(_xlpm.rango,$BA$4-3,_xlpm.col) +
INDEX(_xlpm.rango,$BA$4-2,_xlpm.col) +
INDEX(_xlpm.rango,$BA$4-1,_xlpm.col) +
INDEX(_xlpm.rango,$BA$4, _xlpm.col)
)</f>
        <v/>
      </c>
      <c r="N79" s="95">
        <f t="array" ref="N79">_xlfn.LET(
_xlpm.rango, INDIRECT("N!$C$" &amp; $BA$8 &amp; ":$DR$" &amp; $BA$9),
_xlpm.col, N$72+$D78*10,
INDEX(_xlpm.rango,$BA$4-3,_xlpm.col) +
INDEX(_xlpm.rango,$BA$4-2,_xlpm.col) +
INDEX(_xlpm.rango,$BA$4-1,_xlpm.col) +
INDEX(_xlpm.rango,$BA$4, _xlpm.col)
)</f>
        <v/>
      </c>
      <c r="O79" s="96">
        <f t="array" ref="O79">_xlfn.LET(
_xlpm.rango, INDIRECT("N!$C$" &amp; $BA$8 &amp; ":$DR$" &amp; $BA$9),
_xlpm.col, O$72+$D78*10,
INDEX(_xlpm.rango,$BA$4-3,_xlpm.col) +
INDEX(_xlpm.rango,$BA$4-2,_xlpm.col) +
INDEX(_xlpm.rango,$BA$4-1,_xlpm.col) +
INDEX(_xlpm.rango,$BA$4, _xlpm.col)
)</f>
        <v/>
      </c>
      <c r="P79" s="95">
        <f t="array" ref="P79">_xlfn.LET(
_xlpm.rango, INDIRECT("S!$C$" &amp; $BA$8 &amp; ":$DR$" &amp; $BA$9),
_xlpm.col, P$72+$D78*10,
INDEX(_xlpm.rango,$BA$4-3,_xlpm.col) +
INDEX(_xlpm.rango,$BA$4-2,_xlpm.col) +
INDEX(_xlpm.rango,$BA$4-1,_xlpm.col) +
INDEX(_xlpm.rango,$BA$4, _xlpm.col)
)</f>
        <v/>
      </c>
      <c r="Q79" s="95">
        <f t="array" ref="Q79">_xlfn.LET(
_xlpm.rango, INDIRECT("S!$C$" &amp; $BA$8 &amp; ":$DR$" &amp; $BA$9),
_xlpm.col, Q$72+$D78*10,
INDEX(_xlpm.rango,$BA$4-3,_xlpm.col) +
INDEX(_xlpm.rango,$BA$4-2,_xlpm.col) +
INDEX(_xlpm.rango,$BA$4-1,_xlpm.col) +
INDEX(_xlpm.rango,$BA$4, _xlpm.col)
)</f>
        <v/>
      </c>
      <c r="R79" s="95">
        <f t="array" ref="R79">_xlfn.LET(
_xlpm.rango, INDIRECT("S!$C$" &amp; $BA$8 &amp; ":$DR$" &amp; $BA$9),
_xlpm.col, R$72+$D78*10,
INDEX(_xlpm.rango,$BA$4-3,_xlpm.col) +
INDEX(_xlpm.rango,$BA$4-2,_xlpm.col) +
INDEX(_xlpm.rango,$BA$4-1,_xlpm.col) +
INDEX(_xlpm.rango,$BA$4, _xlpm.col)
)</f>
        <v/>
      </c>
      <c r="S79" s="95">
        <f t="array" ref="S79">_xlfn.LET(
_xlpm.rango, INDIRECT("S!$C$" &amp; $BA$8 &amp; ":$DR$" &amp; $BA$9),
_xlpm.col, S$72+$D78*10,
INDEX(_xlpm.rango,$BA$4-3,_xlpm.col) +
INDEX(_xlpm.rango,$BA$4-2,_xlpm.col) +
INDEX(_xlpm.rango,$BA$4-1,_xlpm.col) +
INDEX(_xlpm.rango,$BA$4, _xlpm.col)
)</f>
        <v/>
      </c>
      <c r="T79" s="95">
        <f t="array" ref="T79">_xlfn.LET(
_xlpm.rango, INDIRECT("S!$C$" &amp; $BA$8 &amp; ":$DR$" &amp; $BA$9),
_xlpm.col, T$72+$D78*10,
INDEX(_xlpm.rango,$BA$4-3,_xlpm.col) +
INDEX(_xlpm.rango,$BA$4-2,_xlpm.col) +
INDEX(_xlpm.rango,$BA$4-1,_xlpm.col) +
INDEX(_xlpm.rango,$BA$4, _xlpm.col)
)</f>
        <v/>
      </c>
      <c r="U79" s="95">
        <f t="array" ref="U79">_xlfn.LET(
_xlpm.rango, INDIRECT("S!$C$" &amp; $BA$8 &amp; ":$DR$" &amp; $BA$9),
_xlpm.col, U$72+$D78*10,
INDEX(_xlpm.rango,$BA$4-3,_xlpm.col) +
INDEX(_xlpm.rango,$BA$4-2,_xlpm.col) +
INDEX(_xlpm.rango,$BA$4-1,_xlpm.col) +
INDEX(_xlpm.rango,$BA$4, _xlpm.col)
)</f>
        <v/>
      </c>
      <c r="V79" s="95">
        <f t="array" ref="V79">_xlfn.LET(
_xlpm.rango, INDIRECT("S!$C$" &amp; $BA$8 &amp; ":$DR$" &amp; $BA$9),
_xlpm.col, V$72+$D78*10,
INDEX(_xlpm.rango,$BA$4-3,_xlpm.col) +
INDEX(_xlpm.rango,$BA$4-2,_xlpm.col) +
INDEX(_xlpm.rango,$BA$4-1,_xlpm.col) +
INDEX(_xlpm.rango,$BA$4, _xlpm.col)
)</f>
        <v/>
      </c>
      <c r="W79" s="95">
        <f t="array" ref="W79">_xlfn.LET(
_xlpm.rango, INDIRECT("S!$C$" &amp; $BA$8 &amp; ":$DR$" &amp; $BA$9),
_xlpm.col, W$72+$D78*10,
INDEX(_xlpm.rango,$BA$4-3,_xlpm.col) +
INDEX(_xlpm.rango,$BA$4-2,_xlpm.col) +
INDEX(_xlpm.rango,$BA$4-1,_xlpm.col) +
INDEX(_xlpm.rango,$BA$4, _xlpm.col)
)</f>
        <v/>
      </c>
      <c r="X79" s="95">
        <f t="array" ref="X79">_xlfn.LET(
_xlpm.rango, INDIRECT("S!$C$" &amp; $BA$8 &amp; ":$DR$" &amp; $BA$9),
_xlpm.col, X$72+$D78*10,
INDEX(_xlpm.rango,$BA$4-3,_xlpm.col) +
INDEX(_xlpm.rango,$BA$4-2,_xlpm.col) +
INDEX(_xlpm.rango,$BA$4-1,_xlpm.col) +
INDEX(_xlpm.rango,$BA$4, _xlpm.col)
)</f>
        <v/>
      </c>
      <c r="Y79" s="95">
        <f t="array" ref="Y79">_xlfn.LET(
_xlpm.rango, INDIRECT("S!$C$" &amp; $BA$8 &amp; ":$DR$" &amp; $BA$9),
_xlpm.col, Y$72+$D78*10,
INDEX(_xlpm.rango,$BA$4-3,_xlpm.col) +
INDEX(_xlpm.rango,$BA$4-2,_xlpm.col) +
INDEX(_xlpm.rango,$BA$4-1,_xlpm.col) +
INDEX(_xlpm.rango,$BA$4, _xlpm.col)
)</f>
        <v/>
      </c>
      <c r="Z79" s="100">
        <f t="array" ref="Z79">_xlfn.LET(
_xlpm.rango, INDIRECT("E!$C$" &amp; $BA$8 &amp; ":$DR$" &amp; $BA$9),
_xlpm.col, Z$72+$D78*10,
INDEX(_xlpm.rango,$BA$4-3,_xlpm.col) +
INDEX(_xlpm.rango,$BA$4-2,_xlpm.col) +
INDEX(_xlpm.rango,$BA$4-1,_xlpm.col) +
INDEX(_xlpm.rango,$BA$4, _xlpm.col)
)</f>
        <v/>
      </c>
      <c r="AA79" s="95">
        <f t="array" ref="AA79">_xlfn.LET(
_xlpm.rango, INDIRECT("E!$C$" &amp; $BA$8 &amp; ":$DR$" &amp; $BA$9),
_xlpm.col, AA$72+$D78*10,
INDEX(_xlpm.rango,$BA$4-3,_xlpm.col) +
INDEX(_xlpm.rango,$BA$4-2,_xlpm.col) +
INDEX(_xlpm.rango,$BA$4-1,_xlpm.col) +
INDEX(_xlpm.rango,$BA$4, _xlpm.col)
)</f>
        <v/>
      </c>
      <c r="AB79" s="95">
        <f t="array" ref="AB79">_xlfn.LET(
_xlpm.rango, INDIRECT("E!$C$" &amp; $BA$8 &amp; ":$DR$" &amp; $BA$9),
_xlpm.col, AB$72+$D78*10,
INDEX(_xlpm.rango,$BA$4-3,_xlpm.col) +
INDEX(_xlpm.rango,$BA$4-2,_xlpm.col) +
INDEX(_xlpm.rango,$BA$4-1,_xlpm.col) +
INDEX(_xlpm.rango,$BA$4, _xlpm.col)
)</f>
        <v/>
      </c>
      <c r="AC79" s="95">
        <f t="array" ref="AC79">_xlfn.LET(
_xlpm.rango, INDIRECT("E!$C$" &amp; $BA$8 &amp; ":$DR$" &amp; $BA$9),
_xlpm.col, AC$72+$D78*10,
INDEX(_xlpm.rango,$BA$4-3,_xlpm.col) +
INDEX(_xlpm.rango,$BA$4-2,_xlpm.col) +
INDEX(_xlpm.rango,$BA$4-1,_xlpm.col) +
INDEX(_xlpm.rango,$BA$4, _xlpm.col)
)</f>
        <v/>
      </c>
      <c r="AD79" s="95">
        <f t="array" ref="AD79">_xlfn.LET(
_xlpm.rango, INDIRECT("E!$C$" &amp; $BA$8 &amp; ":$DR$" &amp; $BA$9),
_xlpm.col, AD$72+$D78*10,
INDEX(_xlpm.rango,$BA$4-3,_xlpm.col) +
INDEX(_xlpm.rango,$BA$4-2,_xlpm.col) +
INDEX(_xlpm.rango,$BA$4-1,_xlpm.col) +
INDEX(_xlpm.rango,$BA$4, _xlpm.col)
)</f>
        <v/>
      </c>
      <c r="AE79" s="95">
        <f t="array" ref="AE79">_xlfn.LET(
_xlpm.rango, INDIRECT("E!$C$" &amp; $BA$8 &amp; ":$DR$" &amp; $BA$9),
_xlpm.col, AE$72+$D78*10,
INDEX(_xlpm.rango,$BA$4-3,_xlpm.col) +
INDEX(_xlpm.rango,$BA$4-2,_xlpm.col) +
INDEX(_xlpm.rango,$BA$4-1,_xlpm.col) +
INDEX(_xlpm.rango,$BA$4, _xlpm.col)
)</f>
        <v/>
      </c>
      <c r="AF79" s="95">
        <f t="array" ref="AF79">_xlfn.LET(
_xlpm.rango, INDIRECT("E!$C$" &amp; $BA$8 &amp; ":$DR$" &amp; $BA$9),
_xlpm.col, AF$72+$D78*10,
INDEX(_xlpm.rango,$BA$4-3,_xlpm.col) +
INDEX(_xlpm.rango,$BA$4-2,_xlpm.col) +
INDEX(_xlpm.rango,$BA$4-1,_xlpm.col) +
INDEX(_xlpm.rango,$BA$4, _xlpm.col)
)</f>
        <v/>
      </c>
      <c r="AG79" s="95">
        <f t="array" ref="AG79">_xlfn.LET(
_xlpm.rango, INDIRECT("E!$C$" &amp; $BA$8 &amp; ":$DR$" &amp; $BA$9),
_xlpm.col, AG$72+$D78*10,
INDEX(_xlpm.rango,$BA$4-3,_xlpm.col) +
INDEX(_xlpm.rango,$BA$4-2,_xlpm.col) +
INDEX(_xlpm.rango,$BA$4-1,_xlpm.col) +
INDEX(_xlpm.rango,$BA$4, _xlpm.col)
)</f>
        <v/>
      </c>
      <c r="AH79" s="95">
        <f t="array" ref="AH79">_xlfn.LET(
_xlpm.rango, INDIRECT("E!$C$" &amp; $BA$8 &amp; ":$DR$" &amp; $BA$9),
_xlpm.col, AH$72+$D78*10,
INDEX(_xlpm.rango,$BA$4-3,_xlpm.col) +
INDEX(_xlpm.rango,$BA$4-2,_xlpm.col) +
INDEX(_xlpm.rango,$BA$4-1,_xlpm.col) +
INDEX(_xlpm.rango,$BA$4, _xlpm.col)
)</f>
        <v/>
      </c>
      <c r="AI79" s="96">
        <f t="array" ref="AI79">_xlfn.LET(
_xlpm.rango, INDIRECT("E!$C$" &amp; $BA$8 &amp; ":$DR$" &amp; $BA$9),
_xlpm.col, AI$72+$D78*10,
INDEX(_xlpm.rango,$BA$4-3,_xlpm.col) +
INDEX(_xlpm.rango,$BA$4-2,_xlpm.col) +
INDEX(_xlpm.rango,$BA$4-1,_xlpm.col) +
INDEX(_xlpm.rango,$BA$4, _xlpm.col)
)</f>
        <v/>
      </c>
      <c r="AJ79" s="95">
        <f t="array" ref="AJ79">_xlfn.LET(
_xlpm.rango, INDIRECT("E!$C$" &amp; $BA$8 &amp; ":$DR$" &amp; $BA$9),
_xlpm.col, AJ$72+$D78*10,
INDEX(_xlpm.rango,$BA$4-3,_xlpm.col) +
INDEX(_xlpm.rango,$BA$4-2,_xlpm.col) +
INDEX(_xlpm.rango,$BA$4-1,_xlpm.col) +
INDEX(_xlpm.rango,$BA$4, _xlpm.col)
)</f>
        <v/>
      </c>
      <c r="AK79" s="95">
        <f t="array" ref="AK79">_xlfn.LET(
_xlpm.rango, INDIRECT("E!$C$" &amp; $BA$8 &amp; ":$DR$" &amp; $BA$9),
_xlpm.col, AK$72+$D78*10,
INDEX(_xlpm.rango,$BA$4-3,_xlpm.col) +
INDEX(_xlpm.rango,$BA$4-2,_xlpm.col) +
INDEX(_xlpm.rango,$BA$4-1,_xlpm.col) +
INDEX(_xlpm.rango,$BA$4, _xlpm.col)
)</f>
        <v/>
      </c>
      <c r="AL79" s="95">
        <f t="array" ref="AL79">_xlfn.LET(
_xlpm.rango, INDIRECT("E!$C$" &amp; $BA$8 &amp; ":$DR$" &amp; $BA$9),
_xlpm.col, AL$72+$D78*10,
INDEX(_xlpm.rango,$BA$4-3,_xlpm.col) +
INDEX(_xlpm.rango,$BA$4-2,_xlpm.col) +
INDEX(_xlpm.rango,$BA$4-1,_xlpm.col) +
INDEX(_xlpm.rango,$BA$4, _xlpm.col)
)</f>
        <v/>
      </c>
      <c r="AM79" s="95">
        <f t="array" ref="AM79">_xlfn.LET(
_xlpm.rango, INDIRECT("E!$C$" &amp; $BA$8 &amp; ":$DR$" &amp; $BA$9),
_xlpm.col, AM$72+$D78*10,
INDEX(_xlpm.rango,$BA$4-3,_xlpm.col) +
INDEX(_xlpm.rango,$BA$4-2,_xlpm.col) +
INDEX(_xlpm.rango,$BA$4-1,_xlpm.col) +
INDEX(_xlpm.rango,$BA$4, _xlpm.col)
)</f>
        <v/>
      </c>
      <c r="AN79" s="95">
        <f t="array" ref="AN79">_xlfn.LET(
_xlpm.rango, INDIRECT("E!$C$" &amp; $BA$8 &amp; ":$DR$" &amp; $BA$9),
_xlpm.col, AN$72+$D78*10,
INDEX(_xlpm.rango,$BA$4-3,_xlpm.col) +
INDEX(_xlpm.rango,$BA$4-2,_xlpm.col) +
INDEX(_xlpm.rango,$BA$4-1,_xlpm.col) +
INDEX(_xlpm.rango,$BA$4, _xlpm.col)
)</f>
        <v/>
      </c>
      <c r="AO79" s="95">
        <f t="array" ref="AO79">_xlfn.LET(
_xlpm.rango, INDIRECT("E!$C$" &amp; $BA$8 &amp; ":$DR$" &amp; $BA$9),
_xlpm.col, AO$72+$D78*10,
INDEX(_xlpm.rango,$BA$4-3,_xlpm.col) +
INDEX(_xlpm.rango,$BA$4-2,_xlpm.col) +
INDEX(_xlpm.rango,$BA$4-1,_xlpm.col) +
INDEX(_xlpm.rango,$BA$4, _xlpm.col)
)</f>
        <v/>
      </c>
      <c r="AP79" s="95">
        <f t="array" ref="AP79">_xlfn.LET(
_xlpm.rango, INDIRECT("E!$C$" &amp; $BA$8 &amp; ":$DR$" &amp; $BA$9),
_xlpm.col, AP$72+$D78*10,
INDEX(_xlpm.rango,$BA$4-3,_xlpm.col) +
INDEX(_xlpm.rango,$BA$4-2,_xlpm.col) +
INDEX(_xlpm.rango,$BA$4-1,_xlpm.col) +
INDEX(_xlpm.rango,$BA$4, _xlpm.col)
)</f>
        <v/>
      </c>
      <c r="AQ79" s="95">
        <f t="array" ref="AQ79">_xlfn.LET(
_xlpm.rango, INDIRECT("E!$C$" &amp; $BA$8 &amp; ":$DR$" &amp; $BA$9),
_xlpm.col, AQ$72+$D78*10,
INDEX(_xlpm.rango,$BA$4-3,_xlpm.col) +
INDEX(_xlpm.rango,$BA$4-2,_xlpm.col) +
INDEX(_xlpm.rango,$BA$4-1,_xlpm.col) +
INDEX(_xlpm.rango,$BA$4, _xlpm.col)
)</f>
        <v/>
      </c>
      <c r="AR79" s="95">
        <f t="array" ref="AR79">_xlfn.LET(
_xlpm.rango, INDIRECT("E!$C$" &amp; $BA$8 &amp; ":$DR$" &amp; $BA$9),
_xlpm.col, AR$72+$D78*10,
INDEX(_xlpm.rango,$BA$4-3,_xlpm.col) +
INDEX(_xlpm.rango,$BA$4-2,_xlpm.col) +
INDEX(_xlpm.rango,$BA$4-1,_xlpm.col) +
INDEX(_xlpm.rango,$BA$4, _xlpm.col)
)</f>
        <v/>
      </c>
      <c r="AS79" s="112">
        <f t="array" ref="AS79">_xlfn.LET(
_xlpm.rango, INDIRECT("E!$C$" &amp; $BA$8 &amp; ":$DR$" &amp; $BA$9),
_xlpm.col, AS$72+$D78*10,
INDEX(_xlpm.rango,$BA$4-3,_xlpm.col) +
INDEX(_xlpm.rango,$BA$4-2,_xlpm.col) +
INDEX(_xlpm.rango,$BA$4-1,_xlpm.col) +
INDEX(_xlpm.rango,$BA$4, _xlpm.col)
)</f>
        <v/>
      </c>
      <c r="AT79" s="118">
        <f>SUM(F79:AS79)</f>
        <v/>
      </c>
      <c r="AU79" s="120">
        <f>AT79/$AT$88</f>
        <v/>
      </c>
    </row>
    <row r="80">
      <c r="D80" t="n">
        <v>5</v>
      </c>
      <c r="E80" s="106">
        <f>Inicio!V8</f>
        <v/>
      </c>
      <c r="F80" s="100">
        <f t="array" ref="F80">_xlfn.LET(
_xlpm.rango, INDIRECT("N!$C$" &amp; $BA$8 &amp; ":$DR$" &amp; $BA$9),
_xlpm.col, F$72+$D79*10,
INDEX(_xlpm.rango,$BA$4-3,_xlpm.col) +
INDEX(_xlpm.rango,$BA$4-2,_xlpm.col) +
INDEX(_xlpm.rango,$BA$4-1,_xlpm.col) +
INDEX(_xlpm.rango,$BA$4, _xlpm.col)
)</f>
        <v/>
      </c>
      <c r="G80" s="95">
        <f t="array" ref="G80">_xlfn.LET(
_xlpm.rango, INDIRECT("N!$C$" &amp; $BA$8 &amp; ":$DR$" &amp; $BA$9),
_xlpm.col, G$72+$D79*10,
INDEX(_xlpm.rango,$BA$4-3,_xlpm.col) +
INDEX(_xlpm.rango,$BA$4-2,_xlpm.col) +
INDEX(_xlpm.rango,$BA$4-1,_xlpm.col) +
INDEX(_xlpm.rango,$BA$4, _xlpm.col)
)</f>
        <v/>
      </c>
      <c r="H80" s="95">
        <f t="array" ref="H80">_xlfn.LET(
_xlpm.rango, INDIRECT("N!$C$" &amp; $BA$8 &amp; ":$DR$" &amp; $BA$9),
_xlpm.col, H$72+$D79*10,
INDEX(_xlpm.rango,$BA$4-3,_xlpm.col) +
INDEX(_xlpm.rango,$BA$4-2,_xlpm.col) +
INDEX(_xlpm.rango,$BA$4-1,_xlpm.col) +
INDEX(_xlpm.rango,$BA$4, _xlpm.col)
)</f>
        <v/>
      </c>
      <c r="I80" s="95">
        <f t="array" ref="I80">_xlfn.LET(
_xlpm.rango, INDIRECT("N!$C$" &amp; $BA$8 &amp; ":$DR$" &amp; $BA$9),
_xlpm.col, I$72+$D79*10,
INDEX(_xlpm.rango,$BA$4-3,_xlpm.col) +
INDEX(_xlpm.rango,$BA$4-2,_xlpm.col) +
INDEX(_xlpm.rango,$BA$4-1,_xlpm.col) +
INDEX(_xlpm.rango,$BA$4, _xlpm.col)
)</f>
        <v/>
      </c>
      <c r="J80" s="95">
        <f t="array" ref="J80">_xlfn.LET(
_xlpm.rango, INDIRECT("N!$C$" &amp; $BA$8 &amp; ":$DR$" &amp; $BA$9),
_xlpm.col, J$72+$D79*10,
INDEX(_xlpm.rango,$BA$4-3,_xlpm.col) +
INDEX(_xlpm.rango,$BA$4-2,_xlpm.col) +
INDEX(_xlpm.rango,$BA$4-1,_xlpm.col) +
INDEX(_xlpm.rango,$BA$4, _xlpm.col)
)</f>
        <v/>
      </c>
      <c r="K80" s="95">
        <f t="array" ref="K80">_xlfn.LET(
_xlpm.rango, INDIRECT("N!$C$" &amp; $BA$8 &amp; ":$DR$" &amp; $BA$9),
_xlpm.col, K$72+$D79*10,
INDEX(_xlpm.rango,$BA$4-3,_xlpm.col) +
INDEX(_xlpm.rango,$BA$4-2,_xlpm.col) +
INDEX(_xlpm.rango,$BA$4-1,_xlpm.col) +
INDEX(_xlpm.rango,$BA$4, _xlpm.col)
)</f>
        <v/>
      </c>
      <c r="L80" s="95">
        <f t="array" ref="L80">_xlfn.LET(
_xlpm.rango, INDIRECT("N!$C$" &amp; $BA$8 &amp; ":$DR$" &amp; $BA$9),
_xlpm.col, L$72+$D79*10,
INDEX(_xlpm.rango,$BA$4-3,_xlpm.col) +
INDEX(_xlpm.rango,$BA$4-2,_xlpm.col) +
INDEX(_xlpm.rango,$BA$4-1,_xlpm.col) +
INDEX(_xlpm.rango,$BA$4, _xlpm.col)
)</f>
        <v/>
      </c>
      <c r="M80" s="95">
        <f t="array" ref="M80">_xlfn.LET(
_xlpm.rango, INDIRECT("N!$C$" &amp; $BA$8 &amp; ":$DR$" &amp; $BA$9),
_xlpm.col, M$72+$D79*10,
INDEX(_xlpm.rango,$BA$4-3,_xlpm.col) +
INDEX(_xlpm.rango,$BA$4-2,_xlpm.col) +
INDEX(_xlpm.rango,$BA$4-1,_xlpm.col) +
INDEX(_xlpm.rango,$BA$4, _xlpm.col)
)</f>
        <v/>
      </c>
      <c r="N80" s="95">
        <f t="array" ref="N80">_xlfn.LET(
_xlpm.rango, INDIRECT("N!$C$" &amp; $BA$8 &amp; ":$DR$" &amp; $BA$9),
_xlpm.col, N$72+$D79*10,
INDEX(_xlpm.rango,$BA$4-3,_xlpm.col) +
INDEX(_xlpm.rango,$BA$4-2,_xlpm.col) +
INDEX(_xlpm.rango,$BA$4-1,_xlpm.col) +
INDEX(_xlpm.rango,$BA$4, _xlpm.col)
)</f>
        <v/>
      </c>
      <c r="O80" s="96">
        <f t="array" ref="O80">_xlfn.LET(
_xlpm.rango, INDIRECT("N!$C$" &amp; $BA$8 &amp; ":$DR$" &amp; $BA$9),
_xlpm.col, O$72+$D79*10,
INDEX(_xlpm.rango,$BA$4-3,_xlpm.col) +
INDEX(_xlpm.rango,$BA$4-2,_xlpm.col) +
INDEX(_xlpm.rango,$BA$4-1,_xlpm.col) +
INDEX(_xlpm.rango,$BA$4, _xlpm.col)
)</f>
        <v/>
      </c>
      <c r="P80" s="95">
        <f t="array" ref="P80">_xlfn.LET(
_xlpm.rango, INDIRECT("S!$C$" &amp; $BA$8 &amp; ":$DR$" &amp; $BA$9),
_xlpm.col, P$72+$D79*10,
INDEX(_xlpm.rango,$BA$4-3,_xlpm.col) +
INDEX(_xlpm.rango,$BA$4-2,_xlpm.col) +
INDEX(_xlpm.rango,$BA$4-1,_xlpm.col) +
INDEX(_xlpm.rango,$BA$4, _xlpm.col)
)</f>
        <v/>
      </c>
      <c r="Q80" s="95">
        <f t="array" ref="Q80">_xlfn.LET(
_xlpm.rango, INDIRECT("S!$C$" &amp; $BA$8 &amp; ":$DR$" &amp; $BA$9),
_xlpm.col, Q$72+$D79*10,
INDEX(_xlpm.rango,$BA$4-3,_xlpm.col) +
INDEX(_xlpm.rango,$BA$4-2,_xlpm.col) +
INDEX(_xlpm.rango,$BA$4-1,_xlpm.col) +
INDEX(_xlpm.rango,$BA$4, _xlpm.col)
)</f>
        <v/>
      </c>
      <c r="R80" s="95">
        <f t="array" ref="R80">_xlfn.LET(
_xlpm.rango, INDIRECT("S!$C$" &amp; $BA$8 &amp; ":$DR$" &amp; $BA$9),
_xlpm.col, R$72+$D79*10,
INDEX(_xlpm.rango,$BA$4-3,_xlpm.col) +
INDEX(_xlpm.rango,$BA$4-2,_xlpm.col) +
INDEX(_xlpm.rango,$BA$4-1,_xlpm.col) +
INDEX(_xlpm.rango,$BA$4, _xlpm.col)
)</f>
        <v/>
      </c>
      <c r="S80" s="95">
        <f t="array" ref="S80">_xlfn.LET(
_xlpm.rango, INDIRECT("S!$C$" &amp; $BA$8 &amp; ":$DR$" &amp; $BA$9),
_xlpm.col, S$72+$D79*10,
INDEX(_xlpm.rango,$BA$4-3,_xlpm.col) +
INDEX(_xlpm.rango,$BA$4-2,_xlpm.col) +
INDEX(_xlpm.rango,$BA$4-1,_xlpm.col) +
INDEX(_xlpm.rango,$BA$4, _xlpm.col)
)</f>
        <v/>
      </c>
      <c r="T80" s="95">
        <f t="array" ref="T80">_xlfn.LET(
_xlpm.rango, INDIRECT("S!$C$" &amp; $BA$8 &amp; ":$DR$" &amp; $BA$9),
_xlpm.col, T$72+$D79*10,
INDEX(_xlpm.rango,$BA$4-3,_xlpm.col) +
INDEX(_xlpm.rango,$BA$4-2,_xlpm.col) +
INDEX(_xlpm.rango,$BA$4-1,_xlpm.col) +
INDEX(_xlpm.rango,$BA$4, _xlpm.col)
)</f>
        <v/>
      </c>
      <c r="U80" s="95">
        <f t="array" ref="U80">_xlfn.LET(
_xlpm.rango, INDIRECT("S!$C$" &amp; $BA$8 &amp; ":$DR$" &amp; $BA$9),
_xlpm.col, U$72+$D79*10,
INDEX(_xlpm.rango,$BA$4-3,_xlpm.col) +
INDEX(_xlpm.rango,$BA$4-2,_xlpm.col) +
INDEX(_xlpm.rango,$BA$4-1,_xlpm.col) +
INDEX(_xlpm.rango,$BA$4, _xlpm.col)
)</f>
        <v/>
      </c>
      <c r="V80" s="95">
        <f t="array" ref="V80">_xlfn.LET(
_xlpm.rango, INDIRECT("S!$C$" &amp; $BA$8 &amp; ":$DR$" &amp; $BA$9),
_xlpm.col, V$72+$D79*10,
INDEX(_xlpm.rango,$BA$4-3,_xlpm.col) +
INDEX(_xlpm.rango,$BA$4-2,_xlpm.col) +
INDEX(_xlpm.rango,$BA$4-1,_xlpm.col) +
INDEX(_xlpm.rango,$BA$4, _xlpm.col)
)</f>
        <v/>
      </c>
      <c r="W80" s="95">
        <f t="array" ref="W80">_xlfn.LET(
_xlpm.rango, INDIRECT("S!$C$" &amp; $BA$8 &amp; ":$DR$" &amp; $BA$9),
_xlpm.col, W$72+$D79*10,
INDEX(_xlpm.rango,$BA$4-3,_xlpm.col) +
INDEX(_xlpm.rango,$BA$4-2,_xlpm.col) +
INDEX(_xlpm.rango,$BA$4-1,_xlpm.col) +
INDEX(_xlpm.rango,$BA$4, _xlpm.col)
)</f>
        <v/>
      </c>
      <c r="X80" s="95">
        <f t="array" ref="X80">_xlfn.LET(
_xlpm.rango, INDIRECT("S!$C$" &amp; $BA$8 &amp; ":$DR$" &amp; $BA$9),
_xlpm.col, X$72+$D79*10,
INDEX(_xlpm.rango,$BA$4-3,_xlpm.col) +
INDEX(_xlpm.rango,$BA$4-2,_xlpm.col) +
INDEX(_xlpm.rango,$BA$4-1,_xlpm.col) +
INDEX(_xlpm.rango,$BA$4, _xlpm.col)
)</f>
        <v/>
      </c>
      <c r="Y80" s="95">
        <f t="array" ref="Y80">_xlfn.LET(
_xlpm.rango, INDIRECT("S!$C$" &amp; $BA$8 &amp; ":$DR$" &amp; $BA$9),
_xlpm.col, Y$72+$D79*10,
INDEX(_xlpm.rango,$BA$4-3,_xlpm.col) +
INDEX(_xlpm.rango,$BA$4-2,_xlpm.col) +
INDEX(_xlpm.rango,$BA$4-1,_xlpm.col) +
INDEX(_xlpm.rango,$BA$4, _xlpm.col)
)</f>
        <v/>
      </c>
      <c r="Z80" s="100">
        <f t="array" ref="Z80">_xlfn.LET(
_xlpm.rango, INDIRECT("E!$C$" &amp; $BA$8 &amp; ":$DR$" &amp; $BA$9),
_xlpm.col, Z$72+$D79*10,
INDEX(_xlpm.rango,$BA$4-3,_xlpm.col) +
INDEX(_xlpm.rango,$BA$4-2,_xlpm.col) +
INDEX(_xlpm.rango,$BA$4-1,_xlpm.col) +
INDEX(_xlpm.rango,$BA$4, _xlpm.col)
)</f>
        <v/>
      </c>
      <c r="AA80" s="95">
        <f t="array" ref="AA80">_xlfn.LET(
_xlpm.rango, INDIRECT("E!$C$" &amp; $BA$8 &amp; ":$DR$" &amp; $BA$9),
_xlpm.col, AA$72+$D79*10,
INDEX(_xlpm.rango,$BA$4-3,_xlpm.col) +
INDEX(_xlpm.rango,$BA$4-2,_xlpm.col) +
INDEX(_xlpm.rango,$BA$4-1,_xlpm.col) +
INDEX(_xlpm.rango,$BA$4, _xlpm.col)
)</f>
        <v/>
      </c>
      <c r="AB80" s="95">
        <f t="array" ref="AB80">_xlfn.LET(
_xlpm.rango, INDIRECT("E!$C$" &amp; $BA$8 &amp; ":$DR$" &amp; $BA$9),
_xlpm.col, AB$72+$D79*10,
INDEX(_xlpm.rango,$BA$4-3,_xlpm.col) +
INDEX(_xlpm.rango,$BA$4-2,_xlpm.col) +
INDEX(_xlpm.rango,$BA$4-1,_xlpm.col) +
INDEX(_xlpm.rango,$BA$4, _xlpm.col)
)</f>
        <v/>
      </c>
      <c r="AC80" s="95">
        <f t="array" ref="AC80">_xlfn.LET(
_xlpm.rango, INDIRECT("E!$C$" &amp; $BA$8 &amp; ":$DR$" &amp; $BA$9),
_xlpm.col, AC$72+$D79*10,
INDEX(_xlpm.rango,$BA$4-3,_xlpm.col) +
INDEX(_xlpm.rango,$BA$4-2,_xlpm.col) +
INDEX(_xlpm.rango,$BA$4-1,_xlpm.col) +
INDEX(_xlpm.rango,$BA$4, _xlpm.col)
)</f>
        <v/>
      </c>
      <c r="AD80" s="95">
        <f t="array" ref="AD80">_xlfn.LET(
_xlpm.rango, INDIRECT("E!$C$" &amp; $BA$8 &amp; ":$DR$" &amp; $BA$9),
_xlpm.col, AD$72+$D79*10,
INDEX(_xlpm.rango,$BA$4-3,_xlpm.col) +
INDEX(_xlpm.rango,$BA$4-2,_xlpm.col) +
INDEX(_xlpm.rango,$BA$4-1,_xlpm.col) +
INDEX(_xlpm.rango,$BA$4, _xlpm.col)
)</f>
        <v/>
      </c>
      <c r="AE80" s="95">
        <f t="array" ref="AE80">_xlfn.LET(
_xlpm.rango, INDIRECT("E!$C$" &amp; $BA$8 &amp; ":$DR$" &amp; $BA$9),
_xlpm.col, AE$72+$D79*10,
INDEX(_xlpm.rango,$BA$4-3,_xlpm.col) +
INDEX(_xlpm.rango,$BA$4-2,_xlpm.col) +
INDEX(_xlpm.rango,$BA$4-1,_xlpm.col) +
INDEX(_xlpm.rango,$BA$4, _xlpm.col)
)</f>
        <v/>
      </c>
      <c r="AF80" s="95">
        <f t="array" ref="AF80">_xlfn.LET(
_xlpm.rango, INDIRECT("E!$C$" &amp; $BA$8 &amp; ":$DR$" &amp; $BA$9),
_xlpm.col, AF$72+$D79*10,
INDEX(_xlpm.rango,$BA$4-3,_xlpm.col) +
INDEX(_xlpm.rango,$BA$4-2,_xlpm.col) +
INDEX(_xlpm.rango,$BA$4-1,_xlpm.col) +
INDEX(_xlpm.rango,$BA$4, _xlpm.col)
)</f>
        <v/>
      </c>
      <c r="AG80" s="95">
        <f t="array" ref="AG80">_xlfn.LET(
_xlpm.rango, INDIRECT("E!$C$" &amp; $BA$8 &amp; ":$DR$" &amp; $BA$9),
_xlpm.col, AG$72+$D79*10,
INDEX(_xlpm.rango,$BA$4-3,_xlpm.col) +
INDEX(_xlpm.rango,$BA$4-2,_xlpm.col) +
INDEX(_xlpm.rango,$BA$4-1,_xlpm.col) +
INDEX(_xlpm.rango,$BA$4, _xlpm.col)
)</f>
        <v/>
      </c>
      <c r="AH80" s="95">
        <f t="array" ref="AH80">_xlfn.LET(
_xlpm.rango, INDIRECT("E!$C$" &amp; $BA$8 &amp; ":$DR$" &amp; $BA$9),
_xlpm.col, AH$72+$D79*10,
INDEX(_xlpm.rango,$BA$4-3,_xlpm.col) +
INDEX(_xlpm.rango,$BA$4-2,_xlpm.col) +
INDEX(_xlpm.rango,$BA$4-1,_xlpm.col) +
INDEX(_xlpm.rango,$BA$4, _xlpm.col)
)</f>
        <v/>
      </c>
      <c r="AI80" s="96">
        <f t="array" ref="AI80">_xlfn.LET(
_xlpm.rango, INDIRECT("E!$C$" &amp; $BA$8 &amp; ":$DR$" &amp; $BA$9),
_xlpm.col, AI$72+$D79*10,
INDEX(_xlpm.rango,$BA$4-3,_xlpm.col) +
INDEX(_xlpm.rango,$BA$4-2,_xlpm.col) +
INDEX(_xlpm.rango,$BA$4-1,_xlpm.col) +
INDEX(_xlpm.rango,$BA$4, _xlpm.col)
)</f>
        <v/>
      </c>
      <c r="AJ80" s="95">
        <f t="array" ref="AJ80">_xlfn.LET(
_xlpm.rango, INDIRECT("E!$C$" &amp; $BA$8 &amp; ":$DR$" &amp; $BA$9),
_xlpm.col, AJ$72+$D79*10,
INDEX(_xlpm.rango,$BA$4-3,_xlpm.col) +
INDEX(_xlpm.rango,$BA$4-2,_xlpm.col) +
INDEX(_xlpm.rango,$BA$4-1,_xlpm.col) +
INDEX(_xlpm.rango,$BA$4, _xlpm.col)
)</f>
        <v/>
      </c>
      <c r="AK80" s="95">
        <f t="array" ref="AK80">_xlfn.LET(
_xlpm.rango, INDIRECT("E!$C$" &amp; $BA$8 &amp; ":$DR$" &amp; $BA$9),
_xlpm.col, AK$72+$D79*10,
INDEX(_xlpm.rango,$BA$4-3,_xlpm.col) +
INDEX(_xlpm.rango,$BA$4-2,_xlpm.col) +
INDEX(_xlpm.rango,$BA$4-1,_xlpm.col) +
INDEX(_xlpm.rango,$BA$4, _xlpm.col)
)</f>
        <v/>
      </c>
      <c r="AL80" s="95">
        <f t="array" ref="AL80">_xlfn.LET(
_xlpm.rango, INDIRECT("E!$C$" &amp; $BA$8 &amp; ":$DR$" &amp; $BA$9),
_xlpm.col, AL$72+$D79*10,
INDEX(_xlpm.rango,$BA$4-3,_xlpm.col) +
INDEX(_xlpm.rango,$BA$4-2,_xlpm.col) +
INDEX(_xlpm.rango,$BA$4-1,_xlpm.col) +
INDEX(_xlpm.rango,$BA$4, _xlpm.col)
)</f>
        <v/>
      </c>
      <c r="AM80" s="95">
        <f t="array" ref="AM80">_xlfn.LET(
_xlpm.rango, INDIRECT("E!$C$" &amp; $BA$8 &amp; ":$DR$" &amp; $BA$9),
_xlpm.col, AM$72+$D79*10,
INDEX(_xlpm.rango,$BA$4-3,_xlpm.col) +
INDEX(_xlpm.rango,$BA$4-2,_xlpm.col) +
INDEX(_xlpm.rango,$BA$4-1,_xlpm.col) +
INDEX(_xlpm.rango,$BA$4, _xlpm.col)
)</f>
        <v/>
      </c>
      <c r="AN80" s="95">
        <f t="array" ref="AN80">_xlfn.LET(
_xlpm.rango, INDIRECT("E!$C$" &amp; $BA$8 &amp; ":$DR$" &amp; $BA$9),
_xlpm.col, AN$72+$D79*10,
INDEX(_xlpm.rango,$BA$4-3,_xlpm.col) +
INDEX(_xlpm.rango,$BA$4-2,_xlpm.col) +
INDEX(_xlpm.rango,$BA$4-1,_xlpm.col) +
INDEX(_xlpm.rango,$BA$4, _xlpm.col)
)</f>
        <v/>
      </c>
      <c r="AO80" s="95">
        <f t="array" ref="AO80">_xlfn.LET(
_xlpm.rango, INDIRECT("E!$C$" &amp; $BA$8 &amp; ":$DR$" &amp; $BA$9),
_xlpm.col, AO$72+$D79*10,
INDEX(_xlpm.rango,$BA$4-3,_xlpm.col) +
INDEX(_xlpm.rango,$BA$4-2,_xlpm.col) +
INDEX(_xlpm.rango,$BA$4-1,_xlpm.col) +
INDEX(_xlpm.rango,$BA$4, _xlpm.col)
)</f>
        <v/>
      </c>
      <c r="AP80" s="95">
        <f t="array" ref="AP80">_xlfn.LET(
_xlpm.rango, INDIRECT("E!$C$" &amp; $BA$8 &amp; ":$DR$" &amp; $BA$9),
_xlpm.col, AP$72+$D79*10,
INDEX(_xlpm.rango,$BA$4-3,_xlpm.col) +
INDEX(_xlpm.rango,$BA$4-2,_xlpm.col) +
INDEX(_xlpm.rango,$BA$4-1,_xlpm.col) +
INDEX(_xlpm.rango,$BA$4, _xlpm.col)
)</f>
        <v/>
      </c>
      <c r="AQ80" s="95">
        <f t="array" ref="AQ80">_xlfn.LET(
_xlpm.rango, INDIRECT("E!$C$" &amp; $BA$8 &amp; ":$DR$" &amp; $BA$9),
_xlpm.col, AQ$72+$D79*10,
INDEX(_xlpm.rango,$BA$4-3,_xlpm.col) +
INDEX(_xlpm.rango,$BA$4-2,_xlpm.col) +
INDEX(_xlpm.rango,$BA$4-1,_xlpm.col) +
INDEX(_xlpm.rango,$BA$4, _xlpm.col)
)</f>
        <v/>
      </c>
      <c r="AR80" s="95">
        <f t="array" ref="AR80">_xlfn.LET(
_xlpm.rango, INDIRECT("E!$C$" &amp; $BA$8 &amp; ":$DR$" &amp; $BA$9),
_xlpm.col, AR$72+$D79*10,
INDEX(_xlpm.rango,$BA$4-3,_xlpm.col) +
INDEX(_xlpm.rango,$BA$4-2,_xlpm.col) +
INDEX(_xlpm.rango,$BA$4-1,_xlpm.col) +
INDEX(_xlpm.rango,$BA$4, _xlpm.col)
)</f>
        <v/>
      </c>
      <c r="AS80" s="112">
        <f t="array" ref="AS80">_xlfn.LET(
_xlpm.rango, INDIRECT("E!$C$" &amp; $BA$8 &amp; ":$DR$" &amp; $BA$9),
_xlpm.col, AS$72+$D79*10,
INDEX(_xlpm.rango,$BA$4-3,_xlpm.col) +
INDEX(_xlpm.rango,$BA$4-2,_xlpm.col) +
INDEX(_xlpm.rango,$BA$4-1,_xlpm.col) +
INDEX(_xlpm.rango,$BA$4, _xlpm.col)
)</f>
        <v/>
      </c>
      <c r="AT80" s="118">
        <f>SUM(F80:AS80)</f>
        <v/>
      </c>
      <c r="AU80" s="120">
        <f>AT80/$AT$88</f>
        <v/>
      </c>
    </row>
    <row r="81">
      <c r="D81" t="n">
        <v>6</v>
      </c>
      <c r="E81" s="106">
        <f>Inicio!V9</f>
        <v/>
      </c>
      <c r="F81" s="100">
        <f t="array" ref="F81">_xlfn.LET(
_xlpm.rango, INDIRECT("N!$C$" &amp; $BA$8 &amp; ":$DR$" &amp; $BA$9),
_xlpm.col, F$72+$D80*10,
INDEX(_xlpm.rango,$BA$4-3,_xlpm.col) +
INDEX(_xlpm.rango,$BA$4-2,_xlpm.col) +
INDEX(_xlpm.rango,$BA$4-1,_xlpm.col) +
INDEX(_xlpm.rango,$BA$4, _xlpm.col)
)</f>
        <v/>
      </c>
      <c r="G81" s="95">
        <f t="array" ref="G81">_xlfn.LET(
_xlpm.rango, INDIRECT("N!$C$" &amp; $BA$8 &amp; ":$DR$" &amp; $BA$9),
_xlpm.col, G$72+$D80*10,
INDEX(_xlpm.rango,$BA$4-3,_xlpm.col) +
INDEX(_xlpm.rango,$BA$4-2,_xlpm.col) +
INDEX(_xlpm.rango,$BA$4-1,_xlpm.col) +
INDEX(_xlpm.rango,$BA$4, _xlpm.col)
)</f>
        <v/>
      </c>
      <c r="H81" s="95">
        <f t="array" ref="H81">_xlfn.LET(
_xlpm.rango, INDIRECT("N!$C$" &amp; $BA$8 &amp; ":$DR$" &amp; $BA$9),
_xlpm.col, H$72+$D80*10,
INDEX(_xlpm.rango,$BA$4-3,_xlpm.col) +
INDEX(_xlpm.rango,$BA$4-2,_xlpm.col) +
INDEX(_xlpm.rango,$BA$4-1,_xlpm.col) +
INDEX(_xlpm.rango,$BA$4, _xlpm.col)
)</f>
        <v/>
      </c>
      <c r="I81" s="95">
        <f t="array" ref="I81">_xlfn.LET(
_xlpm.rango, INDIRECT("N!$C$" &amp; $BA$8 &amp; ":$DR$" &amp; $BA$9),
_xlpm.col, I$72+$D80*10,
INDEX(_xlpm.rango,$BA$4-3,_xlpm.col) +
INDEX(_xlpm.rango,$BA$4-2,_xlpm.col) +
INDEX(_xlpm.rango,$BA$4-1,_xlpm.col) +
INDEX(_xlpm.rango,$BA$4, _xlpm.col)
)</f>
        <v/>
      </c>
      <c r="J81" s="95">
        <f t="array" ref="J81">_xlfn.LET(
_xlpm.rango, INDIRECT("N!$C$" &amp; $BA$8 &amp; ":$DR$" &amp; $BA$9),
_xlpm.col, J$72+$D80*10,
INDEX(_xlpm.rango,$BA$4-3,_xlpm.col) +
INDEX(_xlpm.rango,$BA$4-2,_xlpm.col) +
INDEX(_xlpm.rango,$BA$4-1,_xlpm.col) +
INDEX(_xlpm.rango,$BA$4, _xlpm.col)
)</f>
        <v/>
      </c>
      <c r="K81" s="95">
        <f t="array" ref="K81">_xlfn.LET(
_xlpm.rango, INDIRECT("N!$C$" &amp; $BA$8 &amp; ":$DR$" &amp; $BA$9),
_xlpm.col, K$72+$D80*10,
INDEX(_xlpm.rango,$BA$4-3,_xlpm.col) +
INDEX(_xlpm.rango,$BA$4-2,_xlpm.col) +
INDEX(_xlpm.rango,$BA$4-1,_xlpm.col) +
INDEX(_xlpm.rango,$BA$4, _xlpm.col)
)</f>
        <v/>
      </c>
      <c r="L81" s="95">
        <f t="array" ref="L81">_xlfn.LET(
_xlpm.rango, INDIRECT("N!$C$" &amp; $BA$8 &amp; ":$DR$" &amp; $BA$9),
_xlpm.col, L$72+$D80*10,
INDEX(_xlpm.rango,$BA$4-3,_xlpm.col) +
INDEX(_xlpm.rango,$BA$4-2,_xlpm.col) +
INDEX(_xlpm.rango,$BA$4-1,_xlpm.col) +
INDEX(_xlpm.rango,$BA$4, _xlpm.col)
)</f>
        <v/>
      </c>
      <c r="M81" s="95">
        <f t="array" ref="M81">_xlfn.LET(
_xlpm.rango, INDIRECT("N!$C$" &amp; $BA$8 &amp; ":$DR$" &amp; $BA$9),
_xlpm.col, M$72+$D80*10,
INDEX(_xlpm.rango,$BA$4-3,_xlpm.col) +
INDEX(_xlpm.rango,$BA$4-2,_xlpm.col) +
INDEX(_xlpm.rango,$BA$4-1,_xlpm.col) +
INDEX(_xlpm.rango,$BA$4, _xlpm.col)
)</f>
        <v/>
      </c>
      <c r="N81" s="95">
        <f t="array" ref="N81">_xlfn.LET(
_xlpm.rango, INDIRECT("N!$C$" &amp; $BA$8 &amp; ":$DR$" &amp; $BA$9),
_xlpm.col, N$72+$D80*10,
INDEX(_xlpm.rango,$BA$4-3,_xlpm.col) +
INDEX(_xlpm.rango,$BA$4-2,_xlpm.col) +
INDEX(_xlpm.rango,$BA$4-1,_xlpm.col) +
INDEX(_xlpm.rango,$BA$4, _xlpm.col)
)</f>
        <v/>
      </c>
      <c r="O81" s="96">
        <f t="array" ref="O81">_xlfn.LET(
_xlpm.rango, INDIRECT("N!$C$" &amp; $BA$8 &amp; ":$DR$" &amp; $BA$9),
_xlpm.col, O$72+$D80*10,
INDEX(_xlpm.rango,$BA$4-3,_xlpm.col) +
INDEX(_xlpm.rango,$BA$4-2,_xlpm.col) +
INDEX(_xlpm.rango,$BA$4-1,_xlpm.col) +
INDEX(_xlpm.rango,$BA$4, _xlpm.col)
)</f>
        <v/>
      </c>
      <c r="P81" s="95">
        <f t="array" ref="P81">_xlfn.LET(
_xlpm.rango, INDIRECT("S!$C$" &amp; $BA$8 &amp; ":$DR$" &amp; $BA$9),
_xlpm.col, P$72+$D80*10,
INDEX(_xlpm.rango,$BA$4-3,_xlpm.col) +
INDEX(_xlpm.rango,$BA$4-2,_xlpm.col) +
INDEX(_xlpm.rango,$BA$4-1,_xlpm.col) +
INDEX(_xlpm.rango,$BA$4, _xlpm.col)
)</f>
        <v/>
      </c>
      <c r="Q81" s="95">
        <f t="array" ref="Q81">_xlfn.LET(
_xlpm.rango, INDIRECT("S!$C$" &amp; $BA$8 &amp; ":$DR$" &amp; $BA$9),
_xlpm.col, Q$72+$D80*10,
INDEX(_xlpm.rango,$BA$4-3,_xlpm.col) +
INDEX(_xlpm.rango,$BA$4-2,_xlpm.col) +
INDEX(_xlpm.rango,$BA$4-1,_xlpm.col) +
INDEX(_xlpm.rango,$BA$4, _xlpm.col)
)</f>
        <v/>
      </c>
      <c r="R81" s="95">
        <f t="array" ref="R81">_xlfn.LET(
_xlpm.rango, INDIRECT("S!$C$" &amp; $BA$8 &amp; ":$DR$" &amp; $BA$9),
_xlpm.col, R$72+$D80*10,
INDEX(_xlpm.rango,$BA$4-3,_xlpm.col) +
INDEX(_xlpm.rango,$BA$4-2,_xlpm.col) +
INDEX(_xlpm.rango,$BA$4-1,_xlpm.col) +
INDEX(_xlpm.rango,$BA$4, _xlpm.col)
)</f>
        <v/>
      </c>
      <c r="S81" s="95">
        <f t="array" ref="S81">_xlfn.LET(
_xlpm.rango, INDIRECT("S!$C$" &amp; $BA$8 &amp; ":$DR$" &amp; $BA$9),
_xlpm.col, S$72+$D80*10,
INDEX(_xlpm.rango,$BA$4-3,_xlpm.col) +
INDEX(_xlpm.rango,$BA$4-2,_xlpm.col) +
INDEX(_xlpm.rango,$BA$4-1,_xlpm.col) +
INDEX(_xlpm.rango,$BA$4, _xlpm.col)
)</f>
        <v/>
      </c>
      <c r="T81" s="95">
        <f t="array" ref="T81">_xlfn.LET(
_xlpm.rango, INDIRECT("S!$C$" &amp; $BA$8 &amp; ":$DR$" &amp; $BA$9),
_xlpm.col, T$72+$D80*10,
INDEX(_xlpm.rango,$BA$4-3,_xlpm.col) +
INDEX(_xlpm.rango,$BA$4-2,_xlpm.col) +
INDEX(_xlpm.rango,$BA$4-1,_xlpm.col) +
INDEX(_xlpm.rango,$BA$4, _xlpm.col)
)</f>
        <v/>
      </c>
      <c r="U81" s="95">
        <f t="array" ref="U81">_xlfn.LET(
_xlpm.rango, INDIRECT("S!$C$" &amp; $BA$8 &amp; ":$DR$" &amp; $BA$9),
_xlpm.col, U$72+$D80*10,
INDEX(_xlpm.rango,$BA$4-3,_xlpm.col) +
INDEX(_xlpm.rango,$BA$4-2,_xlpm.col) +
INDEX(_xlpm.rango,$BA$4-1,_xlpm.col) +
INDEX(_xlpm.rango,$BA$4, _xlpm.col)
)</f>
        <v/>
      </c>
      <c r="V81" s="95">
        <f t="array" ref="V81">_xlfn.LET(
_xlpm.rango, INDIRECT("S!$C$" &amp; $BA$8 &amp; ":$DR$" &amp; $BA$9),
_xlpm.col, V$72+$D80*10,
INDEX(_xlpm.rango,$BA$4-3,_xlpm.col) +
INDEX(_xlpm.rango,$BA$4-2,_xlpm.col) +
INDEX(_xlpm.rango,$BA$4-1,_xlpm.col) +
INDEX(_xlpm.rango,$BA$4, _xlpm.col)
)</f>
        <v/>
      </c>
      <c r="W81" s="95">
        <f t="array" ref="W81">_xlfn.LET(
_xlpm.rango, INDIRECT("S!$C$" &amp; $BA$8 &amp; ":$DR$" &amp; $BA$9),
_xlpm.col, W$72+$D80*10,
INDEX(_xlpm.rango,$BA$4-3,_xlpm.col) +
INDEX(_xlpm.rango,$BA$4-2,_xlpm.col) +
INDEX(_xlpm.rango,$BA$4-1,_xlpm.col) +
INDEX(_xlpm.rango,$BA$4, _xlpm.col)
)</f>
        <v/>
      </c>
      <c r="X81" s="95">
        <f t="array" ref="X81">_xlfn.LET(
_xlpm.rango, INDIRECT("S!$C$" &amp; $BA$8 &amp; ":$DR$" &amp; $BA$9),
_xlpm.col, X$72+$D80*10,
INDEX(_xlpm.rango,$BA$4-3,_xlpm.col) +
INDEX(_xlpm.rango,$BA$4-2,_xlpm.col) +
INDEX(_xlpm.rango,$BA$4-1,_xlpm.col) +
INDEX(_xlpm.rango,$BA$4, _xlpm.col)
)</f>
        <v/>
      </c>
      <c r="Y81" s="95">
        <f t="array" ref="Y81">_xlfn.LET(
_xlpm.rango, INDIRECT("S!$C$" &amp; $BA$8 &amp; ":$DR$" &amp; $BA$9),
_xlpm.col, Y$72+$D80*10,
INDEX(_xlpm.rango,$BA$4-3,_xlpm.col) +
INDEX(_xlpm.rango,$BA$4-2,_xlpm.col) +
INDEX(_xlpm.rango,$BA$4-1,_xlpm.col) +
INDEX(_xlpm.rango,$BA$4, _xlpm.col)
)</f>
        <v/>
      </c>
      <c r="Z81" s="100">
        <f t="array" ref="Z81">_xlfn.LET(
_xlpm.rango, INDIRECT("E!$C$" &amp; $BA$8 &amp; ":$DR$" &amp; $BA$9),
_xlpm.col, Z$72+$D80*10,
INDEX(_xlpm.rango,$BA$4-3,_xlpm.col) +
INDEX(_xlpm.rango,$BA$4-2,_xlpm.col) +
INDEX(_xlpm.rango,$BA$4-1,_xlpm.col) +
INDEX(_xlpm.rango,$BA$4, _xlpm.col)
)</f>
        <v/>
      </c>
      <c r="AA81" s="95">
        <f t="array" ref="AA81">_xlfn.LET(
_xlpm.rango, INDIRECT("E!$C$" &amp; $BA$8 &amp; ":$DR$" &amp; $BA$9),
_xlpm.col, AA$72+$D80*10,
INDEX(_xlpm.rango,$BA$4-3,_xlpm.col) +
INDEX(_xlpm.rango,$BA$4-2,_xlpm.col) +
INDEX(_xlpm.rango,$BA$4-1,_xlpm.col) +
INDEX(_xlpm.rango,$BA$4, _xlpm.col)
)</f>
        <v/>
      </c>
      <c r="AB81" s="95">
        <f t="array" ref="AB81">_xlfn.LET(
_xlpm.rango, INDIRECT("E!$C$" &amp; $BA$8 &amp; ":$DR$" &amp; $BA$9),
_xlpm.col, AB$72+$D80*10,
INDEX(_xlpm.rango,$BA$4-3,_xlpm.col) +
INDEX(_xlpm.rango,$BA$4-2,_xlpm.col) +
INDEX(_xlpm.rango,$BA$4-1,_xlpm.col) +
INDEX(_xlpm.rango,$BA$4, _xlpm.col)
)</f>
        <v/>
      </c>
      <c r="AC81" s="95">
        <f t="array" ref="AC81">_xlfn.LET(
_xlpm.rango, INDIRECT("E!$C$" &amp; $BA$8 &amp; ":$DR$" &amp; $BA$9),
_xlpm.col, AC$72+$D80*10,
INDEX(_xlpm.rango,$BA$4-3,_xlpm.col) +
INDEX(_xlpm.rango,$BA$4-2,_xlpm.col) +
INDEX(_xlpm.rango,$BA$4-1,_xlpm.col) +
INDEX(_xlpm.rango,$BA$4, _xlpm.col)
)</f>
        <v/>
      </c>
      <c r="AD81" s="95">
        <f t="array" ref="AD81">_xlfn.LET(
_xlpm.rango, INDIRECT("E!$C$" &amp; $BA$8 &amp; ":$DR$" &amp; $BA$9),
_xlpm.col, AD$72+$D80*10,
INDEX(_xlpm.rango,$BA$4-3,_xlpm.col) +
INDEX(_xlpm.rango,$BA$4-2,_xlpm.col) +
INDEX(_xlpm.rango,$BA$4-1,_xlpm.col) +
INDEX(_xlpm.rango,$BA$4, _xlpm.col)
)</f>
        <v/>
      </c>
      <c r="AE81" s="95">
        <f t="array" ref="AE81">_xlfn.LET(
_xlpm.rango, INDIRECT("E!$C$" &amp; $BA$8 &amp; ":$DR$" &amp; $BA$9),
_xlpm.col, AE$72+$D80*10,
INDEX(_xlpm.rango,$BA$4-3,_xlpm.col) +
INDEX(_xlpm.rango,$BA$4-2,_xlpm.col) +
INDEX(_xlpm.rango,$BA$4-1,_xlpm.col) +
INDEX(_xlpm.rango,$BA$4, _xlpm.col)
)</f>
        <v/>
      </c>
      <c r="AF81" s="95">
        <f t="array" ref="AF81">_xlfn.LET(
_xlpm.rango, INDIRECT("E!$C$" &amp; $BA$8 &amp; ":$DR$" &amp; $BA$9),
_xlpm.col, AF$72+$D80*10,
INDEX(_xlpm.rango,$BA$4-3,_xlpm.col) +
INDEX(_xlpm.rango,$BA$4-2,_xlpm.col) +
INDEX(_xlpm.rango,$BA$4-1,_xlpm.col) +
INDEX(_xlpm.rango,$BA$4, _xlpm.col)
)</f>
        <v/>
      </c>
      <c r="AG81" s="95">
        <f t="array" ref="AG81">_xlfn.LET(
_xlpm.rango, INDIRECT("E!$C$" &amp; $BA$8 &amp; ":$DR$" &amp; $BA$9),
_xlpm.col, AG$72+$D80*10,
INDEX(_xlpm.rango,$BA$4-3,_xlpm.col) +
INDEX(_xlpm.rango,$BA$4-2,_xlpm.col) +
INDEX(_xlpm.rango,$BA$4-1,_xlpm.col) +
INDEX(_xlpm.rango,$BA$4, _xlpm.col)
)</f>
        <v/>
      </c>
      <c r="AH81" s="95">
        <f t="array" ref="AH81">_xlfn.LET(
_xlpm.rango, INDIRECT("E!$C$" &amp; $BA$8 &amp; ":$DR$" &amp; $BA$9),
_xlpm.col, AH$72+$D80*10,
INDEX(_xlpm.rango,$BA$4-3,_xlpm.col) +
INDEX(_xlpm.rango,$BA$4-2,_xlpm.col) +
INDEX(_xlpm.rango,$BA$4-1,_xlpm.col) +
INDEX(_xlpm.rango,$BA$4, _xlpm.col)
)</f>
        <v/>
      </c>
      <c r="AI81" s="96">
        <f t="array" ref="AI81">_xlfn.LET(
_xlpm.rango, INDIRECT("E!$C$" &amp; $BA$8 &amp; ":$DR$" &amp; $BA$9),
_xlpm.col, AI$72+$D80*10,
INDEX(_xlpm.rango,$BA$4-3,_xlpm.col) +
INDEX(_xlpm.rango,$BA$4-2,_xlpm.col) +
INDEX(_xlpm.rango,$BA$4-1,_xlpm.col) +
INDEX(_xlpm.rango,$BA$4, _xlpm.col)
)</f>
        <v/>
      </c>
      <c r="AJ81" s="95">
        <f t="array" ref="AJ81">_xlfn.LET(
_xlpm.rango, INDIRECT("E!$C$" &amp; $BA$8 &amp; ":$DR$" &amp; $BA$9),
_xlpm.col, AJ$72+$D80*10,
INDEX(_xlpm.rango,$BA$4-3,_xlpm.col) +
INDEX(_xlpm.rango,$BA$4-2,_xlpm.col) +
INDEX(_xlpm.rango,$BA$4-1,_xlpm.col) +
INDEX(_xlpm.rango,$BA$4, _xlpm.col)
)</f>
        <v/>
      </c>
      <c r="AK81" s="95">
        <f t="array" ref="AK81">_xlfn.LET(
_xlpm.rango, INDIRECT("E!$C$" &amp; $BA$8 &amp; ":$DR$" &amp; $BA$9),
_xlpm.col, AK$72+$D80*10,
INDEX(_xlpm.rango,$BA$4-3,_xlpm.col) +
INDEX(_xlpm.rango,$BA$4-2,_xlpm.col) +
INDEX(_xlpm.rango,$BA$4-1,_xlpm.col) +
INDEX(_xlpm.rango,$BA$4, _xlpm.col)
)</f>
        <v/>
      </c>
      <c r="AL81" s="95">
        <f t="array" ref="AL81">_xlfn.LET(
_xlpm.rango, INDIRECT("E!$C$" &amp; $BA$8 &amp; ":$DR$" &amp; $BA$9),
_xlpm.col, AL$72+$D80*10,
INDEX(_xlpm.rango,$BA$4-3,_xlpm.col) +
INDEX(_xlpm.rango,$BA$4-2,_xlpm.col) +
INDEX(_xlpm.rango,$BA$4-1,_xlpm.col) +
INDEX(_xlpm.rango,$BA$4, _xlpm.col)
)</f>
        <v/>
      </c>
      <c r="AM81" s="95">
        <f t="array" ref="AM81">_xlfn.LET(
_xlpm.rango, INDIRECT("E!$C$" &amp; $BA$8 &amp; ":$DR$" &amp; $BA$9),
_xlpm.col, AM$72+$D80*10,
INDEX(_xlpm.rango,$BA$4-3,_xlpm.col) +
INDEX(_xlpm.rango,$BA$4-2,_xlpm.col) +
INDEX(_xlpm.rango,$BA$4-1,_xlpm.col) +
INDEX(_xlpm.rango,$BA$4, _xlpm.col)
)</f>
        <v/>
      </c>
      <c r="AN81" s="95">
        <f t="array" ref="AN81">_xlfn.LET(
_xlpm.rango, INDIRECT("E!$C$" &amp; $BA$8 &amp; ":$DR$" &amp; $BA$9),
_xlpm.col, AN$72+$D80*10,
INDEX(_xlpm.rango,$BA$4-3,_xlpm.col) +
INDEX(_xlpm.rango,$BA$4-2,_xlpm.col) +
INDEX(_xlpm.rango,$BA$4-1,_xlpm.col) +
INDEX(_xlpm.rango,$BA$4, _xlpm.col)
)</f>
        <v/>
      </c>
      <c r="AO81" s="95">
        <f t="array" ref="AO81">_xlfn.LET(
_xlpm.rango, INDIRECT("E!$C$" &amp; $BA$8 &amp; ":$DR$" &amp; $BA$9),
_xlpm.col, AO$72+$D80*10,
INDEX(_xlpm.rango,$BA$4-3,_xlpm.col) +
INDEX(_xlpm.rango,$BA$4-2,_xlpm.col) +
INDEX(_xlpm.rango,$BA$4-1,_xlpm.col) +
INDEX(_xlpm.rango,$BA$4, _xlpm.col)
)</f>
        <v/>
      </c>
      <c r="AP81" s="95">
        <f t="array" ref="AP81">_xlfn.LET(
_xlpm.rango, INDIRECT("E!$C$" &amp; $BA$8 &amp; ":$DR$" &amp; $BA$9),
_xlpm.col, AP$72+$D80*10,
INDEX(_xlpm.rango,$BA$4-3,_xlpm.col) +
INDEX(_xlpm.rango,$BA$4-2,_xlpm.col) +
INDEX(_xlpm.rango,$BA$4-1,_xlpm.col) +
INDEX(_xlpm.rango,$BA$4, _xlpm.col)
)</f>
        <v/>
      </c>
      <c r="AQ81" s="95">
        <f t="array" ref="AQ81">_xlfn.LET(
_xlpm.rango, INDIRECT("E!$C$" &amp; $BA$8 &amp; ":$DR$" &amp; $BA$9),
_xlpm.col, AQ$72+$D80*10,
INDEX(_xlpm.rango,$BA$4-3,_xlpm.col) +
INDEX(_xlpm.rango,$BA$4-2,_xlpm.col) +
INDEX(_xlpm.rango,$BA$4-1,_xlpm.col) +
INDEX(_xlpm.rango,$BA$4, _xlpm.col)
)</f>
        <v/>
      </c>
      <c r="AR81" s="95">
        <f t="array" ref="AR81">_xlfn.LET(
_xlpm.rango, INDIRECT("E!$C$" &amp; $BA$8 &amp; ":$DR$" &amp; $BA$9),
_xlpm.col, AR$72+$D80*10,
INDEX(_xlpm.rango,$BA$4-3,_xlpm.col) +
INDEX(_xlpm.rango,$BA$4-2,_xlpm.col) +
INDEX(_xlpm.rango,$BA$4-1,_xlpm.col) +
INDEX(_xlpm.rango,$BA$4, _xlpm.col)
)</f>
        <v/>
      </c>
      <c r="AS81" s="112">
        <f t="array" ref="AS81">_xlfn.LET(
_xlpm.rango, INDIRECT("E!$C$" &amp; $BA$8 &amp; ":$DR$" &amp; $BA$9),
_xlpm.col, AS$72+$D80*10,
INDEX(_xlpm.rango,$BA$4-3,_xlpm.col) +
INDEX(_xlpm.rango,$BA$4-2,_xlpm.col) +
INDEX(_xlpm.rango,$BA$4-1,_xlpm.col) +
INDEX(_xlpm.rango,$BA$4, _xlpm.col)
)</f>
        <v/>
      </c>
      <c r="AT81" s="118">
        <f>SUM(F81:AS81)</f>
        <v/>
      </c>
      <c r="AU81" s="120">
        <f>AT81/$AT$88</f>
        <v/>
      </c>
    </row>
    <row r="82">
      <c r="D82" t="n">
        <v>7</v>
      </c>
      <c r="E82" s="106">
        <f>Inicio!V10</f>
        <v/>
      </c>
      <c r="F82" s="100">
        <f t="array" ref="F82">_xlfn.LET(
_xlpm.rango, INDIRECT("N!$C$" &amp; $BA$8 &amp; ":$DR$" &amp; $BA$9),
_xlpm.col, F$72+$D81*10,
INDEX(_xlpm.rango,$BA$4-3,_xlpm.col) +
INDEX(_xlpm.rango,$BA$4-2,_xlpm.col) +
INDEX(_xlpm.rango,$BA$4-1,_xlpm.col) +
INDEX(_xlpm.rango,$BA$4, _xlpm.col)
)</f>
        <v/>
      </c>
      <c r="G82" s="95">
        <f t="array" ref="G82">_xlfn.LET(
_xlpm.rango, INDIRECT("N!$C$" &amp; $BA$8 &amp; ":$DR$" &amp; $BA$9),
_xlpm.col, G$72+$D81*10,
INDEX(_xlpm.rango,$BA$4-3,_xlpm.col) +
INDEX(_xlpm.rango,$BA$4-2,_xlpm.col) +
INDEX(_xlpm.rango,$BA$4-1,_xlpm.col) +
INDEX(_xlpm.rango,$BA$4, _xlpm.col)
)</f>
        <v/>
      </c>
      <c r="H82" s="95">
        <f t="array" ref="H82">_xlfn.LET(
_xlpm.rango, INDIRECT("N!$C$" &amp; $BA$8 &amp; ":$DR$" &amp; $BA$9),
_xlpm.col, H$72+$D81*10,
INDEX(_xlpm.rango,$BA$4-3,_xlpm.col) +
INDEX(_xlpm.rango,$BA$4-2,_xlpm.col) +
INDEX(_xlpm.rango,$BA$4-1,_xlpm.col) +
INDEX(_xlpm.rango,$BA$4, _xlpm.col)
)</f>
        <v/>
      </c>
      <c r="I82" s="95">
        <f t="array" ref="I82">_xlfn.LET(
_xlpm.rango, INDIRECT("N!$C$" &amp; $BA$8 &amp; ":$DR$" &amp; $BA$9),
_xlpm.col, I$72+$D81*10,
INDEX(_xlpm.rango,$BA$4-3,_xlpm.col) +
INDEX(_xlpm.rango,$BA$4-2,_xlpm.col) +
INDEX(_xlpm.rango,$BA$4-1,_xlpm.col) +
INDEX(_xlpm.rango,$BA$4, _xlpm.col)
)</f>
        <v/>
      </c>
      <c r="J82" s="95">
        <f t="array" ref="J82">_xlfn.LET(
_xlpm.rango, INDIRECT("N!$C$" &amp; $BA$8 &amp; ":$DR$" &amp; $BA$9),
_xlpm.col, J$72+$D81*10,
INDEX(_xlpm.rango,$BA$4-3,_xlpm.col) +
INDEX(_xlpm.rango,$BA$4-2,_xlpm.col) +
INDEX(_xlpm.rango,$BA$4-1,_xlpm.col) +
INDEX(_xlpm.rango,$BA$4, _xlpm.col)
)</f>
        <v/>
      </c>
      <c r="K82" s="95">
        <f t="array" ref="K82">_xlfn.LET(
_xlpm.rango, INDIRECT("N!$C$" &amp; $BA$8 &amp; ":$DR$" &amp; $BA$9),
_xlpm.col, K$72+$D81*10,
INDEX(_xlpm.rango,$BA$4-3,_xlpm.col) +
INDEX(_xlpm.rango,$BA$4-2,_xlpm.col) +
INDEX(_xlpm.rango,$BA$4-1,_xlpm.col) +
INDEX(_xlpm.rango,$BA$4, _xlpm.col)
)</f>
        <v/>
      </c>
      <c r="L82" s="95">
        <f t="array" ref="L82">_xlfn.LET(
_xlpm.rango, INDIRECT("N!$C$" &amp; $BA$8 &amp; ":$DR$" &amp; $BA$9),
_xlpm.col, L$72+$D81*10,
INDEX(_xlpm.rango,$BA$4-3,_xlpm.col) +
INDEX(_xlpm.rango,$BA$4-2,_xlpm.col) +
INDEX(_xlpm.rango,$BA$4-1,_xlpm.col) +
INDEX(_xlpm.rango,$BA$4, _xlpm.col)
)</f>
        <v/>
      </c>
      <c r="M82" s="95">
        <f t="array" ref="M82">_xlfn.LET(
_xlpm.rango, INDIRECT("N!$C$" &amp; $BA$8 &amp; ":$DR$" &amp; $BA$9),
_xlpm.col, M$72+$D81*10,
INDEX(_xlpm.rango,$BA$4-3,_xlpm.col) +
INDEX(_xlpm.rango,$BA$4-2,_xlpm.col) +
INDEX(_xlpm.rango,$BA$4-1,_xlpm.col) +
INDEX(_xlpm.rango,$BA$4, _xlpm.col)
)</f>
        <v/>
      </c>
      <c r="N82" s="95">
        <f t="array" ref="N82">_xlfn.LET(
_xlpm.rango, INDIRECT("N!$C$" &amp; $BA$8 &amp; ":$DR$" &amp; $BA$9),
_xlpm.col, N$72+$D81*10,
INDEX(_xlpm.rango,$BA$4-3,_xlpm.col) +
INDEX(_xlpm.rango,$BA$4-2,_xlpm.col) +
INDEX(_xlpm.rango,$BA$4-1,_xlpm.col) +
INDEX(_xlpm.rango,$BA$4, _xlpm.col)
)</f>
        <v/>
      </c>
      <c r="O82" s="96">
        <f t="array" ref="O82">_xlfn.LET(
_xlpm.rango, INDIRECT("N!$C$" &amp; $BA$8 &amp; ":$DR$" &amp; $BA$9),
_xlpm.col, O$72+$D81*10,
INDEX(_xlpm.rango,$BA$4-3,_xlpm.col) +
INDEX(_xlpm.rango,$BA$4-2,_xlpm.col) +
INDEX(_xlpm.rango,$BA$4-1,_xlpm.col) +
INDEX(_xlpm.rango,$BA$4, _xlpm.col)
)</f>
        <v/>
      </c>
      <c r="P82" s="95">
        <f t="array" ref="P82">_xlfn.LET(
_xlpm.rango, INDIRECT("S!$C$" &amp; $BA$8 &amp; ":$DR$" &amp; $BA$9),
_xlpm.col, P$72+$D81*10,
INDEX(_xlpm.rango,$BA$4-3,_xlpm.col) +
INDEX(_xlpm.rango,$BA$4-2,_xlpm.col) +
INDEX(_xlpm.rango,$BA$4-1,_xlpm.col) +
INDEX(_xlpm.rango,$BA$4, _xlpm.col)
)</f>
        <v/>
      </c>
      <c r="Q82" s="95">
        <f t="array" ref="Q82">_xlfn.LET(
_xlpm.rango, INDIRECT("S!$C$" &amp; $BA$8 &amp; ":$DR$" &amp; $BA$9),
_xlpm.col, Q$72+$D81*10,
INDEX(_xlpm.rango,$BA$4-3,_xlpm.col) +
INDEX(_xlpm.rango,$BA$4-2,_xlpm.col) +
INDEX(_xlpm.rango,$BA$4-1,_xlpm.col) +
INDEX(_xlpm.rango,$BA$4, _xlpm.col)
)</f>
        <v/>
      </c>
      <c r="R82" s="95">
        <f t="array" ref="R82">_xlfn.LET(
_xlpm.rango, INDIRECT("S!$C$" &amp; $BA$8 &amp; ":$DR$" &amp; $BA$9),
_xlpm.col, R$72+$D81*10,
INDEX(_xlpm.rango,$BA$4-3,_xlpm.col) +
INDEX(_xlpm.rango,$BA$4-2,_xlpm.col) +
INDEX(_xlpm.rango,$BA$4-1,_xlpm.col) +
INDEX(_xlpm.rango,$BA$4, _xlpm.col)
)</f>
        <v/>
      </c>
      <c r="S82" s="95">
        <f t="array" ref="S82">_xlfn.LET(
_xlpm.rango, INDIRECT("S!$C$" &amp; $BA$8 &amp; ":$DR$" &amp; $BA$9),
_xlpm.col, S$72+$D81*10,
INDEX(_xlpm.rango,$BA$4-3,_xlpm.col) +
INDEX(_xlpm.rango,$BA$4-2,_xlpm.col) +
INDEX(_xlpm.rango,$BA$4-1,_xlpm.col) +
INDEX(_xlpm.rango,$BA$4, _xlpm.col)
)</f>
        <v/>
      </c>
      <c r="T82" s="95">
        <f t="array" ref="T82">_xlfn.LET(
_xlpm.rango, INDIRECT("S!$C$" &amp; $BA$8 &amp; ":$DR$" &amp; $BA$9),
_xlpm.col, T$72+$D81*10,
INDEX(_xlpm.rango,$BA$4-3,_xlpm.col) +
INDEX(_xlpm.rango,$BA$4-2,_xlpm.col) +
INDEX(_xlpm.rango,$BA$4-1,_xlpm.col) +
INDEX(_xlpm.rango,$BA$4, _xlpm.col)
)</f>
        <v/>
      </c>
      <c r="U82" s="95">
        <f t="array" ref="U82">_xlfn.LET(
_xlpm.rango, INDIRECT("S!$C$" &amp; $BA$8 &amp; ":$DR$" &amp; $BA$9),
_xlpm.col, U$72+$D81*10,
INDEX(_xlpm.rango,$BA$4-3,_xlpm.col) +
INDEX(_xlpm.rango,$BA$4-2,_xlpm.col) +
INDEX(_xlpm.rango,$BA$4-1,_xlpm.col) +
INDEX(_xlpm.rango,$BA$4, _xlpm.col)
)</f>
        <v/>
      </c>
      <c r="V82" s="95">
        <f t="array" ref="V82">_xlfn.LET(
_xlpm.rango, INDIRECT("S!$C$" &amp; $BA$8 &amp; ":$DR$" &amp; $BA$9),
_xlpm.col, V$72+$D81*10,
INDEX(_xlpm.rango,$BA$4-3,_xlpm.col) +
INDEX(_xlpm.rango,$BA$4-2,_xlpm.col) +
INDEX(_xlpm.rango,$BA$4-1,_xlpm.col) +
INDEX(_xlpm.rango,$BA$4, _xlpm.col)
)</f>
        <v/>
      </c>
      <c r="W82" s="95">
        <f t="array" ref="W82">_xlfn.LET(
_xlpm.rango, INDIRECT("S!$C$" &amp; $BA$8 &amp; ":$DR$" &amp; $BA$9),
_xlpm.col, W$72+$D81*10,
INDEX(_xlpm.rango,$BA$4-3,_xlpm.col) +
INDEX(_xlpm.rango,$BA$4-2,_xlpm.col) +
INDEX(_xlpm.rango,$BA$4-1,_xlpm.col) +
INDEX(_xlpm.rango,$BA$4, _xlpm.col)
)</f>
        <v/>
      </c>
      <c r="X82" s="95">
        <f t="array" ref="X82">_xlfn.LET(
_xlpm.rango, INDIRECT("S!$C$" &amp; $BA$8 &amp; ":$DR$" &amp; $BA$9),
_xlpm.col, X$72+$D81*10,
INDEX(_xlpm.rango,$BA$4-3,_xlpm.col) +
INDEX(_xlpm.rango,$BA$4-2,_xlpm.col) +
INDEX(_xlpm.rango,$BA$4-1,_xlpm.col) +
INDEX(_xlpm.rango,$BA$4, _xlpm.col)
)</f>
        <v/>
      </c>
      <c r="Y82" s="95">
        <f t="array" ref="Y82">_xlfn.LET(
_xlpm.rango, INDIRECT("S!$C$" &amp; $BA$8 &amp; ":$DR$" &amp; $BA$9),
_xlpm.col, Y$72+$D81*10,
INDEX(_xlpm.rango,$BA$4-3,_xlpm.col) +
INDEX(_xlpm.rango,$BA$4-2,_xlpm.col) +
INDEX(_xlpm.rango,$BA$4-1,_xlpm.col) +
INDEX(_xlpm.rango,$BA$4, _xlpm.col)
)</f>
        <v/>
      </c>
      <c r="Z82" s="100">
        <f t="array" ref="Z82">_xlfn.LET(
_xlpm.rango, INDIRECT("E!$C$" &amp; $BA$8 &amp; ":$DR$" &amp; $BA$9),
_xlpm.col, Z$72+$D81*10,
INDEX(_xlpm.rango,$BA$4-3,_xlpm.col) +
INDEX(_xlpm.rango,$BA$4-2,_xlpm.col) +
INDEX(_xlpm.rango,$BA$4-1,_xlpm.col) +
INDEX(_xlpm.rango,$BA$4, _xlpm.col)
)</f>
        <v/>
      </c>
      <c r="AA82" s="95">
        <f t="array" ref="AA82">_xlfn.LET(
_xlpm.rango, INDIRECT("E!$C$" &amp; $BA$8 &amp; ":$DR$" &amp; $BA$9),
_xlpm.col, AA$72+$D81*10,
INDEX(_xlpm.rango,$BA$4-3,_xlpm.col) +
INDEX(_xlpm.rango,$BA$4-2,_xlpm.col) +
INDEX(_xlpm.rango,$BA$4-1,_xlpm.col) +
INDEX(_xlpm.rango,$BA$4, _xlpm.col)
)</f>
        <v/>
      </c>
      <c r="AB82" s="95">
        <f t="array" ref="AB82">_xlfn.LET(
_xlpm.rango, INDIRECT("E!$C$" &amp; $BA$8 &amp; ":$DR$" &amp; $BA$9),
_xlpm.col, AB$72+$D81*10,
INDEX(_xlpm.rango,$BA$4-3,_xlpm.col) +
INDEX(_xlpm.rango,$BA$4-2,_xlpm.col) +
INDEX(_xlpm.rango,$BA$4-1,_xlpm.col) +
INDEX(_xlpm.rango,$BA$4, _xlpm.col)
)</f>
        <v/>
      </c>
      <c r="AC82" s="95">
        <f t="array" ref="AC82">_xlfn.LET(
_xlpm.rango, INDIRECT("E!$C$" &amp; $BA$8 &amp; ":$DR$" &amp; $BA$9),
_xlpm.col, AC$72+$D81*10,
INDEX(_xlpm.rango,$BA$4-3,_xlpm.col) +
INDEX(_xlpm.rango,$BA$4-2,_xlpm.col) +
INDEX(_xlpm.rango,$BA$4-1,_xlpm.col) +
INDEX(_xlpm.rango,$BA$4, _xlpm.col)
)</f>
        <v/>
      </c>
      <c r="AD82" s="95">
        <f t="array" ref="AD82">_xlfn.LET(
_xlpm.rango, INDIRECT("E!$C$" &amp; $BA$8 &amp; ":$DR$" &amp; $BA$9),
_xlpm.col, AD$72+$D81*10,
INDEX(_xlpm.rango,$BA$4-3,_xlpm.col) +
INDEX(_xlpm.rango,$BA$4-2,_xlpm.col) +
INDEX(_xlpm.rango,$BA$4-1,_xlpm.col) +
INDEX(_xlpm.rango,$BA$4, _xlpm.col)
)</f>
        <v/>
      </c>
      <c r="AE82" s="95">
        <f t="array" ref="AE82">_xlfn.LET(
_xlpm.rango, INDIRECT("E!$C$" &amp; $BA$8 &amp; ":$DR$" &amp; $BA$9),
_xlpm.col, AE$72+$D81*10,
INDEX(_xlpm.rango,$BA$4-3,_xlpm.col) +
INDEX(_xlpm.rango,$BA$4-2,_xlpm.col) +
INDEX(_xlpm.rango,$BA$4-1,_xlpm.col) +
INDEX(_xlpm.rango,$BA$4, _xlpm.col)
)</f>
        <v/>
      </c>
      <c r="AF82" s="95">
        <f t="array" ref="AF82">_xlfn.LET(
_xlpm.rango, INDIRECT("E!$C$" &amp; $BA$8 &amp; ":$DR$" &amp; $BA$9),
_xlpm.col, AF$72+$D81*10,
INDEX(_xlpm.rango,$BA$4-3,_xlpm.col) +
INDEX(_xlpm.rango,$BA$4-2,_xlpm.col) +
INDEX(_xlpm.rango,$BA$4-1,_xlpm.col) +
INDEX(_xlpm.rango,$BA$4, _xlpm.col)
)</f>
        <v/>
      </c>
      <c r="AG82" s="95">
        <f t="array" ref="AG82">_xlfn.LET(
_xlpm.rango, INDIRECT("E!$C$" &amp; $BA$8 &amp; ":$DR$" &amp; $BA$9),
_xlpm.col, AG$72+$D81*10,
INDEX(_xlpm.rango,$BA$4-3,_xlpm.col) +
INDEX(_xlpm.rango,$BA$4-2,_xlpm.col) +
INDEX(_xlpm.rango,$BA$4-1,_xlpm.col) +
INDEX(_xlpm.rango,$BA$4, _xlpm.col)
)</f>
        <v/>
      </c>
      <c r="AH82" s="95">
        <f t="array" ref="AH82">_xlfn.LET(
_xlpm.rango, INDIRECT("E!$C$" &amp; $BA$8 &amp; ":$DR$" &amp; $BA$9),
_xlpm.col, AH$72+$D81*10,
INDEX(_xlpm.rango,$BA$4-3,_xlpm.col) +
INDEX(_xlpm.rango,$BA$4-2,_xlpm.col) +
INDEX(_xlpm.rango,$BA$4-1,_xlpm.col) +
INDEX(_xlpm.rango,$BA$4, _xlpm.col)
)</f>
        <v/>
      </c>
      <c r="AI82" s="96">
        <f t="array" ref="AI82">_xlfn.LET(
_xlpm.rango, INDIRECT("E!$C$" &amp; $BA$8 &amp; ":$DR$" &amp; $BA$9),
_xlpm.col, AI$72+$D81*10,
INDEX(_xlpm.rango,$BA$4-3,_xlpm.col) +
INDEX(_xlpm.rango,$BA$4-2,_xlpm.col) +
INDEX(_xlpm.rango,$BA$4-1,_xlpm.col) +
INDEX(_xlpm.rango,$BA$4, _xlpm.col)
)</f>
        <v/>
      </c>
      <c r="AJ82" s="95">
        <f t="array" ref="AJ82">_xlfn.LET(
_xlpm.rango, INDIRECT("E!$C$" &amp; $BA$8 &amp; ":$DR$" &amp; $BA$9),
_xlpm.col, AJ$72+$D81*10,
INDEX(_xlpm.rango,$BA$4-3,_xlpm.col) +
INDEX(_xlpm.rango,$BA$4-2,_xlpm.col) +
INDEX(_xlpm.rango,$BA$4-1,_xlpm.col) +
INDEX(_xlpm.rango,$BA$4, _xlpm.col)
)</f>
        <v/>
      </c>
      <c r="AK82" s="95">
        <f t="array" ref="AK82">_xlfn.LET(
_xlpm.rango, INDIRECT("E!$C$" &amp; $BA$8 &amp; ":$DR$" &amp; $BA$9),
_xlpm.col, AK$72+$D81*10,
INDEX(_xlpm.rango,$BA$4-3,_xlpm.col) +
INDEX(_xlpm.rango,$BA$4-2,_xlpm.col) +
INDEX(_xlpm.rango,$BA$4-1,_xlpm.col) +
INDEX(_xlpm.rango,$BA$4, _xlpm.col)
)</f>
        <v/>
      </c>
      <c r="AL82" s="95">
        <f t="array" ref="AL82">_xlfn.LET(
_xlpm.rango, INDIRECT("E!$C$" &amp; $BA$8 &amp; ":$DR$" &amp; $BA$9),
_xlpm.col, AL$72+$D81*10,
INDEX(_xlpm.rango,$BA$4-3,_xlpm.col) +
INDEX(_xlpm.rango,$BA$4-2,_xlpm.col) +
INDEX(_xlpm.rango,$BA$4-1,_xlpm.col) +
INDEX(_xlpm.rango,$BA$4, _xlpm.col)
)</f>
        <v/>
      </c>
      <c r="AM82" s="95">
        <f t="array" ref="AM82">_xlfn.LET(
_xlpm.rango, INDIRECT("E!$C$" &amp; $BA$8 &amp; ":$DR$" &amp; $BA$9),
_xlpm.col, AM$72+$D81*10,
INDEX(_xlpm.rango,$BA$4-3,_xlpm.col) +
INDEX(_xlpm.rango,$BA$4-2,_xlpm.col) +
INDEX(_xlpm.rango,$BA$4-1,_xlpm.col) +
INDEX(_xlpm.rango,$BA$4, _xlpm.col)
)</f>
        <v/>
      </c>
      <c r="AN82" s="95">
        <f t="array" ref="AN82">_xlfn.LET(
_xlpm.rango, INDIRECT("E!$C$" &amp; $BA$8 &amp; ":$DR$" &amp; $BA$9),
_xlpm.col, AN$72+$D81*10,
INDEX(_xlpm.rango,$BA$4-3,_xlpm.col) +
INDEX(_xlpm.rango,$BA$4-2,_xlpm.col) +
INDEX(_xlpm.rango,$BA$4-1,_xlpm.col) +
INDEX(_xlpm.rango,$BA$4, _xlpm.col)
)</f>
        <v/>
      </c>
      <c r="AO82" s="95">
        <f t="array" ref="AO82">_xlfn.LET(
_xlpm.rango, INDIRECT("E!$C$" &amp; $BA$8 &amp; ":$DR$" &amp; $BA$9),
_xlpm.col, AO$72+$D81*10,
INDEX(_xlpm.rango,$BA$4-3,_xlpm.col) +
INDEX(_xlpm.rango,$BA$4-2,_xlpm.col) +
INDEX(_xlpm.rango,$BA$4-1,_xlpm.col) +
INDEX(_xlpm.rango,$BA$4, _xlpm.col)
)</f>
        <v/>
      </c>
      <c r="AP82" s="95">
        <f t="array" ref="AP82">_xlfn.LET(
_xlpm.rango, INDIRECT("E!$C$" &amp; $BA$8 &amp; ":$DR$" &amp; $BA$9),
_xlpm.col, AP$72+$D81*10,
INDEX(_xlpm.rango,$BA$4-3,_xlpm.col) +
INDEX(_xlpm.rango,$BA$4-2,_xlpm.col) +
INDEX(_xlpm.rango,$BA$4-1,_xlpm.col) +
INDEX(_xlpm.rango,$BA$4, _xlpm.col)
)</f>
        <v/>
      </c>
      <c r="AQ82" s="95">
        <f t="array" ref="AQ82">_xlfn.LET(
_xlpm.rango, INDIRECT("E!$C$" &amp; $BA$8 &amp; ":$DR$" &amp; $BA$9),
_xlpm.col, AQ$72+$D81*10,
INDEX(_xlpm.rango,$BA$4-3,_xlpm.col) +
INDEX(_xlpm.rango,$BA$4-2,_xlpm.col) +
INDEX(_xlpm.rango,$BA$4-1,_xlpm.col) +
INDEX(_xlpm.rango,$BA$4, _xlpm.col)
)</f>
        <v/>
      </c>
      <c r="AR82" s="95">
        <f t="array" ref="AR82">_xlfn.LET(
_xlpm.rango, INDIRECT("E!$C$" &amp; $BA$8 &amp; ":$DR$" &amp; $BA$9),
_xlpm.col, AR$72+$D81*10,
INDEX(_xlpm.rango,$BA$4-3,_xlpm.col) +
INDEX(_xlpm.rango,$BA$4-2,_xlpm.col) +
INDEX(_xlpm.rango,$BA$4-1,_xlpm.col) +
INDEX(_xlpm.rango,$BA$4, _xlpm.col)
)</f>
        <v/>
      </c>
      <c r="AS82" s="112">
        <f t="array" ref="AS82">_xlfn.LET(
_xlpm.rango, INDIRECT("E!$C$" &amp; $BA$8 &amp; ":$DR$" &amp; $BA$9),
_xlpm.col, AS$72+$D81*10,
INDEX(_xlpm.rango,$BA$4-3,_xlpm.col) +
INDEX(_xlpm.rango,$BA$4-2,_xlpm.col) +
INDEX(_xlpm.rango,$BA$4-1,_xlpm.col) +
INDEX(_xlpm.rango,$BA$4, _xlpm.col)
)</f>
        <v/>
      </c>
      <c r="AT82" s="118">
        <f>SUM(F82:AS82)</f>
        <v/>
      </c>
      <c r="AU82" s="120">
        <f>AT82/$AT$88</f>
        <v/>
      </c>
    </row>
    <row r="83">
      <c r="D83" t="n">
        <v>8</v>
      </c>
      <c r="E83" s="106">
        <f>Inicio!V11</f>
        <v/>
      </c>
      <c r="F83" s="100">
        <f t="array" ref="F83">_xlfn.LET(
_xlpm.rango, INDIRECT("N!$C$" &amp; $BA$8 &amp; ":$DR$" &amp; $BA$9),
_xlpm.col, F$72+$D82*10,
INDEX(_xlpm.rango,$BA$4-3,_xlpm.col) +
INDEX(_xlpm.rango,$BA$4-2,_xlpm.col) +
INDEX(_xlpm.rango,$BA$4-1,_xlpm.col) +
INDEX(_xlpm.rango,$BA$4, _xlpm.col)
)</f>
        <v/>
      </c>
      <c r="G83" s="95">
        <f t="array" ref="G83">_xlfn.LET(
_xlpm.rango, INDIRECT("N!$C$" &amp; $BA$8 &amp; ":$DR$" &amp; $BA$9),
_xlpm.col, G$72+$D82*10,
INDEX(_xlpm.rango,$BA$4-3,_xlpm.col) +
INDEX(_xlpm.rango,$BA$4-2,_xlpm.col) +
INDEX(_xlpm.rango,$BA$4-1,_xlpm.col) +
INDEX(_xlpm.rango,$BA$4, _xlpm.col)
)</f>
        <v/>
      </c>
      <c r="H83" s="95">
        <f t="array" ref="H83">_xlfn.LET(
_xlpm.rango, INDIRECT("N!$C$" &amp; $BA$8 &amp; ":$DR$" &amp; $BA$9),
_xlpm.col, H$72+$D82*10,
INDEX(_xlpm.rango,$BA$4-3,_xlpm.col) +
INDEX(_xlpm.rango,$BA$4-2,_xlpm.col) +
INDEX(_xlpm.rango,$BA$4-1,_xlpm.col) +
INDEX(_xlpm.rango,$BA$4, _xlpm.col)
)</f>
        <v/>
      </c>
      <c r="I83" s="95">
        <f t="array" ref="I83">_xlfn.LET(
_xlpm.rango, INDIRECT("N!$C$" &amp; $BA$8 &amp; ":$DR$" &amp; $BA$9),
_xlpm.col, I$72+$D82*10,
INDEX(_xlpm.rango,$BA$4-3,_xlpm.col) +
INDEX(_xlpm.rango,$BA$4-2,_xlpm.col) +
INDEX(_xlpm.rango,$BA$4-1,_xlpm.col) +
INDEX(_xlpm.rango,$BA$4, _xlpm.col)
)</f>
        <v/>
      </c>
      <c r="J83" s="95">
        <f t="array" ref="J83">_xlfn.LET(
_xlpm.rango, INDIRECT("N!$C$" &amp; $BA$8 &amp; ":$DR$" &amp; $BA$9),
_xlpm.col, J$72+$D82*10,
INDEX(_xlpm.rango,$BA$4-3,_xlpm.col) +
INDEX(_xlpm.rango,$BA$4-2,_xlpm.col) +
INDEX(_xlpm.rango,$BA$4-1,_xlpm.col) +
INDEX(_xlpm.rango,$BA$4, _xlpm.col)
)</f>
        <v/>
      </c>
      <c r="K83" s="95">
        <f t="array" ref="K83">_xlfn.LET(
_xlpm.rango, INDIRECT("N!$C$" &amp; $BA$8 &amp; ":$DR$" &amp; $BA$9),
_xlpm.col, K$72+$D82*10,
INDEX(_xlpm.rango,$BA$4-3,_xlpm.col) +
INDEX(_xlpm.rango,$BA$4-2,_xlpm.col) +
INDEX(_xlpm.rango,$BA$4-1,_xlpm.col) +
INDEX(_xlpm.rango,$BA$4, _xlpm.col)
)</f>
        <v/>
      </c>
      <c r="L83" s="95">
        <f t="array" ref="L83">_xlfn.LET(
_xlpm.rango, INDIRECT("N!$C$" &amp; $BA$8 &amp; ":$DR$" &amp; $BA$9),
_xlpm.col, L$72+$D82*10,
INDEX(_xlpm.rango,$BA$4-3,_xlpm.col) +
INDEX(_xlpm.rango,$BA$4-2,_xlpm.col) +
INDEX(_xlpm.rango,$BA$4-1,_xlpm.col) +
INDEX(_xlpm.rango,$BA$4, _xlpm.col)
)</f>
        <v/>
      </c>
      <c r="M83" s="95">
        <f t="array" ref="M83">_xlfn.LET(
_xlpm.rango, INDIRECT("N!$C$" &amp; $BA$8 &amp; ":$DR$" &amp; $BA$9),
_xlpm.col, M$72+$D82*10,
INDEX(_xlpm.rango,$BA$4-3,_xlpm.col) +
INDEX(_xlpm.rango,$BA$4-2,_xlpm.col) +
INDEX(_xlpm.rango,$BA$4-1,_xlpm.col) +
INDEX(_xlpm.rango,$BA$4, _xlpm.col)
)</f>
        <v/>
      </c>
      <c r="N83" s="95">
        <f t="array" ref="N83">_xlfn.LET(
_xlpm.rango, INDIRECT("N!$C$" &amp; $BA$8 &amp; ":$DR$" &amp; $BA$9),
_xlpm.col, N$72+$D82*10,
INDEX(_xlpm.rango,$BA$4-3,_xlpm.col) +
INDEX(_xlpm.rango,$BA$4-2,_xlpm.col) +
INDEX(_xlpm.rango,$BA$4-1,_xlpm.col) +
INDEX(_xlpm.rango,$BA$4, _xlpm.col)
)</f>
        <v/>
      </c>
      <c r="O83" s="96">
        <f t="array" ref="O83">_xlfn.LET(
_xlpm.rango, INDIRECT("N!$C$" &amp; $BA$8 &amp; ":$DR$" &amp; $BA$9),
_xlpm.col, O$72+$D82*10,
INDEX(_xlpm.rango,$BA$4-3,_xlpm.col) +
INDEX(_xlpm.rango,$BA$4-2,_xlpm.col) +
INDEX(_xlpm.rango,$BA$4-1,_xlpm.col) +
INDEX(_xlpm.rango,$BA$4, _xlpm.col)
)</f>
        <v/>
      </c>
      <c r="P83" s="95">
        <f t="array" ref="P83">_xlfn.LET(
_xlpm.rango, INDIRECT("S!$C$" &amp; $BA$8 &amp; ":$DR$" &amp; $BA$9),
_xlpm.col, P$72+$D82*10,
INDEX(_xlpm.rango,$BA$4-3,_xlpm.col) +
INDEX(_xlpm.rango,$BA$4-2,_xlpm.col) +
INDEX(_xlpm.rango,$BA$4-1,_xlpm.col) +
INDEX(_xlpm.rango,$BA$4, _xlpm.col)
)</f>
        <v/>
      </c>
      <c r="Q83" s="95">
        <f t="array" ref="Q83">_xlfn.LET(
_xlpm.rango, INDIRECT("S!$C$" &amp; $BA$8 &amp; ":$DR$" &amp; $BA$9),
_xlpm.col, Q$72+$D82*10,
INDEX(_xlpm.rango,$BA$4-3,_xlpm.col) +
INDEX(_xlpm.rango,$BA$4-2,_xlpm.col) +
INDEX(_xlpm.rango,$BA$4-1,_xlpm.col) +
INDEX(_xlpm.rango,$BA$4, _xlpm.col)
)</f>
        <v/>
      </c>
      <c r="R83" s="95">
        <f t="array" ref="R83">_xlfn.LET(
_xlpm.rango, INDIRECT("S!$C$" &amp; $BA$8 &amp; ":$DR$" &amp; $BA$9),
_xlpm.col, R$72+$D82*10,
INDEX(_xlpm.rango,$BA$4-3,_xlpm.col) +
INDEX(_xlpm.rango,$BA$4-2,_xlpm.col) +
INDEX(_xlpm.rango,$BA$4-1,_xlpm.col) +
INDEX(_xlpm.rango,$BA$4, _xlpm.col)
)</f>
        <v/>
      </c>
      <c r="S83" s="95">
        <f t="array" ref="S83">_xlfn.LET(
_xlpm.rango, INDIRECT("S!$C$" &amp; $BA$8 &amp; ":$DR$" &amp; $BA$9),
_xlpm.col, S$72+$D82*10,
INDEX(_xlpm.rango,$BA$4-3,_xlpm.col) +
INDEX(_xlpm.rango,$BA$4-2,_xlpm.col) +
INDEX(_xlpm.rango,$BA$4-1,_xlpm.col) +
INDEX(_xlpm.rango,$BA$4, _xlpm.col)
)</f>
        <v/>
      </c>
      <c r="T83" s="95">
        <f t="array" ref="T83">_xlfn.LET(
_xlpm.rango, INDIRECT("S!$C$" &amp; $BA$8 &amp; ":$DR$" &amp; $BA$9),
_xlpm.col, T$72+$D82*10,
INDEX(_xlpm.rango,$BA$4-3,_xlpm.col) +
INDEX(_xlpm.rango,$BA$4-2,_xlpm.col) +
INDEX(_xlpm.rango,$BA$4-1,_xlpm.col) +
INDEX(_xlpm.rango,$BA$4, _xlpm.col)
)</f>
        <v/>
      </c>
      <c r="U83" s="95">
        <f t="array" ref="U83">_xlfn.LET(
_xlpm.rango, INDIRECT("S!$C$" &amp; $BA$8 &amp; ":$DR$" &amp; $BA$9),
_xlpm.col, U$72+$D82*10,
INDEX(_xlpm.rango,$BA$4-3,_xlpm.col) +
INDEX(_xlpm.rango,$BA$4-2,_xlpm.col) +
INDEX(_xlpm.rango,$BA$4-1,_xlpm.col) +
INDEX(_xlpm.rango,$BA$4, _xlpm.col)
)</f>
        <v/>
      </c>
      <c r="V83" s="95">
        <f t="array" ref="V83">_xlfn.LET(
_xlpm.rango, INDIRECT("S!$C$" &amp; $BA$8 &amp; ":$DR$" &amp; $BA$9),
_xlpm.col, V$72+$D82*10,
INDEX(_xlpm.rango,$BA$4-3,_xlpm.col) +
INDEX(_xlpm.rango,$BA$4-2,_xlpm.col) +
INDEX(_xlpm.rango,$BA$4-1,_xlpm.col) +
INDEX(_xlpm.rango,$BA$4, _xlpm.col)
)</f>
        <v/>
      </c>
      <c r="W83" s="95">
        <f t="array" ref="W83">_xlfn.LET(
_xlpm.rango, INDIRECT("S!$C$" &amp; $BA$8 &amp; ":$DR$" &amp; $BA$9),
_xlpm.col, W$72+$D82*10,
INDEX(_xlpm.rango,$BA$4-3,_xlpm.col) +
INDEX(_xlpm.rango,$BA$4-2,_xlpm.col) +
INDEX(_xlpm.rango,$BA$4-1,_xlpm.col) +
INDEX(_xlpm.rango,$BA$4, _xlpm.col)
)</f>
        <v/>
      </c>
      <c r="X83" s="95">
        <f t="array" ref="X83">_xlfn.LET(
_xlpm.rango, INDIRECT("S!$C$" &amp; $BA$8 &amp; ":$DR$" &amp; $BA$9),
_xlpm.col, X$72+$D82*10,
INDEX(_xlpm.rango,$BA$4-3,_xlpm.col) +
INDEX(_xlpm.rango,$BA$4-2,_xlpm.col) +
INDEX(_xlpm.rango,$BA$4-1,_xlpm.col) +
INDEX(_xlpm.rango,$BA$4, _xlpm.col)
)</f>
        <v/>
      </c>
      <c r="Y83" s="95">
        <f t="array" ref="Y83">_xlfn.LET(
_xlpm.rango, INDIRECT("S!$C$" &amp; $BA$8 &amp; ":$DR$" &amp; $BA$9),
_xlpm.col, Y$72+$D82*10,
INDEX(_xlpm.rango,$BA$4-3,_xlpm.col) +
INDEX(_xlpm.rango,$BA$4-2,_xlpm.col) +
INDEX(_xlpm.rango,$BA$4-1,_xlpm.col) +
INDEX(_xlpm.rango,$BA$4, _xlpm.col)
)</f>
        <v/>
      </c>
      <c r="Z83" s="100">
        <f t="array" ref="Z83">_xlfn.LET(
_xlpm.rango, INDIRECT("E!$C$" &amp; $BA$8 &amp; ":$DR$" &amp; $BA$9),
_xlpm.col, Z$72+$D82*10,
INDEX(_xlpm.rango,$BA$4-3,_xlpm.col) +
INDEX(_xlpm.rango,$BA$4-2,_xlpm.col) +
INDEX(_xlpm.rango,$BA$4-1,_xlpm.col) +
INDEX(_xlpm.rango,$BA$4, _xlpm.col)
)</f>
        <v/>
      </c>
      <c r="AA83" s="95">
        <f t="array" ref="AA83">_xlfn.LET(
_xlpm.rango, INDIRECT("E!$C$" &amp; $BA$8 &amp; ":$DR$" &amp; $BA$9),
_xlpm.col, AA$72+$D82*10,
INDEX(_xlpm.rango,$BA$4-3,_xlpm.col) +
INDEX(_xlpm.rango,$BA$4-2,_xlpm.col) +
INDEX(_xlpm.rango,$BA$4-1,_xlpm.col) +
INDEX(_xlpm.rango,$BA$4, _xlpm.col)
)</f>
        <v/>
      </c>
      <c r="AB83" s="95">
        <f t="array" ref="AB83">_xlfn.LET(
_xlpm.rango, INDIRECT("E!$C$" &amp; $BA$8 &amp; ":$DR$" &amp; $BA$9),
_xlpm.col, AB$72+$D82*10,
INDEX(_xlpm.rango,$BA$4-3,_xlpm.col) +
INDEX(_xlpm.rango,$BA$4-2,_xlpm.col) +
INDEX(_xlpm.rango,$BA$4-1,_xlpm.col) +
INDEX(_xlpm.rango,$BA$4, _xlpm.col)
)</f>
        <v/>
      </c>
      <c r="AC83" s="95">
        <f t="array" ref="AC83">_xlfn.LET(
_xlpm.rango, INDIRECT("E!$C$" &amp; $BA$8 &amp; ":$DR$" &amp; $BA$9),
_xlpm.col, AC$72+$D82*10,
INDEX(_xlpm.rango,$BA$4-3,_xlpm.col) +
INDEX(_xlpm.rango,$BA$4-2,_xlpm.col) +
INDEX(_xlpm.rango,$BA$4-1,_xlpm.col) +
INDEX(_xlpm.rango,$BA$4, _xlpm.col)
)</f>
        <v/>
      </c>
      <c r="AD83" s="95">
        <f t="array" ref="AD83">_xlfn.LET(
_xlpm.rango, INDIRECT("E!$C$" &amp; $BA$8 &amp; ":$DR$" &amp; $BA$9),
_xlpm.col, AD$72+$D82*10,
INDEX(_xlpm.rango,$BA$4-3,_xlpm.col) +
INDEX(_xlpm.rango,$BA$4-2,_xlpm.col) +
INDEX(_xlpm.rango,$BA$4-1,_xlpm.col) +
INDEX(_xlpm.rango,$BA$4, _xlpm.col)
)</f>
        <v/>
      </c>
      <c r="AE83" s="95">
        <f t="array" ref="AE83">_xlfn.LET(
_xlpm.rango, INDIRECT("E!$C$" &amp; $BA$8 &amp; ":$DR$" &amp; $BA$9),
_xlpm.col, AE$72+$D82*10,
INDEX(_xlpm.rango,$BA$4-3,_xlpm.col) +
INDEX(_xlpm.rango,$BA$4-2,_xlpm.col) +
INDEX(_xlpm.rango,$BA$4-1,_xlpm.col) +
INDEX(_xlpm.rango,$BA$4, _xlpm.col)
)</f>
        <v/>
      </c>
      <c r="AF83" s="95">
        <f t="array" ref="AF83">_xlfn.LET(
_xlpm.rango, INDIRECT("E!$C$" &amp; $BA$8 &amp; ":$DR$" &amp; $BA$9),
_xlpm.col, AF$72+$D82*10,
INDEX(_xlpm.rango,$BA$4-3,_xlpm.col) +
INDEX(_xlpm.rango,$BA$4-2,_xlpm.col) +
INDEX(_xlpm.rango,$BA$4-1,_xlpm.col) +
INDEX(_xlpm.rango,$BA$4, _xlpm.col)
)</f>
        <v/>
      </c>
      <c r="AG83" s="95">
        <f t="array" ref="AG83">_xlfn.LET(
_xlpm.rango, INDIRECT("E!$C$" &amp; $BA$8 &amp; ":$DR$" &amp; $BA$9),
_xlpm.col, AG$72+$D82*10,
INDEX(_xlpm.rango,$BA$4-3,_xlpm.col) +
INDEX(_xlpm.rango,$BA$4-2,_xlpm.col) +
INDEX(_xlpm.rango,$BA$4-1,_xlpm.col) +
INDEX(_xlpm.rango,$BA$4, _xlpm.col)
)</f>
        <v/>
      </c>
      <c r="AH83" s="95">
        <f t="array" ref="AH83">_xlfn.LET(
_xlpm.rango, INDIRECT("E!$C$" &amp; $BA$8 &amp; ":$DR$" &amp; $BA$9),
_xlpm.col, AH$72+$D82*10,
INDEX(_xlpm.rango,$BA$4-3,_xlpm.col) +
INDEX(_xlpm.rango,$BA$4-2,_xlpm.col) +
INDEX(_xlpm.rango,$BA$4-1,_xlpm.col) +
INDEX(_xlpm.rango,$BA$4, _xlpm.col)
)</f>
        <v/>
      </c>
      <c r="AI83" s="96">
        <f t="array" ref="AI83">_xlfn.LET(
_xlpm.rango, INDIRECT("E!$C$" &amp; $BA$8 &amp; ":$DR$" &amp; $BA$9),
_xlpm.col, AI$72+$D82*10,
INDEX(_xlpm.rango,$BA$4-3,_xlpm.col) +
INDEX(_xlpm.rango,$BA$4-2,_xlpm.col) +
INDEX(_xlpm.rango,$BA$4-1,_xlpm.col) +
INDEX(_xlpm.rango,$BA$4, _xlpm.col)
)</f>
        <v/>
      </c>
      <c r="AJ83" s="95">
        <f t="array" ref="AJ83">_xlfn.LET(
_xlpm.rango, INDIRECT("E!$C$" &amp; $BA$8 &amp; ":$DR$" &amp; $BA$9),
_xlpm.col, AJ$72+$D82*10,
INDEX(_xlpm.rango,$BA$4-3,_xlpm.col) +
INDEX(_xlpm.rango,$BA$4-2,_xlpm.col) +
INDEX(_xlpm.rango,$BA$4-1,_xlpm.col) +
INDEX(_xlpm.rango,$BA$4, _xlpm.col)
)</f>
        <v/>
      </c>
      <c r="AK83" s="95">
        <f t="array" ref="AK83">_xlfn.LET(
_xlpm.rango, INDIRECT("E!$C$" &amp; $BA$8 &amp; ":$DR$" &amp; $BA$9),
_xlpm.col, AK$72+$D82*10,
INDEX(_xlpm.rango,$BA$4-3,_xlpm.col) +
INDEX(_xlpm.rango,$BA$4-2,_xlpm.col) +
INDEX(_xlpm.rango,$BA$4-1,_xlpm.col) +
INDEX(_xlpm.rango,$BA$4, _xlpm.col)
)</f>
        <v/>
      </c>
      <c r="AL83" s="95">
        <f t="array" ref="AL83">_xlfn.LET(
_xlpm.rango, INDIRECT("E!$C$" &amp; $BA$8 &amp; ":$DR$" &amp; $BA$9),
_xlpm.col, AL$72+$D82*10,
INDEX(_xlpm.rango,$BA$4-3,_xlpm.col) +
INDEX(_xlpm.rango,$BA$4-2,_xlpm.col) +
INDEX(_xlpm.rango,$BA$4-1,_xlpm.col) +
INDEX(_xlpm.rango,$BA$4, _xlpm.col)
)</f>
        <v/>
      </c>
      <c r="AM83" s="95">
        <f t="array" ref="AM83">_xlfn.LET(
_xlpm.rango, INDIRECT("E!$C$" &amp; $BA$8 &amp; ":$DR$" &amp; $BA$9),
_xlpm.col, AM$72+$D82*10,
INDEX(_xlpm.rango,$BA$4-3,_xlpm.col) +
INDEX(_xlpm.rango,$BA$4-2,_xlpm.col) +
INDEX(_xlpm.rango,$BA$4-1,_xlpm.col) +
INDEX(_xlpm.rango,$BA$4, _xlpm.col)
)</f>
        <v/>
      </c>
      <c r="AN83" s="95">
        <f t="array" ref="AN83">_xlfn.LET(
_xlpm.rango, INDIRECT("E!$C$" &amp; $BA$8 &amp; ":$DR$" &amp; $BA$9),
_xlpm.col, AN$72+$D82*10,
INDEX(_xlpm.rango,$BA$4-3,_xlpm.col) +
INDEX(_xlpm.rango,$BA$4-2,_xlpm.col) +
INDEX(_xlpm.rango,$BA$4-1,_xlpm.col) +
INDEX(_xlpm.rango,$BA$4, _xlpm.col)
)</f>
        <v/>
      </c>
      <c r="AO83" s="95">
        <f t="array" ref="AO83">_xlfn.LET(
_xlpm.rango, INDIRECT("E!$C$" &amp; $BA$8 &amp; ":$DR$" &amp; $BA$9),
_xlpm.col, AO$72+$D82*10,
INDEX(_xlpm.rango,$BA$4-3,_xlpm.col) +
INDEX(_xlpm.rango,$BA$4-2,_xlpm.col) +
INDEX(_xlpm.rango,$BA$4-1,_xlpm.col) +
INDEX(_xlpm.rango,$BA$4, _xlpm.col)
)</f>
        <v/>
      </c>
      <c r="AP83" s="95">
        <f t="array" ref="AP83">_xlfn.LET(
_xlpm.rango, INDIRECT("E!$C$" &amp; $BA$8 &amp; ":$DR$" &amp; $BA$9),
_xlpm.col, AP$72+$D82*10,
INDEX(_xlpm.rango,$BA$4-3,_xlpm.col) +
INDEX(_xlpm.rango,$BA$4-2,_xlpm.col) +
INDEX(_xlpm.rango,$BA$4-1,_xlpm.col) +
INDEX(_xlpm.rango,$BA$4, _xlpm.col)
)</f>
        <v/>
      </c>
      <c r="AQ83" s="95">
        <f t="array" ref="AQ83">_xlfn.LET(
_xlpm.rango, INDIRECT("E!$C$" &amp; $BA$8 &amp; ":$DR$" &amp; $BA$9),
_xlpm.col, AQ$72+$D82*10,
INDEX(_xlpm.rango,$BA$4-3,_xlpm.col) +
INDEX(_xlpm.rango,$BA$4-2,_xlpm.col) +
INDEX(_xlpm.rango,$BA$4-1,_xlpm.col) +
INDEX(_xlpm.rango,$BA$4, _xlpm.col)
)</f>
        <v/>
      </c>
      <c r="AR83" s="95">
        <f t="array" ref="AR83">_xlfn.LET(
_xlpm.rango, INDIRECT("E!$C$" &amp; $BA$8 &amp; ":$DR$" &amp; $BA$9),
_xlpm.col, AR$72+$D82*10,
INDEX(_xlpm.rango,$BA$4-3,_xlpm.col) +
INDEX(_xlpm.rango,$BA$4-2,_xlpm.col) +
INDEX(_xlpm.rango,$BA$4-1,_xlpm.col) +
INDEX(_xlpm.rango,$BA$4, _xlpm.col)
)</f>
        <v/>
      </c>
      <c r="AS83" s="112">
        <f t="array" ref="AS83">_xlfn.LET(
_xlpm.rango, INDIRECT("E!$C$" &amp; $BA$8 &amp; ":$DR$" &amp; $BA$9),
_xlpm.col, AS$72+$D82*10,
INDEX(_xlpm.rango,$BA$4-3,_xlpm.col) +
INDEX(_xlpm.rango,$BA$4-2,_xlpm.col) +
INDEX(_xlpm.rango,$BA$4-1,_xlpm.col) +
INDEX(_xlpm.rango,$BA$4, _xlpm.col)
)</f>
        <v/>
      </c>
      <c r="AT83" s="118">
        <f>SUM(F83:AS83)</f>
        <v/>
      </c>
      <c r="AU83" s="120">
        <f>AT83/$AT$88</f>
        <v/>
      </c>
    </row>
    <row r="84">
      <c r="D84" t="n">
        <v>9</v>
      </c>
      <c r="E84" s="106">
        <f>Inicio!V12</f>
        <v/>
      </c>
      <c r="F84" s="100">
        <f t="array" ref="F84">_xlfn.LET(
_xlpm.rango, INDIRECT("N!$C$" &amp; $BA$8 &amp; ":$DR$" &amp; $BA$9),
_xlpm.col, F$72+$D83*10,
INDEX(_xlpm.rango,$BA$4-3,_xlpm.col) +
INDEX(_xlpm.rango,$BA$4-2,_xlpm.col) +
INDEX(_xlpm.rango,$BA$4-1,_xlpm.col) +
INDEX(_xlpm.rango,$BA$4, _xlpm.col)
)</f>
        <v/>
      </c>
      <c r="G84" s="95">
        <f t="array" ref="G84">_xlfn.LET(
_xlpm.rango, INDIRECT("N!$C$" &amp; $BA$8 &amp; ":$DR$" &amp; $BA$9),
_xlpm.col, G$72+$D83*10,
INDEX(_xlpm.rango,$BA$4-3,_xlpm.col) +
INDEX(_xlpm.rango,$BA$4-2,_xlpm.col) +
INDEX(_xlpm.rango,$BA$4-1,_xlpm.col) +
INDEX(_xlpm.rango,$BA$4, _xlpm.col)
)</f>
        <v/>
      </c>
      <c r="H84" s="95">
        <f t="array" ref="H84">_xlfn.LET(
_xlpm.rango, INDIRECT("N!$C$" &amp; $BA$8 &amp; ":$DR$" &amp; $BA$9),
_xlpm.col, H$72+$D83*10,
INDEX(_xlpm.rango,$BA$4-3,_xlpm.col) +
INDEX(_xlpm.rango,$BA$4-2,_xlpm.col) +
INDEX(_xlpm.rango,$BA$4-1,_xlpm.col) +
INDEX(_xlpm.rango,$BA$4, _xlpm.col)
)</f>
        <v/>
      </c>
      <c r="I84" s="95">
        <f t="array" ref="I84">_xlfn.LET(
_xlpm.rango, INDIRECT("N!$C$" &amp; $BA$8 &amp; ":$DR$" &amp; $BA$9),
_xlpm.col, I$72+$D83*10,
INDEX(_xlpm.rango,$BA$4-3,_xlpm.col) +
INDEX(_xlpm.rango,$BA$4-2,_xlpm.col) +
INDEX(_xlpm.rango,$BA$4-1,_xlpm.col) +
INDEX(_xlpm.rango,$BA$4, _xlpm.col)
)</f>
        <v/>
      </c>
      <c r="J84" s="95">
        <f t="array" ref="J84">_xlfn.LET(
_xlpm.rango, INDIRECT("N!$C$" &amp; $BA$8 &amp; ":$DR$" &amp; $BA$9),
_xlpm.col, J$72+$D83*10,
INDEX(_xlpm.rango,$BA$4-3,_xlpm.col) +
INDEX(_xlpm.rango,$BA$4-2,_xlpm.col) +
INDEX(_xlpm.rango,$BA$4-1,_xlpm.col) +
INDEX(_xlpm.rango,$BA$4, _xlpm.col)
)</f>
        <v/>
      </c>
      <c r="K84" s="95">
        <f t="array" ref="K84">_xlfn.LET(
_xlpm.rango, INDIRECT("N!$C$" &amp; $BA$8 &amp; ":$DR$" &amp; $BA$9),
_xlpm.col, K$72+$D83*10,
INDEX(_xlpm.rango,$BA$4-3,_xlpm.col) +
INDEX(_xlpm.rango,$BA$4-2,_xlpm.col) +
INDEX(_xlpm.rango,$BA$4-1,_xlpm.col) +
INDEX(_xlpm.rango,$BA$4, _xlpm.col)
)</f>
        <v/>
      </c>
      <c r="L84" s="95">
        <f t="array" ref="L84">_xlfn.LET(
_xlpm.rango, INDIRECT("N!$C$" &amp; $BA$8 &amp; ":$DR$" &amp; $BA$9),
_xlpm.col, L$72+$D83*10,
INDEX(_xlpm.rango,$BA$4-3,_xlpm.col) +
INDEX(_xlpm.rango,$BA$4-2,_xlpm.col) +
INDEX(_xlpm.rango,$BA$4-1,_xlpm.col) +
INDEX(_xlpm.rango,$BA$4, _xlpm.col)
)</f>
        <v/>
      </c>
      <c r="M84" s="95">
        <f t="array" ref="M84">_xlfn.LET(
_xlpm.rango, INDIRECT("N!$C$" &amp; $BA$8 &amp; ":$DR$" &amp; $BA$9),
_xlpm.col, M$72+$D83*10,
INDEX(_xlpm.rango,$BA$4-3,_xlpm.col) +
INDEX(_xlpm.rango,$BA$4-2,_xlpm.col) +
INDEX(_xlpm.rango,$BA$4-1,_xlpm.col) +
INDEX(_xlpm.rango,$BA$4, _xlpm.col)
)</f>
        <v/>
      </c>
      <c r="N84" s="95">
        <f t="array" ref="N84">_xlfn.LET(
_xlpm.rango, INDIRECT("N!$C$" &amp; $BA$8 &amp; ":$DR$" &amp; $BA$9),
_xlpm.col, N$72+$D83*10,
INDEX(_xlpm.rango,$BA$4-3,_xlpm.col) +
INDEX(_xlpm.rango,$BA$4-2,_xlpm.col) +
INDEX(_xlpm.rango,$BA$4-1,_xlpm.col) +
INDEX(_xlpm.rango,$BA$4, _xlpm.col)
)</f>
        <v/>
      </c>
      <c r="O84" s="96">
        <f t="array" ref="O84">_xlfn.LET(
_xlpm.rango, INDIRECT("N!$C$" &amp; $BA$8 &amp; ":$DR$" &amp; $BA$9),
_xlpm.col, O$72+$D83*10,
INDEX(_xlpm.rango,$BA$4-3,_xlpm.col) +
INDEX(_xlpm.rango,$BA$4-2,_xlpm.col) +
INDEX(_xlpm.rango,$BA$4-1,_xlpm.col) +
INDEX(_xlpm.rango,$BA$4, _xlpm.col)
)</f>
        <v/>
      </c>
      <c r="P84" s="95">
        <f t="array" ref="P84">_xlfn.LET(
_xlpm.rango, INDIRECT("S!$C$" &amp; $BA$8 &amp; ":$DR$" &amp; $BA$9),
_xlpm.col, P$72+$D83*10,
INDEX(_xlpm.rango,$BA$4-3,_xlpm.col) +
INDEX(_xlpm.rango,$BA$4-2,_xlpm.col) +
INDEX(_xlpm.rango,$BA$4-1,_xlpm.col) +
INDEX(_xlpm.rango,$BA$4, _xlpm.col)
)</f>
        <v/>
      </c>
      <c r="Q84" s="95">
        <f t="array" ref="Q84">_xlfn.LET(
_xlpm.rango, INDIRECT("S!$C$" &amp; $BA$8 &amp; ":$DR$" &amp; $BA$9),
_xlpm.col, Q$72+$D83*10,
INDEX(_xlpm.rango,$BA$4-3,_xlpm.col) +
INDEX(_xlpm.rango,$BA$4-2,_xlpm.col) +
INDEX(_xlpm.rango,$BA$4-1,_xlpm.col) +
INDEX(_xlpm.rango,$BA$4, _xlpm.col)
)</f>
        <v/>
      </c>
      <c r="R84" s="95">
        <f t="array" ref="R84">_xlfn.LET(
_xlpm.rango, INDIRECT("S!$C$" &amp; $BA$8 &amp; ":$DR$" &amp; $BA$9),
_xlpm.col, R$72+$D83*10,
INDEX(_xlpm.rango,$BA$4-3,_xlpm.col) +
INDEX(_xlpm.rango,$BA$4-2,_xlpm.col) +
INDEX(_xlpm.rango,$BA$4-1,_xlpm.col) +
INDEX(_xlpm.rango,$BA$4, _xlpm.col)
)</f>
        <v/>
      </c>
      <c r="S84" s="95">
        <f t="array" ref="S84">_xlfn.LET(
_xlpm.rango, INDIRECT("S!$C$" &amp; $BA$8 &amp; ":$DR$" &amp; $BA$9),
_xlpm.col, S$72+$D83*10,
INDEX(_xlpm.rango,$BA$4-3,_xlpm.col) +
INDEX(_xlpm.rango,$BA$4-2,_xlpm.col) +
INDEX(_xlpm.rango,$BA$4-1,_xlpm.col) +
INDEX(_xlpm.rango,$BA$4, _xlpm.col)
)</f>
        <v/>
      </c>
      <c r="T84" s="95">
        <f t="array" ref="T84">_xlfn.LET(
_xlpm.rango, INDIRECT("S!$C$" &amp; $BA$8 &amp; ":$DR$" &amp; $BA$9),
_xlpm.col, T$72+$D83*10,
INDEX(_xlpm.rango,$BA$4-3,_xlpm.col) +
INDEX(_xlpm.rango,$BA$4-2,_xlpm.col) +
INDEX(_xlpm.rango,$BA$4-1,_xlpm.col) +
INDEX(_xlpm.rango,$BA$4, _xlpm.col)
)</f>
        <v/>
      </c>
      <c r="U84" s="95">
        <f t="array" ref="U84">_xlfn.LET(
_xlpm.rango, INDIRECT("S!$C$" &amp; $BA$8 &amp; ":$DR$" &amp; $BA$9),
_xlpm.col, U$72+$D83*10,
INDEX(_xlpm.rango,$BA$4-3,_xlpm.col) +
INDEX(_xlpm.rango,$BA$4-2,_xlpm.col) +
INDEX(_xlpm.rango,$BA$4-1,_xlpm.col) +
INDEX(_xlpm.rango,$BA$4, _xlpm.col)
)</f>
        <v/>
      </c>
      <c r="V84" s="95">
        <f t="array" ref="V84">_xlfn.LET(
_xlpm.rango, INDIRECT("S!$C$" &amp; $BA$8 &amp; ":$DR$" &amp; $BA$9),
_xlpm.col, V$72+$D83*10,
INDEX(_xlpm.rango,$BA$4-3,_xlpm.col) +
INDEX(_xlpm.rango,$BA$4-2,_xlpm.col) +
INDEX(_xlpm.rango,$BA$4-1,_xlpm.col) +
INDEX(_xlpm.rango,$BA$4, _xlpm.col)
)</f>
        <v/>
      </c>
      <c r="W84" s="95">
        <f t="array" ref="W84">_xlfn.LET(
_xlpm.rango, INDIRECT("S!$C$" &amp; $BA$8 &amp; ":$DR$" &amp; $BA$9),
_xlpm.col, W$72+$D83*10,
INDEX(_xlpm.rango,$BA$4-3,_xlpm.col) +
INDEX(_xlpm.rango,$BA$4-2,_xlpm.col) +
INDEX(_xlpm.rango,$BA$4-1,_xlpm.col) +
INDEX(_xlpm.rango,$BA$4, _xlpm.col)
)</f>
        <v/>
      </c>
      <c r="X84" s="95">
        <f t="array" ref="X84">_xlfn.LET(
_xlpm.rango, INDIRECT("S!$C$" &amp; $BA$8 &amp; ":$DR$" &amp; $BA$9),
_xlpm.col, X$72+$D83*10,
INDEX(_xlpm.rango,$BA$4-3,_xlpm.col) +
INDEX(_xlpm.rango,$BA$4-2,_xlpm.col) +
INDEX(_xlpm.rango,$BA$4-1,_xlpm.col) +
INDEX(_xlpm.rango,$BA$4, _xlpm.col)
)</f>
        <v/>
      </c>
      <c r="Y84" s="95">
        <f t="array" ref="Y84">_xlfn.LET(
_xlpm.rango, INDIRECT("S!$C$" &amp; $BA$8 &amp; ":$DR$" &amp; $BA$9),
_xlpm.col, Y$72+$D83*10,
INDEX(_xlpm.rango,$BA$4-3,_xlpm.col) +
INDEX(_xlpm.rango,$BA$4-2,_xlpm.col) +
INDEX(_xlpm.rango,$BA$4-1,_xlpm.col) +
INDEX(_xlpm.rango,$BA$4, _xlpm.col)
)</f>
        <v/>
      </c>
      <c r="Z84" s="100">
        <f t="array" ref="Z84">_xlfn.LET(
_xlpm.rango, INDIRECT("E!$C$" &amp; $BA$8 &amp; ":$DR$" &amp; $BA$9),
_xlpm.col, Z$72+$D83*10,
INDEX(_xlpm.rango,$BA$4-3,_xlpm.col) +
INDEX(_xlpm.rango,$BA$4-2,_xlpm.col) +
INDEX(_xlpm.rango,$BA$4-1,_xlpm.col) +
INDEX(_xlpm.rango,$BA$4, _xlpm.col)
)</f>
        <v/>
      </c>
      <c r="AA84" s="95">
        <f t="array" ref="AA84">_xlfn.LET(
_xlpm.rango, INDIRECT("E!$C$" &amp; $BA$8 &amp; ":$DR$" &amp; $BA$9),
_xlpm.col, AA$72+$D83*10,
INDEX(_xlpm.rango,$BA$4-3,_xlpm.col) +
INDEX(_xlpm.rango,$BA$4-2,_xlpm.col) +
INDEX(_xlpm.rango,$BA$4-1,_xlpm.col) +
INDEX(_xlpm.rango,$BA$4, _xlpm.col)
)</f>
        <v/>
      </c>
      <c r="AB84" s="95">
        <f t="array" ref="AB84">_xlfn.LET(
_xlpm.rango, INDIRECT("E!$C$" &amp; $BA$8 &amp; ":$DR$" &amp; $BA$9),
_xlpm.col, AB$72+$D83*10,
INDEX(_xlpm.rango,$BA$4-3,_xlpm.col) +
INDEX(_xlpm.rango,$BA$4-2,_xlpm.col) +
INDEX(_xlpm.rango,$BA$4-1,_xlpm.col) +
INDEX(_xlpm.rango,$BA$4, _xlpm.col)
)</f>
        <v/>
      </c>
      <c r="AC84" s="95">
        <f t="array" ref="AC84">_xlfn.LET(
_xlpm.rango, INDIRECT("E!$C$" &amp; $BA$8 &amp; ":$DR$" &amp; $BA$9),
_xlpm.col, AC$72+$D83*10,
INDEX(_xlpm.rango,$BA$4-3,_xlpm.col) +
INDEX(_xlpm.rango,$BA$4-2,_xlpm.col) +
INDEX(_xlpm.rango,$BA$4-1,_xlpm.col) +
INDEX(_xlpm.rango,$BA$4, _xlpm.col)
)</f>
        <v/>
      </c>
      <c r="AD84" s="95">
        <f t="array" ref="AD84">_xlfn.LET(
_xlpm.rango, INDIRECT("E!$C$" &amp; $BA$8 &amp; ":$DR$" &amp; $BA$9),
_xlpm.col, AD$72+$D83*10,
INDEX(_xlpm.rango,$BA$4-3,_xlpm.col) +
INDEX(_xlpm.rango,$BA$4-2,_xlpm.col) +
INDEX(_xlpm.rango,$BA$4-1,_xlpm.col) +
INDEX(_xlpm.rango,$BA$4, _xlpm.col)
)</f>
        <v/>
      </c>
      <c r="AE84" s="95">
        <f t="array" ref="AE84">_xlfn.LET(
_xlpm.rango, INDIRECT("E!$C$" &amp; $BA$8 &amp; ":$DR$" &amp; $BA$9),
_xlpm.col, AE$72+$D83*10,
INDEX(_xlpm.rango,$BA$4-3,_xlpm.col) +
INDEX(_xlpm.rango,$BA$4-2,_xlpm.col) +
INDEX(_xlpm.rango,$BA$4-1,_xlpm.col) +
INDEX(_xlpm.rango,$BA$4, _xlpm.col)
)</f>
        <v/>
      </c>
      <c r="AF84" s="95">
        <f t="array" ref="AF84">_xlfn.LET(
_xlpm.rango, INDIRECT("E!$C$" &amp; $BA$8 &amp; ":$DR$" &amp; $BA$9),
_xlpm.col, AF$72+$D83*10,
INDEX(_xlpm.rango,$BA$4-3,_xlpm.col) +
INDEX(_xlpm.rango,$BA$4-2,_xlpm.col) +
INDEX(_xlpm.rango,$BA$4-1,_xlpm.col) +
INDEX(_xlpm.rango,$BA$4, _xlpm.col)
)</f>
        <v/>
      </c>
      <c r="AG84" s="95">
        <f t="array" ref="AG84">_xlfn.LET(
_xlpm.rango, INDIRECT("E!$C$" &amp; $BA$8 &amp; ":$DR$" &amp; $BA$9),
_xlpm.col, AG$72+$D83*10,
INDEX(_xlpm.rango,$BA$4-3,_xlpm.col) +
INDEX(_xlpm.rango,$BA$4-2,_xlpm.col) +
INDEX(_xlpm.rango,$BA$4-1,_xlpm.col) +
INDEX(_xlpm.rango,$BA$4, _xlpm.col)
)</f>
        <v/>
      </c>
      <c r="AH84" s="95">
        <f t="array" ref="AH84">_xlfn.LET(
_xlpm.rango, INDIRECT("E!$C$" &amp; $BA$8 &amp; ":$DR$" &amp; $BA$9),
_xlpm.col, AH$72+$D83*10,
INDEX(_xlpm.rango,$BA$4-3,_xlpm.col) +
INDEX(_xlpm.rango,$BA$4-2,_xlpm.col) +
INDEX(_xlpm.rango,$BA$4-1,_xlpm.col) +
INDEX(_xlpm.rango,$BA$4, _xlpm.col)
)</f>
        <v/>
      </c>
      <c r="AI84" s="96">
        <f t="array" ref="AI84">_xlfn.LET(
_xlpm.rango, INDIRECT("E!$C$" &amp; $BA$8 &amp; ":$DR$" &amp; $BA$9),
_xlpm.col, AI$72+$D83*10,
INDEX(_xlpm.rango,$BA$4-3,_xlpm.col) +
INDEX(_xlpm.rango,$BA$4-2,_xlpm.col) +
INDEX(_xlpm.rango,$BA$4-1,_xlpm.col) +
INDEX(_xlpm.rango,$BA$4, _xlpm.col)
)</f>
        <v/>
      </c>
      <c r="AJ84" s="95">
        <f t="array" ref="AJ84">_xlfn.LET(
_xlpm.rango, INDIRECT("E!$C$" &amp; $BA$8 &amp; ":$DR$" &amp; $BA$9),
_xlpm.col, AJ$72+$D83*10,
INDEX(_xlpm.rango,$BA$4-3,_xlpm.col) +
INDEX(_xlpm.rango,$BA$4-2,_xlpm.col) +
INDEX(_xlpm.rango,$BA$4-1,_xlpm.col) +
INDEX(_xlpm.rango,$BA$4, _xlpm.col)
)</f>
        <v/>
      </c>
      <c r="AK84" s="95">
        <f t="array" ref="AK84">_xlfn.LET(
_xlpm.rango, INDIRECT("E!$C$" &amp; $BA$8 &amp; ":$DR$" &amp; $BA$9),
_xlpm.col, AK$72+$D83*10,
INDEX(_xlpm.rango,$BA$4-3,_xlpm.col) +
INDEX(_xlpm.rango,$BA$4-2,_xlpm.col) +
INDEX(_xlpm.rango,$BA$4-1,_xlpm.col) +
INDEX(_xlpm.rango,$BA$4, _xlpm.col)
)</f>
        <v/>
      </c>
      <c r="AL84" s="95">
        <f t="array" ref="AL84">_xlfn.LET(
_xlpm.rango, INDIRECT("E!$C$" &amp; $BA$8 &amp; ":$DR$" &amp; $BA$9),
_xlpm.col, AL$72+$D83*10,
INDEX(_xlpm.rango,$BA$4-3,_xlpm.col) +
INDEX(_xlpm.rango,$BA$4-2,_xlpm.col) +
INDEX(_xlpm.rango,$BA$4-1,_xlpm.col) +
INDEX(_xlpm.rango,$BA$4, _xlpm.col)
)</f>
        <v/>
      </c>
      <c r="AM84" s="95">
        <f t="array" ref="AM84">_xlfn.LET(
_xlpm.rango, INDIRECT("E!$C$" &amp; $BA$8 &amp; ":$DR$" &amp; $BA$9),
_xlpm.col, AM$72+$D83*10,
INDEX(_xlpm.rango,$BA$4-3,_xlpm.col) +
INDEX(_xlpm.rango,$BA$4-2,_xlpm.col) +
INDEX(_xlpm.rango,$BA$4-1,_xlpm.col) +
INDEX(_xlpm.rango,$BA$4, _xlpm.col)
)</f>
        <v/>
      </c>
      <c r="AN84" s="95">
        <f t="array" ref="AN84">_xlfn.LET(
_xlpm.rango, INDIRECT("E!$C$" &amp; $BA$8 &amp; ":$DR$" &amp; $BA$9),
_xlpm.col, AN$72+$D83*10,
INDEX(_xlpm.rango,$BA$4-3,_xlpm.col) +
INDEX(_xlpm.rango,$BA$4-2,_xlpm.col) +
INDEX(_xlpm.rango,$BA$4-1,_xlpm.col) +
INDEX(_xlpm.rango,$BA$4, _xlpm.col)
)</f>
        <v/>
      </c>
      <c r="AO84" s="95">
        <f t="array" ref="AO84">_xlfn.LET(
_xlpm.rango, INDIRECT("E!$C$" &amp; $BA$8 &amp; ":$DR$" &amp; $BA$9),
_xlpm.col, AO$72+$D83*10,
INDEX(_xlpm.rango,$BA$4-3,_xlpm.col) +
INDEX(_xlpm.rango,$BA$4-2,_xlpm.col) +
INDEX(_xlpm.rango,$BA$4-1,_xlpm.col) +
INDEX(_xlpm.rango,$BA$4, _xlpm.col)
)</f>
        <v/>
      </c>
      <c r="AP84" s="95">
        <f t="array" ref="AP84">_xlfn.LET(
_xlpm.rango, INDIRECT("E!$C$" &amp; $BA$8 &amp; ":$DR$" &amp; $BA$9),
_xlpm.col, AP$72+$D83*10,
INDEX(_xlpm.rango,$BA$4-3,_xlpm.col) +
INDEX(_xlpm.rango,$BA$4-2,_xlpm.col) +
INDEX(_xlpm.rango,$BA$4-1,_xlpm.col) +
INDEX(_xlpm.rango,$BA$4, _xlpm.col)
)</f>
        <v/>
      </c>
      <c r="AQ84" s="95">
        <f t="array" ref="AQ84">_xlfn.LET(
_xlpm.rango, INDIRECT("E!$C$" &amp; $BA$8 &amp; ":$DR$" &amp; $BA$9),
_xlpm.col, AQ$72+$D83*10,
INDEX(_xlpm.rango,$BA$4-3,_xlpm.col) +
INDEX(_xlpm.rango,$BA$4-2,_xlpm.col) +
INDEX(_xlpm.rango,$BA$4-1,_xlpm.col) +
INDEX(_xlpm.rango,$BA$4, _xlpm.col)
)</f>
        <v/>
      </c>
      <c r="AR84" s="95">
        <f t="array" ref="AR84">_xlfn.LET(
_xlpm.rango, INDIRECT("E!$C$" &amp; $BA$8 &amp; ":$DR$" &amp; $BA$9),
_xlpm.col, AR$72+$D83*10,
INDEX(_xlpm.rango,$BA$4-3,_xlpm.col) +
INDEX(_xlpm.rango,$BA$4-2,_xlpm.col) +
INDEX(_xlpm.rango,$BA$4-1,_xlpm.col) +
INDEX(_xlpm.rango,$BA$4, _xlpm.col)
)</f>
        <v/>
      </c>
      <c r="AS84" s="112">
        <f t="array" ref="AS84">_xlfn.LET(
_xlpm.rango, INDIRECT("E!$C$" &amp; $BA$8 &amp; ":$DR$" &amp; $BA$9),
_xlpm.col, AS$72+$D83*10,
INDEX(_xlpm.rango,$BA$4-3,_xlpm.col) +
INDEX(_xlpm.rango,$BA$4-2,_xlpm.col) +
INDEX(_xlpm.rango,$BA$4-1,_xlpm.col) +
INDEX(_xlpm.rango,$BA$4, _xlpm.col)
)</f>
        <v/>
      </c>
      <c r="AT84" s="118">
        <f>SUM(F84:AS84)</f>
        <v/>
      </c>
      <c r="AU84" s="120">
        <f>AT84/$AT$88</f>
        <v/>
      </c>
    </row>
    <row r="85">
      <c r="D85" t="n">
        <v>10</v>
      </c>
      <c r="E85" s="106">
        <f>Inicio!V13</f>
        <v/>
      </c>
      <c r="F85" s="100">
        <f t="array" ref="F85">_xlfn.LET(
_xlpm.rango, INDIRECT("N!$C$" &amp; $BA$8 &amp; ":$DR$" &amp; $BA$9),
_xlpm.col, F$72+$D84*10,
INDEX(_xlpm.rango,$BA$4-3,_xlpm.col) +
INDEX(_xlpm.rango,$BA$4-2,_xlpm.col) +
INDEX(_xlpm.rango,$BA$4-1,_xlpm.col) +
INDEX(_xlpm.rango,$BA$4, _xlpm.col)
)</f>
        <v/>
      </c>
      <c r="G85" s="95">
        <f t="array" ref="G85">_xlfn.LET(
_xlpm.rango, INDIRECT("N!$C$" &amp; $BA$8 &amp; ":$DR$" &amp; $BA$9),
_xlpm.col, G$72+$D84*10,
INDEX(_xlpm.rango,$BA$4-3,_xlpm.col) +
INDEX(_xlpm.rango,$BA$4-2,_xlpm.col) +
INDEX(_xlpm.rango,$BA$4-1,_xlpm.col) +
INDEX(_xlpm.rango,$BA$4, _xlpm.col)
)</f>
        <v/>
      </c>
      <c r="H85" s="95">
        <f t="array" ref="H85">_xlfn.LET(
_xlpm.rango, INDIRECT("N!$C$" &amp; $BA$8 &amp; ":$DR$" &amp; $BA$9),
_xlpm.col, H$72+$D84*10,
INDEX(_xlpm.rango,$BA$4-3,_xlpm.col) +
INDEX(_xlpm.rango,$BA$4-2,_xlpm.col) +
INDEX(_xlpm.rango,$BA$4-1,_xlpm.col) +
INDEX(_xlpm.rango,$BA$4, _xlpm.col)
)</f>
        <v/>
      </c>
      <c r="I85" s="95">
        <f t="array" ref="I85">_xlfn.LET(
_xlpm.rango, INDIRECT("N!$C$" &amp; $BA$8 &amp; ":$DR$" &amp; $BA$9),
_xlpm.col, I$72+$D84*10,
INDEX(_xlpm.rango,$BA$4-3,_xlpm.col) +
INDEX(_xlpm.rango,$BA$4-2,_xlpm.col) +
INDEX(_xlpm.rango,$BA$4-1,_xlpm.col) +
INDEX(_xlpm.rango,$BA$4, _xlpm.col)
)</f>
        <v/>
      </c>
      <c r="J85" s="95">
        <f t="array" ref="J85">_xlfn.LET(
_xlpm.rango, INDIRECT("N!$C$" &amp; $BA$8 &amp; ":$DR$" &amp; $BA$9),
_xlpm.col, J$72+$D84*10,
INDEX(_xlpm.rango,$BA$4-3,_xlpm.col) +
INDEX(_xlpm.rango,$BA$4-2,_xlpm.col) +
INDEX(_xlpm.rango,$BA$4-1,_xlpm.col) +
INDEX(_xlpm.rango,$BA$4, _xlpm.col)
)</f>
        <v/>
      </c>
      <c r="K85" s="95">
        <f t="array" ref="K85">_xlfn.LET(
_xlpm.rango, INDIRECT("N!$C$" &amp; $BA$8 &amp; ":$DR$" &amp; $BA$9),
_xlpm.col, K$72+$D84*10,
INDEX(_xlpm.rango,$BA$4-3,_xlpm.col) +
INDEX(_xlpm.rango,$BA$4-2,_xlpm.col) +
INDEX(_xlpm.rango,$BA$4-1,_xlpm.col) +
INDEX(_xlpm.rango,$BA$4, _xlpm.col)
)</f>
        <v/>
      </c>
      <c r="L85" s="95">
        <f t="array" ref="L85">_xlfn.LET(
_xlpm.rango, INDIRECT("N!$C$" &amp; $BA$8 &amp; ":$DR$" &amp; $BA$9),
_xlpm.col, L$72+$D84*10,
INDEX(_xlpm.rango,$BA$4-3,_xlpm.col) +
INDEX(_xlpm.rango,$BA$4-2,_xlpm.col) +
INDEX(_xlpm.rango,$BA$4-1,_xlpm.col) +
INDEX(_xlpm.rango,$BA$4, _xlpm.col)
)</f>
        <v/>
      </c>
      <c r="M85" s="95">
        <f t="array" ref="M85">_xlfn.LET(
_xlpm.rango, INDIRECT("N!$C$" &amp; $BA$8 &amp; ":$DR$" &amp; $BA$9),
_xlpm.col, M$72+$D84*10,
INDEX(_xlpm.rango,$BA$4-3,_xlpm.col) +
INDEX(_xlpm.rango,$BA$4-2,_xlpm.col) +
INDEX(_xlpm.rango,$BA$4-1,_xlpm.col) +
INDEX(_xlpm.rango,$BA$4, _xlpm.col)
)</f>
        <v/>
      </c>
      <c r="N85" s="95">
        <f t="array" ref="N85">_xlfn.LET(
_xlpm.rango, INDIRECT("N!$C$" &amp; $BA$8 &amp; ":$DR$" &amp; $BA$9),
_xlpm.col, N$72+$D84*10,
INDEX(_xlpm.rango,$BA$4-3,_xlpm.col) +
INDEX(_xlpm.rango,$BA$4-2,_xlpm.col) +
INDEX(_xlpm.rango,$BA$4-1,_xlpm.col) +
INDEX(_xlpm.rango,$BA$4, _xlpm.col)
)</f>
        <v/>
      </c>
      <c r="O85" s="96">
        <f t="array" ref="O85">_xlfn.LET(
_xlpm.rango, INDIRECT("N!$C$" &amp; $BA$8 &amp; ":$DR$" &amp; $BA$9),
_xlpm.col, O$72+$D84*10,
INDEX(_xlpm.rango,$BA$4-3,_xlpm.col) +
INDEX(_xlpm.rango,$BA$4-2,_xlpm.col) +
INDEX(_xlpm.rango,$BA$4-1,_xlpm.col) +
INDEX(_xlpm.rango,$BA$4, _xlpm.col)
)</f>
        <v/>
      </c>
      <c r="P85" s="95">
        <f t="array" ref="P85">_xlfn.LET(
_xlpm.rango, INDIRECT("S!$C$" &amp; $BA$8 &amp; ":$DR$" &amp; $BA$9),
_xlpm.col, P$72+$D84*10,
INDEX(_xlpm.rango,$BA$4-3,_xlpm.col) +
INDEX(_xlpm.rango,$BA$4-2,_xlpm.col) +
INDEX(_xlpm.rango,$BA$4-1,_xlpm.col) +
INDEX(_xlpm.rango,$BA$4, _xlpm.col)
)</f>
        <v/>
      </c>
      <c r="Q85" s="95">
        <f t="array" ref="Q85">_xlfn.LET(
_xlpm.rango, INDIRECT("S!$C$" &amp; $BA$8 &amp; ":$DR$" &amp; $BA$9),
_xlpm.col, Q$72+$D84*10,
INDEX(_xlpm.rango,$BA$4-3,_xlpm.col) +
INDEX(_xlpm.rango,$BA$4-2,_xlpm.col) +
INDEX(_xlpm.rango,$BA$4-1,_xlpm.col) +
INDEX(_xlpm.rango,$BA$4, _xlpm.col)
)</f>
        <v/>
      </c>
      <c r="R85" s="95">
        <f t="array" ref="R85">_xlfn.LET(
_xlpm.rango, INDIRECT("S!$C$" &amp; $BA$8 &amp; ":$DR$" &amp; $BA$9),
_xlpm.col, R$72+$D84*10,
INDEX(_xlpm.rango,$BA$4-3,_xlpm.col) +
INDEX(_xlpm.rango,$BA$4-2,_xlpm.col) +
INDEX(_xlpm.rango,$BA$4-1,_xlpm.col) +
INDEX(_xlpm.rango,$BA$4, _xlpm.col)
)</f>
        <v/>
      </c>
      <c r="S85" s="95">
        <f t="array" ref="S85">_xlfn.LET(
_xlpm.rango, INDIRECT("S!$C$" &amp; $BA$8 &amp; ":$DR$" &amp; $BA$9),
_xlpm.col, S$72+$D84*10,
INDEX(_xlpm.rango,$BA$4-3,_xlpm.col) +
INDEX(_xlpm.rango,$BA$4-2,_xlpm.col) +
INDEX(_xlpm.rango,$BA$4-1,_xlpm.col) +
INDEX(_xlpm.rango,$BA$4, _xlpm.col)
)</f>
        <v/>
      </c>
      <c r="T85" s="95">
        <f t="array" ref="T85">_xlfn.LET(
_xlpm.rango, INDIRECT("S!$C$" &amp; $BA$8 &amp; ":$DR$" &amp; $BA$9),
_xlpm.col, T$72+$D84*10,
INDEX(_xlpm.rango,$BA$4-3,_xlpm.col) +
INDEX(_xlpm.rango,$BA$4-2,_xlpm.col) +
INDEX(_xlpm.rango,$BA$4-1,_xlpm.col) +
INDEX(_xlpm.rango,$BA$4, _xlpm.col)
)</f>
        <v/>
      </c>
      <c r="U85" s="95">
        <f t="array" ref="U85">_xlfn.LET(
_xlpm.rango, INDIRECT("S!$C$" &amp; $BA$8 &amp; ":$DR$" &amp; $BA$9),
_xlpm.col, U$72+$D84*10,
INDEX(_xlpm.rango,$BA$4-3,_xlpm.col) +
INDEX(_xlpm.rango,$BA$4-2,_xlpm.col) +
INDEX(_xlpm.rango,$BA$4-1,_xlpm.col) +
INDEX(_xlpm.rango,$BA$4, _xlpm.col)
)</f>
        <v/>
      </c>
      <c r="V85" s="95">
        <f t="array" ref="V85">_xlfn.LET(
_xlpm.rango, INDIRECT("S!$C$" &amp; $BA$8 &amp; ":$DR$" &amp; $BA$9),
_xlpm.col, V$72+$D84*10,
INDEX(_xlpm.rango,$BA$4-3,_xlpm.col) +
INDEX(_xlpm.rango,$BA$4-2,_xlpm.col) +
INDEX(_xlpm.rango,$BA$4-1,_xlpm.col) +
INDEX(_xlpm.rango,$BA$4, _xlpm.col)
)</f>
        <v/>
      </c>
      <c r="W85" s="95">
        <f t="array" ref="W85">_xlfn.LET(
_xlpm.rango, INDIRECT("S!$C$" &amp; $BA$8 &amp; ":$DR$" &amp; $BA$9),
_xlpm.col, W$72+$D84*10,
INDEX(_xlpm.rango,$BA$4-3,_xlpm.col) +
INDEX(_xlpm.rango,$BA$4-2,_xlpm.col) +
INDEX(_xlpm.rango,$BA$4-1,_xlpm.col) +
INDEX(_xlpm.rango,$BA$4, _xlpm.col)
)</f>
        <v/>
      </c>
      <c r="X85" s="95">
        <f t="array" ref="X85">_xlfn.LET(
_xlpm.rango, INDIRECT("S!$C$" &amp; $BA$8 &amp; ":$DR$" &amp; $BA$9),
_xlpm.col, X$72+$D84*10,
INDEX(_xlpm.rango,$BA$4-3,_xlpm.col) +
INDEX(_xlpm.rango,$BA$4-2,_xlpm.col) +
INDEX(_xlpm.rango,$BA$4-1,_xlpm.col) +
INDEX(_xlpm.rango,$BA$4, _xlpm.col)
)</f>
        <v/>
      </c>
      <c r="Y85" s="95">
        <f t="array" ref="Y85">_xlfn.LET(
_xlpm.rango, INDIRECT("S!$C$" &amp; $BA$8 &amp; ":$DR$" &amp; $BA$9),
_xlpm.col, Y$72+$D84*10,
INDEX(_xlpm.rango,$BA$4-3,_xlpm.col) +
INDEX(_xlpm.rango,$BA$4-2,_xlpm.col) +
INDEX(_xlpm.rango,$BA$4-1,_xlpm.col) +
INDEX(_xlpm.rango,$BA$4, _xlpm.col)
)</f>
        <v/>
      </c>
      <c r="Z85" s="100">
        <f t="array" ref="Z85">_xlfn.LET(
_xlpm.rango, INDIRECT("E!$C$" &amp; $BA$8 &amp; ":$DR$" &amp; $BA$9),
_xlpm.col, Z$72+$D84*10,
INDEX(_xlpm.rango,$BA$4-3,_xlpm.col) +
INDEX(_xlpm.rango,$BA$4-2,_xlpm.col) +
INDEX(_xlpm.rango,$BA$4-1,_xlpm.col) +
INDEX(_xlpm.rango,$BA$4, _xlpm.col)
)</f>
        <v/>
      </c>
      <c r="AA85" s="95">
        <f t="array" ref="AA85">_xlfn.LET(
_xlpm.rango, INDIRECT("E!$C$" &amp; $BA$8 &amp; ":$DR$" &amp; $BA$9),
_xlpm.col, AA$72+$D84*10,
INDEX(_xlpm.rango,$BA$4-3,_xlpm.col) +
INDEX(_xlpm.rango,$BA$4-2,_xlpm.col) +
INDEX(_xlpm.rango,$BA$4-1,_xlpm.col) +
INDEX(_xlpm.rango,$BA$4, _xlpm.col)
)</f>
        <v/>
      </c>
      <c r="AB85" s="95">
        <f t="array" ref="AB85">_xlfn.LET(
_xlpm.rango, INDIRECT("E!$C$" &amp; $BA$8 &amp; ":$DR$" &amp; $BA$9),
_xlpm.col, AB$72+$D84*10,
INDEX(_xlpm.rango,$BA$4-3,_xlpm.col) +
INDEX(_xlpm.rango,$BA$4-2,_xlpm.col) +
INDEX(_xlpm.rango,$BA$4-1,_xlpm.col) +
INDEX(_xlpm.rango,$BA$4, _xlpm.col)
)</f>
        <v/>
      </c>
      <c r="AC85" s="95">
        <f t="array" ref="AC85">_xlfn.LET(
_xlpm.rango, INDIRECT("E!$C$" &amp; $BA$8 &amp; ":$DR$" &amp; $BA$9),
_xlpm.col, AC$72+$D84*10,
INDEX(_xlpm.rango,$BA$4-3,_xlpm.col) +
INDEX(_xlpm.rango,$BA$4-2,_xlpm.col) +
INDEX(_xlpm.rango,$BA$4-1,_xlpm.col) +
INDEX(_xlpm.rango,$BA$4, _xlpm.col)
)</f>
        <v/>
      </c>
      <c r="AD85" s="95">
        <f t="array" ref="AD85">_xlfn.LET(
_xlpm.rango, INDIRECT("E!$C$" &amp; $BA$8 &amp; ":$DR$" &amp; $BA$9),
_xlpm.col, AD$72+$D84*10,
INDEX(_xlpm.rango,$BA$4-3,_xlpm.col) +
INDEX(_xlpm.rango,$BA$4-2,_xlpm.col) +
INDEX(_xlpm.rango,$BA$4-1,_xlpm.col) +
INDEX(_xlpm.rango,$BA$4, _xlpm.col)
)</f>
        <v/>
      </c>
      <c r="AE85" s="95">
        <f t="array" ref="AE85">_xlfn.LET(
_xlpm.rango, INDIRECT("E!$C$" &amp; $BA$8 &amp; ":$DR$" &amp; $BA$9),
_xlpm.col, AE$72+$D84*10,
INDEX(_xlpm.rango,$BA$4-3,_xlpm.col) +
INDEX(_xlpm.rango,$BA$4-2,_xlpm.col) +
INDEX(_xlpm.rango,$BA$4-1,_xlpm.col) +
INDEX(_xlpm.rango,$BA$4, _xlpm.col)
)</f>
        <v/>
      </c>
      <c r="AF85" s="95">
        <f t="array" ref="AF85">_xlfn.LET(
_xlpm.rango, INDIRECT("E!$C$" &amp; $BA$8 &amp; ":$DR$" &amp; $BA$9),
_xlpm.col, AF$72+$D84*10,
INDEX(_xlpm.rango,$BA$4-3,_xlpm.col) +
INDEX(_xlpm.rango,$BA$4-2,_xlpm.col) +
INDEX(_xlpm.rango,$BA$4-1,_xlpm.col) +
INDEX(_xlpm.rango,$BA$4, _xlpm.col)
)</f>
        <v/>
      </c>
      <c r="AG85" s="95">
        <f t="array" ref="AG85">_xlfn.LET(
_xlpm.rango, INDIRECT("E!$C$" &amp; $BA$8 &amp; ":$DR$" &amp; $BA$9),
_xlpm.col, AG$72+$D84*10,
INDEX(_xlpm.rango,$BA$4-3,_xlpm.col) +
INDEX(_xlpm.rango,$BA$4-2,_xlpm.col) +
INDEX(_xlpm.rango,$BA$4-1,_xlpm.col) +
INDEX(_xlpm.rango,$BA$4, _xlpm.col)
)</f>
        <v/>
      </c>
      <c r="AH85" s="95">
        <f t="array" ref="AH85">_xlfn.LET(
_xlpm.rango, INDIRECT("E!$C$" &amp; $BA$8 &amp; ":$DR$" &amp; $BA$9),
_xlpm.col, AH$72+$D84*10,
INDEX(_xlpm.rango,$BA$4-3,_xlpm.col) +
INDEX(_xlpm.rango,$BA$4-2,_xlpm.col) +
INDEX(_xlpm.rango,$BA$4-1,_xlpm.col) +
INDEX(_xlpm.rango,$BA$4, _xlpm.col)
)</f>
        <v/>
      </c>
      <c r="AI85" s="96">
        <f t="array" ref="AI85">_xlfn.LET(
_xlpm.rango, INDIRECT("E!$C$" &amp; $BA$8 &amp; ":$DR$" &amp; $BA$9),
_xlpm.col, AI$72+$D84*10,
INDEX(_xlpm.rango,$BA$4-3,_xlpm.col) +
INDEX(_xlpm.rango,$BA$4-2,_xlpm.col) +
INDEX(_xlpm.rango,$BA$4-1,_xlpm.col) +
INDEX(_xlpm.rango,$BA$4, _xlpm.col)
)</f>
        <v/>
      </c>
      <c r="AJ85" s="95">
        <f t="array" ref="AJ85">_xlfn.LET(
_xlpm.rango, INDIRECT("E!$C$" &amp; $BA$8 &amp; ":$DR$" &amp; $BA$9),
_xlpm.col, AJ$72+$D84*10,
INDEX(_xlpm.rango,$BA$4-3,_xlpm.col) +
INDEX(_xlpm.rango,$BA$4-2,_xlpm.col) +
INDEX(_xlpm.rango,$BA$4-1,_xlpm.col) +
INDEX(_xlpm.rango,$BA$4, _xlpm.col)
)</f>
        <v/>
      </c>
      <c r="AK85" s="95">
        <f t="array" ref="AK85">_xlfn.LET(
_xlpm.rango, INDIRECT("E!$C$" &amp; $BA$8 &amp; ":$DR$" &amp; $BA$9),
_xlpm.col, AK$72+$D84*10,
INDEX(_xlpm.rango,$BA$4-3,_xlpm.col) +
INDEX(_xlpm.rango,$BA$4-2,_xlpm.col) +
INDEX(_xlpm.rango,$BA$4-1,_xlpm.col) +
INDEX(_xlpm.rango,$BA$4, _xlpm.col)
)</f>
        <v/>
      </c>
      <c r="AL85" s="95">
        <f t="array" ref="AL85">_xlfn.LET(
_xlpm.rango, INDIRECT("E!$C$" &amp; $BA$8 &amp; ":$DR$" &amp; $BA$9),
_xlpm.col, AL$72+$D84*10,
INDEX(_xlpm.rango,$BA$4-3,_xlpm.col) +
INDEX(_xlpm.rango,$BA$4-2,_xlpm.col) +
INDEX(_xlpm.rango,$BA$4-1,_xlpm.col) +
INDEX(_xlpm.rango,$BA$4, _xlpm.col)
)</f>
        <v/>
      </c>
      <c r="AM85" s="95">
        <f t="array" ref="AM85">_xlfn.LET(
_xlpm.rango, INDIRECT("E!$C$" &amp; $BA$8 &amp; ":$DR$" &amp; $BA$9),
_xlpm.col, AM$72+$D84*10,
INDEX(_xlpm.rango,$BA$4-3,_xlpm.col) +
INDEX(_xlpm.rango,$BA$4-2,_xlpm.col) +
INDEX(_xlpm.rango,$BA$4-1,_xlpm.col) +
INDEX(_xlpm.rango,$BA$4, _xlpm.col)
)</f>
        <v/>
      </c>
      <c r="AN85" s="95">
        <f t="array" ref="AN85">_xlfn.LET(
_xlpm.rango, INDIRECT("E!$C$" &amp; $BA$8 &amp; ":$DR$" &amp; $BA$9),
_xlpm.col, AN$72+$D84*10,
INDEX(_xlpm.rango,$BA$4-3,_xlpm.col) +
INDEX(_xlpm.rango,$BA$4-2,_xlpm.col) +
INDEX(_xlpm.rango,$BA$4-1,_xlpm.col) +
INDEX(_xlpm.rango,$BA$4, _xlpm.col)
)</f>
        <v/>
      </c>
      <c r="AO85" s="95">
        <f t="array" ref="AO85">_xlfn.LET(
_xlpm.rango, INDIRECT("E!$C$" &amp; $BA$8 &amp; ":$DR$" &amp; $BA$9),
_xlpm.col, AO$72+$D84*10,
INDEX(_xlpm.rango,$BA$4-3,_xlpm.col) +
INDEX(_xlpm.rango,$BA$4-2,_xlpm.col) +
INDEX(_xlpm.rango,$BA$4-1,_xlpm.col) +
INDEX(_xlpm.rango,$BA$4, _xlpm.col)
)</f>
        <v/>
      </c>
      <c r="AP85" s="95">
        <f t="array" ref="AP85">_xlfn.LET(
_xlpm.rango, INDIRECT("E!$C$" &amp; $BA$8 &amp; ":$DR$" &amp; $BA$9),
_xlpm.col, AP$72+$D84*10,
INDEX(_xlpm.rango,$BA$4-3,_xlpm.col) +
INDEX(_xlpm.rango,$BA$4-2,_xlpm.col) +
INDEX(_xlpm.rango,$BA$4-1,_xlpm.col) +
INDEX(_xlpm.rango,$BA$4, _xlpm.col)
)</f>
        <v/>
      </c>
      <c r="AQ85" s="95">
        <f t="array" ref="AQ85">_xlfn.LET(
_xlpm.rango, INDIRECT("E!$C$" &amp; $BA$8 &amp; ":$DR$" &amp; $BA$9),
_xlpm.col, AQ$72+$D84*10,
INDEX(_xlpm.rango,$BA$4-3,_xlpm.col) +
INDEX(_xlpm.rango,$BA$4-2,_xlpm.col) +
INDEX(_xlpm.rango,$BA$4-1,_xlpm.col) +
INDEX(_xlpm.rango,$BA$4, _xlpm.col)
)</f>
        <v/>
      </c>
      <c r="AR85" s="95">
        <f t="array" ref="AR85">_xlfn.LET(
_xlpm.rango, INDIRECT("E!$C$" &amp; $BA$8 &amp; ":$DR$" &amp; $BA$9),
_xlpm.col, AR$72+$D84*10,
INDEX(_xlpm.rango,$BA$4-3,_xlpm.col) +
INDEX(_xlpm.rango,$BA$4-2,_xlpm.col) +
INDEX(_xlpm.rango,$BA$4-1,_xlpm.col) +
INDEX(_xlpm.rango,$BA$4, _xlpm.col)
)</f>
        <v/>
      </c>
      <c r="AS85" s="112">
        <f t="array" ref="AS85">_xlfn.LET(
_xlpm.rango, INDIRECT("E!$C$" &amp; $BA$8 &amp; ":$DR$" &amp; $BA$9),
_xlpm.col, AS$72+$D84*10,
INDEX(_xlpm.rango,$BA$4-3,_xlpm.col) +
INDEX(_xlpm.rango,$BA$4-2,_xlpm.col) +
INDEX(_xlpm.rango,$BA$4-1,_xlpm.col) +
INDEX(_xlpm.rango,$BA$4, _xlpm.col)
)</f>
        <v/>
      </c>
      <c r="AT85" s="118">
        <f>SUM(F85:AS85)</f>
        <v/>
      </c>
      <c r="AU85" s="120">
        <f>AT85/$AT$88</f>
        <v/>
      </c>
    </row>
    <row r="86">
      <c r="D86" t="n">
        <v>11</v>
      </c>
      <c r="E86" s="106">
        <f>Inicio!V14</f>
        <v/>
      </c>
      <c r="F86" s="100">
        <f t="array" ref="F86">_xlfn.LET(
_xlpm.rango, INDIRECT("N!$C$" &amp; $BA$8 &amp; ":$DR$" &amp; $BA$9),
_xlpm.col, F$72+$D85*10,
INDEX(_xlpm.rango,$BA$4-3,_xlpm.col) +
INDEX(_xlpm.rango,$BA$4-2,_xlpm.col) +
INDEX(_xlpm.rango,$BA$4-1,_xlpm.col) +
INDEX(_xlpm.rango,$BA$4, _xlpm.col)
)</f>
        <v/>
      </c>
      <c r="G86" s="95">
        <f t="array" ref="G86">_xlfn.LET(
_xlpm.rango, INDIRECT("N!$C$" &amp; $BA$8 &amp; ":$DR$" &amp; $BA$9),
_xlpm.col, G$72+$D85*10,
INDEX(_xlpm.rango,$BA$4-3,_xlpm.col) +
INDEX(_xlpm.rango,$BA$4-2,_xlpm.col) +
INDEX(_xlpm.rango,$BA$4-1,_xlpm.col) +
INDEX(_xlpm.rango,$BA$4, _xlpm.col)
)</f>
        <v/>
      </c>
      <c r="H86" s="95">
        <f t="array" ref="H86">_xlfn.LET(
_xlpm.rango, INDIRECT("N!$C$" &amp; $BA$8 &amp; ":$DR$" &amp; $BA$9),
_xlpm.col, H$72+$D85*10,
INDEX(_xlpm.rango,$BA$4-3,_xlpm.col) +
INDEX(_xlpm.rango,$BA$4-2,_xlpm.col) +
INDEX(_xlpm.rango,$BA$4-1,_xlpm.col) +
INDEX(_xlpm.rango,$BA$4, _xlpm.col)
)</f>
        <v/>
      </c>
      <c r="I86" s="95">
        <f t="array" ref="I86">_xlfn.LET(
_xlpm.rango, INDIRECT("N!$C$" &amp; $BA$8 &amp; ":$DR$" &amp; $BA$9),
_xlpm.col, I$72+$D85*10,
INDEX(_xlpm.rango,$BA$4-3,_xlpm.col) +
INDEX(_xlpm.rango,$BA$4-2,_xlpm.col) +
INDEX(_xlpm.rango,$BA$4-1,_xlpm.col) +
INDEX(_xlpm.rango,$BA$4, _xlpm.col)
)</f>
        <v/>
      </c>
      <c r="J86" s="95">
        <f t="array" ref="J86">_xlfn.LET(
_xlpm.rango, INDIRECT("N!$C$" &amp; $BA$8 &amp; ":$DR$" &amp; $BA$9),
_xlpm.col, J$72+$D85*10,
INDEX(_xlpm.rango,$BA$4-3,_xlpm.col) +
INDEX(_xlpm.rango,$BA$4-2,_xlpm.col) +
INDEX(_xlpm.rango,$BA$4-1,_xlpm.col) +
INDEX(_xlpm.rango,$BA$4, _xlpm.col)
)</f>
        <v/>
      </c>
      <c r="K86" s="95">
        <f t="array" ref="K86">_xlfn.LET(
_xlpm.rango, INDIRECT("N!$C$" &amp; $BA$8 &amp; ":$DR$" &amp; $BA$9),
_xlpm.col, K$72+$D85*10,
INDEX(_xlpm.rango,$BA$4-3,_xlpm.col) +
INDEX(_xlpm.rango,$BA$4-2,_xlpm.col) +
INDEX(_xlpm.rango,$BA$4-1,_xlpm.col) +
INDEX(_xlpm.rango,$BA$4, _xlpm.col)
)</f>
        <v/>
      </c>
      <c r="L86" s="95">
        <f t="array" ref="L86">_xlfn.LET(
_xlpm.rango, INDIRECT("N!$C$" &amp; $BA$8 &amp; ":$DR$" &amp; $BA$9),
_xlpm.col, L$72+$D85*10,
INDEX(_xlpm.rango,$BA$4-3,_xlpm.col) +
INDEX(_xlpm.rango,$BA$4-2,_xlpm.col) +
INDEX(_xlpm.rango,$BA$4-1,_xlpm.col) +
INDEX(_xlpm.rango,$BA$4, _xlpm.col)
)</f>
        <v/>
      </c>
      <c r="M86" s="95">
        <f t="array" ref="M86">_xlfn.LET(
_xlpm.rango, INDIRECT("N!$C$" &amp; $BA$8 &amp; ":$DR$" &amp; $BA$9),
_xlpm.col, M$72+$D85*10,
INDEX(_xlpm.rango,$BA$4-3,_xlpm.col) +
INDEX(_xlpm.rango,$BA$4-2,_xlpm.col) +
INDEX(_xlpm.rango,$BA$4-1,_xlpm.col) +
INDEX(_xlpm.rango,$BA$4, _xlpm.col)
)</f>
        <v/>
      </c>
      <c r="N86" s="95">
        <f t="array" ref="N86">_xlfn.LET(
_xlpm.rango, INDIRECT("N!$C$" &amp; $BA$8 &amp; ":$DR$" &amp; $BA$9),
_xlpm.col, N$72+$D85*10,
INDEX(_xlpm.rango,$BA$4-3,_xlpm.col) +
INDEX(_xlpm.rango,$BA$4-2,_xlpm.col) +
INDEX(_xlpm.rango,$BA$4-1,_xlpm.col) +
INDEX(_xlpm.rango,$BA$4, _xlpm.col)
)</f>
        <v/>
      </c>
      <c r="O86" s="96">
        <f t="array" ref="O86">_xlfn.LET(
_xlpm.rango, INDIRECT("N!$C$" &amp; $BA$8 &amp; ":$DR$" &amp; $BA$9),
_xlpm.col, O$72+$D85*10,
INDEX(_xlpm.rango,$BA$4-3,_xlpm.col) +
INDEX(_xlpm.rango,$BA$4-2,_xlpm.col) +
INDEX(_xlpm.rango,$BA$4-1,_xlpm.col) +
INDEX(_xlpm.rango,$BA$4, _xlpm.col)
)</f>
        <v/>
      </c>
      <c r="P86" s="95">
        <f t="array" ref="P86">_xlfn.LET(
_xlpm.rango, INDIRECT("S!$C$" &amp; $BA$8 &amp; ":$DR$" &amp; $BA$9),
_xlpm.col, P$72+$D85*10,
INDEX(_xlpm.rango,$BA$4-3,_xlpm.col) +
INDEX(_xlpm.rango,$BA$4-2,_xlpm.col) +
INDEX(_xlpm.rango,$BA$4-1,_xlpm.col) +
INDEX(_xlpm.rango,$BA$4, _xlpm.col)
)</f>
        <v/>
      </c>
      <c r="Q86" s="95">
        <f t="array" ref="Q86">_xlfn.LET(
_xlpm.rango, INDIRECT("S!$C$" &amp; $BA$8 &amp; ":$DR$" &amp; $BA$9),
_xlpm.col, Q$72+$D85*10,
INDEX(_xlpm.rango,$BA$4-3,_xlpm.col) +
INDEX(_xlpm.rango,$BA$4-2,_xlpm.col) +
INDEX(_xlpm.rango,$BA$4-1,_xlpm.col) +
INDEX(_xlpm.rango,$BA$4, _xlpm.col)
)</f>
        <v/>
      </c>
      <c r="R86" s="95">
        <f t="array" ref="R86">_xlfn.LET(
_xlpm.rango, INDIRECT("S!$C$" &amp; $BA$8 &amp; ":$DR$" &amp; $BA$9),
_xlpm.col, R$72+$D85*10,
INDEX(_xlpm.rango,$BA$4-3,_xlpm.col) +
INDEX(_xlpm.rango,$BA$4-2,_xlpm.col) +
INDEX(_xlpm.rango,$BA$4-1,_xlpm.col) +
INDEX(_xlpm.rango,$BA$4, _xlpm.col)
)</f>
        <v/>
      </c>
      <c r="S86" s="95">
        <f t="array" ref="S86">_xlfn.LET(
_xlpm.rango, INDIRECT("S!$C$" &amp; $BA$8 &amp; ":$DR$" &amp; $BA$9),
_xlpm.col, S$72+$D85*10,
INDEX(_xlpm.rango,$BA$4-3,_xlpm.col) +
INDEX(_xlpm.rango,$BA$4-2,_xlpm.col) +
INDEX(_xlpm.rango,$BA$4-1,_xlpm.col) +
INDEX(_xlpm.rango,$BA$4, _xlpm.col)
)</f>
        <v/>
      </c>
      <c r="T86" s="95">
        <f t="array" ref="T86">_xlfn.LET(
_xlpm.rango, INDIRECT("S!$C$" &amp; $BA$8 &amp; ":$DR$" &amp; $BA$9),
_xlpm.col, T$72+$D85*10,
INDEX(_xlpm.rango,$BA$4-3,_xlpm.col) +
INDEX(_xlpm.rango,$BA$4-2,_xlpm.col) +
INDEX(_xlpm.rango,$BA$4-1,_xlpm.col) +
INDEX(_xlpm.rango,$BA$4, _xlpm.col)
)</f>
        <v/>
      </c>
      <c r="U86" s="95">
        <f t="array" ref="U86">_xlfn.LET(
_xlpm.rango, INDIRECT("S!$C$" &amp; $BA$8 &amp; ":$DR$" &amp; $BA$9),
_xlpm.col, U$72+$D85*10,
INDEX(_xlpm.rango,$BA$4-3,_xlpm.col) +
INDEX(_xlpm.rango,$BA$4-2,_xlpm.col) +
INDEX(_xlpm.rango,$BA$4-1,_xlpm.col) +
INDEX(_xlpm.rango,$BA$4, _xlpm.col)
)</f>
        <v/>
      </c>
      <c r="V86" s="95">
        <f t="array" ref="V86">_xlfn.LET(
_xlpm.rango, INDIRECT("S!$C$" &amp; $BA$8 &amp; ":$DR$" &amp; $BA$9),
_xlpm.col, V$72+$D85*10,
INDEX(_xlpm.rango,$BA$4-3,_xlpm.col) +
INDEX(_xlpm.rango,$BA$4-2,_xlpm.col) +
INDEX(_xlpm.rango,$BA$4-1,_xlpm.col) +
INDEX(_xlpm.rango,$BA$4, _xlpm.col)
)</f>
        <v/>
      </c>
      <c r="W86" s="95">
        <f t="array" ref="W86">_xlfn.LET(
_xlpm.rango, INDIRECT("S!$C$" &amp; $BA$8 &amp; ":$DR$" &amp; $BA$9),
_xlpm.col, W$72+$D85*10,
INDEX(_xlpm.rango,$BA$4-3,_xlpm.col) +
INDEX(_xlpm.rango,$BA$4-2,_xlpm.col) +
INDEX(_xlpm.rango,$BA$4-1,_xlpm.col) +
INDEX(_xlpm.rango,$BA$4, _xlpm.col)
)</f>
        <v/>
      </c>
      <c r="X86" s="95">
        <f t="array" ref="X86">_xlfn.LET(
_xlpm.rango, INDIRECT("S!$C$" &amp; $BA$8 &amp; ":$DR$" &amp; $BA$9),
_xlpm.col, X$72+$D85*10,
INDEX(_xlpm.rango,$BA$4-3,_xlpm.col) +
INDEX(_xlpm.rango,$BA$4-2,_xlpm.col) +
INDEX(_xlpm.rango,$BA$4-1,_xlpm.col) +
INDEX(_xlpm.rango,$BA$4, _xlpm.col)
)</f>
        <v/>
      </c>
      <c r="Y86" s="95">
        <f t="array" ref="Y86">_xlfn.LET(
_xlpm.rango, INDIRECT("S!$C$" &amp; $BA$8 &amp; ":$DR$" &amp; $BA$9),
_xlpm.col, Y$72+$D85*10,
INDEX(_xlpm.rango,$BA$4-3,_xlpm.col) +
INDEX(_xlpm.rango,$BA$4-2,_xlpm.col) +
INDEX(_xlpm.rango,$BA$4-1,_xlpm.col) +
INDEX(_xlpm.rango,$BA$4, _xlpm.col)
)</f>
        <v/>
      </c>
      <c r="Z86" s="100">
        <f t="array" ref="Z86">_xlfn.LET(
_xlpm.rango, INDIRECT("E!$C$" &amp; $BA$8 &amp; ":$DR$" &amp; $BA$9),
_xlpm.col, Z$72+$D85*10,
INDEX(_xlpm.rango,$BA$4-3,_xlpm.col) +
INDEX(_xlpm.rango,$BA$4-2,_xlpm.col) +
INDEX(_xlpm.rango,$BA$4-1,_xlpm.col) +
INDEX(_xlpm.rango,$BA$4, _xlpm.col)
)</f>
        <v/>
      </c>
      <c r="AA86" s="95">
        <f t="array" ref="AA86">_xlfn.LET(
_xlpm.rango, INDIRECT("E!$C$" &amp; $BA$8 &amp; ":$DR$" &amp; $BA$9),
_xlpm.col, AA$72+$D85*10,
INDEX(_xlpm.rango,$BA$4-3,_xlpm.col) +
INDEX(_xlpm.rango,$BA$4-2,_xlpm.col) +
INDEX(_xlpm.rango,$BA$4-1,_xlpm.col) +
INDEX(_xlpm.rango,$BA$4, _xlpm.col)
)</f>
        <v/>
      </c>
      <c r="AB86" s="95">
        <f t="array" ref="AB86">_xlfn.LET(
_xlpm.rango, INDIRECT("E!$C$" &amp; $BA$8 &amp; ":$DR$" &amp; $BA$9),
_xlpm.col, AB$72+$D85*10,
INDEX(_xlpm.rango,$BA$4-3,_xlpm.col) +
INDEX(_xlpm.rango,$BA$4-2,_xlpm.col) +
INDEX(_xlpm.rango,$BA$4-1,_xlpm.col) +
INDEX(_xlpm.rango,$BA$4, _xlpm.col)
)</f>
        <v/>
      </c>
      <c r="AC86" s="95">
        <f t="array" ref="AC86">_xlfn.LET(
_xlpm.rango, INDIRECT("E!$C$" &amp; $BA$8 &amp; ":$DR$" &amp; $BA$9),
_xlpm.col, AC$72+$D85*10,
INDEX(_xlpm.rango,$BA$4-3,_xlpm.col) +
INDEX(_xlpm.rango,$BA$4-2,_xlpm.col) +
INDEX(_xlpm.rango,$BA$4-1,_xlpm.col) +
INDEX(_xlpm.rango,$BA$4, _xlpm.col)
)</f>
        <v/>
      </c>
      <c r="AD86" s="95">
        <f t="array" ref="AD86">_xlfn.LET(
_xlpm.rango, INDIRECT("E!$C$" &amp; $BA$8 &amp; ":$DR$" &amp; $BA$9),
_xlpm.col, AD$72+$D85*10,
INDEX(_xlpm.rango,$BA$4-3,_xlpm.col) +
INDEX(_xlpm.rango,$BA$4-2,_xlpm.col) +
INDEX(_xlpm.rango,$BA$4-1,_xlpm.col) +
INDEX(_xlpm.rango,$BA$4, _xlpm.col)
)</f>
        <v/>
      </c>
      <c r="AE86" s="95">
        <f t="array" ref="AE86">_xlfn.LET(
_xlpm.rango, INDIRECT("E!$C$" &amp; $BA$8 &amp; ":$DR$" &amp; $BA$9),
_xlpm.col, AE$72+$D85*10,
INDEX(_xlpm.rango,$BA$4-3,_xlpm.col) +
INDEX(_xlpm.rango,$BA$4-2,_xlpm.col) +
INDEX(_xlpm.rango,$BA$4-1,_xlpm.col) +
INDEX(_xlpm.rango,$BA$4, _xlpm.col)
)</f>
        <v/>
      </c>
      <c r="AF86" s="95">
        <f t="array" ref="AF86">_xlfn.LET(
_xlpm.rango, INDIRECT("E!$C$" &amp; $BA$8 &amp; ":$DR$" &amp; $BA$9),
_xlpm.col, AF$72+$D85*10,
INDEX(_xlpm.rango,$BA$4-3,_xlpm.col) +
INDEX(_xlpm.rango,$BA$4-2,_xlpm.col) +
INDEX(_xlpm.rango,$BA$4-1,_xlpm.col) +
INDEX(_xlpm.rango,$BA$4, _xlpm.col)
)</f>
        <v/>
      </c>
      <c r="AG86" s="95">
        <f t="array" ref="AG86">_xlfn.LET(
_xlpm.rango, INDIRECT("E!$C$" &amp; $BA$8 &amp; ":$DR$" &amp; $BA$9),
_xlpm.col, AG$72+$D85*10,
INDEX(_xlpm.rango,$BA$4-3,_xlpm.col) +
INDEX(_xlpm.rango,$BA$4-2,_xlpm.col) +
INDEX(_xlpm.rango,$BA$4-1,_xlpm.col) +
INDEX(_xlpm.rango,$BA$4, _xlpm.col)
)</f>
        <v/>
      </c>
      <c r="AH86" s="95">
        <f t="array" ref="AH86">_xlfn.LET(
_xlpm.rango, INDIRECT("E!$C$" &amp; $BA$8 &amp; ":$DR$" &amp; $BA$9),
_xlpm.col, AH$72+$D85*10,
INDEX(_xlpm.rango,$BA$4-3,_xlpm.col) +
INDEX(_xlpm.rango,$BA$4-2,_xlpm.col) +
INDEX(_xlpm.rango,$BA$4-1,_xlpm.col) +
INDEX(_xlpm.rango,$BA$4, _xlpm.col)
)</f>
        <v/>
      </c>
      <c r="AI86" s="96">
        <f t="array" ref="AI86">_xlfn.LET(
_xlpm.rango, INDIRECT("E!$C$" &amp; $BA$8 &amp; ":$DR$" &amp; $BA$9),
_xlpm.col, AI$72+$D85*10,
INDEX(_xlpm.rango,$BA$4-3,_xlpm.col) +
INDEX(_xlpm.rango,$BA$4-2,_xlpm.col) +
INDEX(_xlpm.rango,$BA$4-1,_xlpm.col) +
INDEX(_xlpm.rango,$BA$4, _xlpm.col)
)</f>
        <v/>
      </c>
      <c r="AJ86" s="95">
        <f t="array" ref="AJ86">_xlfn.LET(
_xlpm.rango, INDIRECT("E!$C$" &amp; $BA$8 &amp; ":$DR$" &amp; $BA$9),
_xlpm.col, AJ$72+$D85*10,
INDEX(_xlpm.rango,$BA$4-3,_xlpm.col) +
INDEX(_xlpm.rango,$BA$4-2,_xlpm.col) +
INDEX(_xlpm.rango,$BA$4-1,_xlpm.col) +
INDEX(_xlpm.rango,$BA$4, _xlpm.col)
)</f>
        <v/>
      </c>
      <c r="AK86" s="95">
        <f t="array" ref="AK86">_xlfn.LET(
_xlpm.rango, INDIRECT("E!$C$" &amp; $BA$8 &amp; ":$DR$" &amp; $BA$9),
_xlpm.col, AK$72+$D85*10,
INDEX(_xlpm.rango,$BA$4-3,_xlpm.col) +
INDEX(_xlpm.rango,$BA$4-2,_xlpm.col) +
INDEX(_xlpm.rango,$BA$4-1,_xlpm.col) +
INDEX(_xlpm.rango,$BA$4, _xlpm.col)
)</f>
        <v/>
      </c>
      <c r="AL86" s="95">
        <f t="array" ref="AL86">_xlfn.LET(
_xlpm.rango, INDIRECT("E!$C$" &amp; $BA$8 &amp; ":$DR$" &amp; $BA$9),
_xlpm.col, AL$72+$D85*10,
INDEX(_xlpm.rango,$BA$4-3,_xlpm.col) +
INDEX(_xlpm.rango,$BA$4-2,_xlpm.col) +
INDEX(_xlpm.rango,$BA$4-1,_xlpm.col) +
INDEX(_xlpm.rango,$BA$4, _xlpm.col)
)</f>
        <v/>
      </c>
      <c r="AM86" s="95">
        <f t="array" ref="AM86">_xlfn.LET(
_xlpm.rango, INDIRECT("E!$C$" &amp; $BA$8 &amp; ":$DR$" &amp; $BA$9),
_xlpm.col, AM$72+$D85*10,
INDEX(_xlpm.rango,$BA$4-3,_xlpm.col) +
INDEX(_xlpm.rango,$BA$4-2,_xlpm.col) +
INDEX(_xlpm.rango,$BA$4-1,_xlpm.col) +
INDEX(_xlpm.rango,$BA$4, _xlpm.col)
)</f>
        <v/>
      </c>
      <c r="AN86" s="95">
        <f t="array" ref="AN86">_xlfn.LET(
_xlpm.rango, INDIRECT("E!$C$" &amp; $BA$8 &amp; ":$DR$" &amp; $BA$9),
_xlpm.col, AN$72+$D85*10,
INDEX(_xlpm.rango,$BA$4-3,_xlpm.col) +
INDEX(_xlpm.rango,$BA$4-2,_xlpm.col) +
INDEX(_xlpm.rango,$BA$4-1,_xlpm.col) +
INDEX(_xlpm.rango,$BA$4, _xlpm.col)
)</f>
        <v/>
      </c>
      <c r="AO86" s="95">
        <f t="array" ref="AO86">_xlfn.LET(
_xlpm.rango, INDIRECT("E!$C$" &amp; $BA$8 &amp; ":$DR$" &amp; $BA$9),
_xlpm.col, AO$72+$D85*10,
INDEX(_xlpm.rango,$BA$4-3,_xlpm.col) +
INDEX(_xlpm.rango,$BA$4-2,_xlpm.col) +
INDEX(_xlpm.rango,$BA$4-1,_xlpm.col) +
INDEX(_xlpm.rango,$BA$4, _xlpm.col)
)</f>
        <v/>
      </c>
      <c r="AP86" s="95">
        <f t="array" ref="AP86">_xlfn.LET(
_xlpm.rango, INDIRECT("E!$C$" &amp; $BA$8 &amp; ":$DR$" &amp; $BA$9),
_xlpm.col, AP$72+$D85*10,
INDEX(_xlpm.rango,$BA$4-3,_xlpm.col) +
INDEX(_xlpm.rango,$BA$4-2,_xlpm.col) +
INDEX(_xlpm.rango,$BA$4-1,_xlpm.col) +
INDEX(_xlpm.rango,$BA$4, _xlpm.col)
)</f>
        <v/>
      </c>
      <c r="AQ86" s="95">
        <f t="array" ref="AQ86">_xlfn.LET(
_xlpm.rango, INDIRECT("E!$C$" &amp; $BA$8 &amp; ":$DR$" &amp; $BA$9),
_xlpm.col, AQ$72+$D85*10,
INDEX(_xlpm.rango,$BA$4-3,_xlpm.col) +
INDEX(_xlpm.rango,$BA$4-2,_xlpm.col) +
INDEX(_xlpm.rango,$BA$4-1,_xlpm.col) +
INDEX(_xlpm.rango,$BA$4, _xlpm.col)
)</f>
        <v/>
      </c>
      <c r="AR86" s="95">
        <f t="array" ref="AR86">_xlfn.LET(
_xlpm.rango, INDIRECT("E!$C$" &amp; $BA$8 &amp; ":$DR$" &amp; $BA$9),
_xlpm.col, AR$72+$D85*10,
INDEX(_xlpm.rango,$BA$4-3,_xlpm.col) +
INDEX(_xlpm.rango,$BA$4-2,_xlpm.col) +
INDEX(_xlpm.rango,$BA$4-1,_xlpm.col) +
INDEX(_xlpm.rango,$BA$4, _xlpm.col)
)</f>
        <v/>
      </c>
      <c r="AS86" s="112">
        <f t="array" ref="AS86">_xlfn.LET(
_xlpm.rango, INDIRECT("E!$C$" &amp; $BA$8 &amp; ":$DR$" &amp; $BA$9),
_xlpm.col, AS$72+$D85*10,
INDEX(_xlpm.rango,$BA$4-3,_xlpm.col) +
INDEX(_xlpm.rango,$BA$4-2,_xlpm.col) +
INDEX(_xlpm.rango,$BA$4-1,_xlpm.col) +
INDEX(_xlpm.rango,$BA$4, _xlpm.col)
)</f>
        <v/>
      </c>
      <c r="AT86" s="118">
        <f>SUM(F86:AS86)</f>
        <v/>
      </c>
      <c r="AU86" s="120">
        <f>AT86/$AT$88</f>
        <v/>
      </c>
    </row>
    <row r="87">
      <c r="D87" t="n">
        <v>12</v>
      </c>
      <c r="E87" s="113">
        <f>Inicio!V15</f>
        <v/>
      </c>
      <c r="F87" s="101">
        <f t="array" ref="F87">_xlfn.LET(
_xlpm.rango, INDIRECT("N!$C$" &amp; $BA$8 &amp; ":$DR$" &amp; $BA$9),
_xlpm.col, F$72+$D86*10,
INDEX(_xlpm.rango,$BA$4-3,_xlpm.col) +
INDEX(_xlpm.rango,$BA$4-2,_xlpm.col) +
INDEX(_xlpm.rango,$BA$4-1,_xlpm.col) +
INDEX(_xlpm.rango,$BA$4, _xlpm.col)
)</f>
        <v/>
      </c>
      <c r="G87" s="97">
        <f t="array" ref="G87">_xlfn.LET(
_xlpm.rango, INDIRECT("N!$C$" &amp; $BA$8 &amp; ":$DR$" &amp; $BA$9),
_xlpm.col, G$72+$D86*10,
INDEX(_xlpm.rango,$BA$4-3,_xlpm.col) +
INDEX(_xlpm.rango,$BA$4-2,_xlpm.col) +
INDEX(_xlpm.rango,$BA$4-1,_xlpm.col) +
INDEX(_xlpm.rango,$BA$4, _xlpm.col)
)</f>
        <v/>
      </c>
      <c r="H87" s="97">
        <f t="array" ref="H87">_xlfn.LET(
_xlpm.rango, INDIRECT("N!$C$" &amp; $BA$8 &amp; ":$DR$" &amp; $BA$9),
_xlpm.col, H$72+$D86*10,
INDEX(_xlpm.rango,$BA$4-3,_xlpm.col) +
INDEX(_xlpm.rango,$BA$4-2,_xlpm.col) +
INDEX(_xlpm.rango,$BA$4-1,_xlpm.col) +
INDEX(_xlpm.rango,$BA$4, _xlpm.col)
)</f>
        <v/>
      </c>
      <c r="I87" s="97">
        <f t="array" ref="I87">_xlfn.LET(
_xlpm.rango, INDIRECT("N!$C$" &amp; $BA$8 &amp; ":$DR$" &amp; $BA$9),
_xlpm.col, I$72+$D86*10,
INDEX(_xlpm.rango,$BA$4-3,_xlpm.col) +
INDEX(_xlpm.rango,$BA$4-2,_xlpm.col) +
INDEX(_xlpm.rango,$BA$4-1,_xlpm.col) +
INDEX(_xlpm.rango,$BA$4, _xlpm.col)
)</f>
        <v/>
      </c>
      <c r="J87" s="97">
        <f t="array" ref="J87">_xlfn.LET(
_xlpm.rango, INDIRECT("N!$C$" &amp; $BA$8 &amp; ":$DR$" &amp; $BA$9),
_xlpm.col, J$72+$D86*10,
INDEX(_xlpm.rango,$BA$4-3,_xlpm.col) +
INDEX(_xlpm.rango,$BA$4-2,_xlpm.col) +
INDEX(_xlpm.rango,$BA$4-1,_xlpm.col) +
INDEX(_xlpm.rango,$BA$4, _xlpm.col)
)</f>
        <v/>
      </c>
      <c r="K87" s="97">
        <f t="array" ref="K87">_xlfn.LET(
_xlpm.rango, INDIRECT("N!$C$" &amp; $BA$8 &amp; ":$DR$" &amp; $BA$9),
_xlpm.col, K$72+$D86*10,
INDEX(_xlpm.rango,$BA$4-3,_xlpm.col) +
INDEX(_xlpm.rango,$BA$4-2,_xlpm.col) +
INDEX(_xlpm.rango,$BA$4-1,_xlpm.col) +
INDEX(_xlpm.rango,$BA$4, _xlpm.col)
)</f>
        <v/>
      </c>
      <c r="L87" s="97">
        <f t="array" ref="L87">_xlfn.LET(
_xlpm.rango, INDIRECT("N!$C$" &amp; $BA$8 &amp; ":$DR$" &amp; $BA$9),
_xlpm.col, L$72+$D86*10,
INDEX(_xlpm.rango,$BA$4-3,_xlpm.col) +
INDEX(_xlpm.rango,$BA$4-2,_xlpm.col) +
INDEX(_xlpm.rango,$BA$4-1,_xlpm.col) +
INDEX(_xlpm.rango,$BA$4, _xlpm.col)
)</f>
        <v/>
      </c>
      <c r="M87" s="97">
        <f t="array" ref="M87">_xlfn.LET(
_xlpm.rango, INDIRECT("N!$C$" &amp; $BA$8 &amp; ":$DR$" &amp; $BA$9),
_xlpm.col, M$72+$D86*10,
INDEX(_xlpm.rango,$BA$4-3,_xlpm.col) +
INDEX(_xlpm.rango,$BA$4-2,_xlpm.col) +
INDEX(_xlpm.rango,$BA$4-1,_xlpm.col) +
INDEX(_xlpm.rango,$BA$4, _xlpm.col)
)</f>
        <v/>
      </c>
      <c r="N87" s="97">
        <f t="array" ref="N87">_xlfn.LET(
_xlpm.rango, INDIRECT("N!$C$" &amp; $BA$8 &amp; ":$DR$" &amp; $BA$9),
_xlpm.col, N$72+$D86*10,
INDEX(_xlpm.rango,$BA$4-3,_xlpm.col) +
INDEX(_xlpm.rango,$BA$4-2,_xlpm.col) +
INDEX(_xlpm.rango,$BA$4-1,_xlpm.col) +
INDEX(_xlpm.rango,$BA$4, _xlpm.col)
)</f>
        <v/>
      </c>
      <c r="O87" s="98">
        <f t="array" ref="O87">_xlfn.LET(
_xlpm.rango, INDIRECT("N!$C$" &amp; $BA$8 &amp; ":$DR$" &amp; $BA$9),
_xlpm.col, O$72+$D86*10,
INDEX(_xlpm.rango,$BA$4-3,_xlpm.col) +
INDEX(_xlpm.rango,$BA$4-2,_xlpm.col) +
INDEX(_xlpm.rango,$BA$4-1,_xlpm.col) +
INDEX(_xlpm.rango,$BA$4, _xlpm.col)
)</f>
        <v/>
      </c>
      <c r="P87" s="97">
        <f t="array" ref="P87">_xlfn.LET(
_xlpm.rango, INDIRECT("S!$C$" &amp; $BA$8 &amp; ":$DR$" &amp; $BA$9),
_xlpm.col, P$72+$D86*10,
INDEX(_xlpm.rango,$BA$4-3,_xlpm.col) +
INDEX(_xlpm.rango,$BA$4-2,_xlpm.col) +
INDEX(_xlpm.rango,$BA$4-1,_xlpm.col) +
INDEX(_xlpm.rango,$BA$4, _xlpm.col)
)</f>
        <v/>
      </c>
      <c r="Q87" s="97">
        <f t="array" ref="Q87">_xlfn.LET(
_xlpm.rango, INDIRECT("S!$C$" &amp; $BA$8 &amp; ":$DR$" &amp; $BA$9),
_xlpm.col, Q$72+$D86*10,
INDEX(_xlpm.rango,$BA$4-3,_xlpm.col) +
INDEX(_xlpm.rango,$BA$4-2,_xlpm.col) +
INDEX(_xlpm.rango,$BA$4-1,_xlpm.col) +
INDEX(_xlpm.rango,$BA$4, _xlpm.col)
)</f>
        <v/>
      </c>
      <c r="R87" s="97">
        <f t="array" ref="R87">_xlfn.LET(
_xlpm.rango, INDIRECT("S!$C$" &amp; $BA$8 &amp; ":$DR$" &amp; $BA$9),
_xlpm.col, R$72+$D86*10,
INDEX(_xlpm.rango,$BA$4-3,_xlpm.col) +
INDEX(_xlpm.rango,$BA$4-2,_xlpm.col) +
INDEX(_xlpm.rango,$BA$4-1,_xlpm.col) +
INDEX(_xlpm.rango,$BA$4, _xlpm.col)
)</f>
        <v/>
      </c>
      <c r="S87" s="97">
        <f t="array" ref="S87">_xlfn.LET(
_xlpm.rango, INDIRECT("S!$C$" &amp; $BA$8 &amp; ":$DR$" &amp; $BA$9),
_xlpm.col, S$72+$D86*10,
INDEX(_xlpm.rango,$BA$4-3,_xlpm.col) +
INDEX(_xlpm.rango,$BA$4-2,_xlpm.col) +
INDEX(_xlpm.rango,$BA$4-1,_xlpm.col) +
INDEX(_xlpm.rango,$BA$4, _xlpm.col)
)</f>
        <v/>
      </c>
      <c r="T87" s="97">
        <f t="array" ref="T87">_xlfn.LET(
_xlpm.rango, INDIRECT("S!$C$" &amp; $BA$8 &amp; ":$DR$" &amp; $BA$9),
_xlpm.col, T$72+$D86*10,
INDEX(_xlpm.rango,$BA$4-3,_xlpm.col) +
INDEX(_xlpm.rango,$BA$4-2,_xlpm.col) +
INDEX(_xlpm.rango,$BA$4-1,_xlpm.col) +
INDEX(_xlpm.rango,$BA$4, _xlpm.col)
)</f>
        <v/>
      </c>
      <c r="U87" s="97">
        <f t="array" ref="U87">_xlfn.LET(
_xlpm.rango, INDIRECT("S!$C$" &amp; $BA$8 &amp; ":$DR$" &amp; $BA$9),
_xlpm.col, U$72+$D86*10,
INDEX(_xlpm.rango,$BA$4-3,_xlpm.col) +
INDEX(_xlpm.rango,$BA$4-2,_xlpm.col) +
INDEX(_xlpm.rango,$BA$4-1,_xlpm.col) +
INDEX(_xlpm.rango,$BA$4, _xlpm.col)
)</f>
        <v/>
      </c>
      <c r="V87" s="97">
        <f t="array" ref="V87">_xlfn.LET(
_xlpm.rango, INDIRECT("S!$C$" &amp; $BA$8 &amp; ":$DR$" &amp; $BA$9),
_xlpm.col, V$72+$D86*10,
INDEX(_xlpm.rango,$BA$4-3,_xlpm.col) +
INDEX(_xlpm.rango,$BA$4-2,_xlpm.col) +
INDEX(_xlpm.rango,$BA$4-1,_xlpm.col) +
INDEX(_xlpm.rango,$BA$4, _xlpm.col)
)</f>
        <v/>
      </c>
      <c r="W87" s="97">
        <f t="array" ref="W87">_xlfn.LET(
_xlpm.rango, INDIRECT("S!$C$" &amp; $BA$8 &amp; ":$DR$" &amp; $BA$9),
_xlpm.col, W$72+$D86*10,
INDEX(_xlpm.rango,$BA$4-3,_xlpm.col) +
INDEX(_xlpm.rango,$BA$4-2,_xlpm.col) +
INDEX(_xlpm.rango,$BA$4-1,_xlpm.col) +
INDEX(_xlpm.rango,$BA$4, _xlpm.col)
)</f>
        <v/>
      </c>
      <c r="X87" s="97">
        <f t="array" ref="X87">_xlfn.LET(
_xlpm.rango, INDIRECT("S!$C$" &amp; $BA$8 &amp; ":$DR$" &amp; $BA$9),
_xlpm.col, X$72+$D86*10,
INDEX(_xlpm.rango,$BA$4-3,_xlpm.col) +
INDEX(_xlpm.rango,$BA$4-2,_xlpm.col) +
INDEX(_xlpm.rango,$BA$4-1,_xlpm.col) +
INDEX(_xlpm.rango,$BA$4, _xlpm.col)
)</f>
        <v/>
      </c>
      <c r="Y87" s="97">
        <f t="array" ref="Y87">_xlfn.LET(
_xlpm.rango, INDIRECT("S!$C$" &amp; $BA$8 &amp; ":$DR$" &amp; $BA$9),
_xlpm.col, Y$72+$D86*10,
INDEX(_xlpm.rango,$BA$4-3,_xlpm.col) +
INDEX(_xlpm.rango,$BA$4-2,_xlpm.col) +
INDEX(_xlpm.rango,$BA$4-1,_xlpm.col) +
INDEX(_xlpm.rango,$BA$4, _xlpm.col)
)</f>
        <v/>
      </c>
      <c r="Z87" s="101">
        <f t="array" ref="Z87">_xlfn.LET(
_xlpm.rango, INDIRECT("E!$C$" &amp; $BA$8 &amp; ":$DR$" &amp; $BA$9),
_xlpm.col, Z$72+$D86*10,
INDEX(_xlpm.rango,$BA$4-3,_xlpm.col) +
INDEX(_xlpm.rango,$BA$4-2,_xlpm.col) +
INDEX(_xlpm.rango,$BA$4-1,_xlpm.col) +
INDEX(_xlpm.rango,$BA$4, _xlpm.col)
)</f>
        <v/>
      </c>
      <c r="AA87" s="97">
        <f t="array" ref="AA87">_xlfn.LET(
_xlpm.rango, INDIRECT("E!$C$" &amp; $BA$8 &amp; ":$DR$" &amp; $BA$9),
_xlpm.col, AA$72+$D86*10,
INDEX(_xlpm.rango,$BA$4-3,_xlpm.col) +
INDEX(_xlpm.rango,$BA$4-2,_xlpm.col) +
INDEX(_xlpm.rango,$BA$4-1,_xlpm.col) +
INDEX(_xlpm.rango,$BA$4, _xlpm.col)
)</f>
        <v/>
      </c>
      <c r="AB87" s="97">
        <f t="array" ref="AB87">_xlfn.LET(
_xlpm.rango, INDIRECT("E!$C$" &amp; $BA$8 &amp; ":$DR$" &amp; $BA$9),
_xlpm.col, AB$72+$D86*10,
INDEX(_xlpm.rango,$BA$4-3,_xlpm.col) +
INDEX(_xlpm.rango,$BA$4-2,_xlpm.col) +
INDEX(_xlpm.rango,$BA$4-1,_xlpm.col) +
INDEX(_xlpm.rango,$BA$4, _xlpm.col)
)</f>
        <v/>
      </c>
      <c r="AC87" s="97">
        <f t="array" ref="AC87">_xlfn.LET(
_xlpm.rango, INDIRECT("E!$C$" &amp; $BA$8 &amp; ":$DR$" &amp; $BA$9),
_xlpm.col, AC$72+$D86*10,
INDEX(_xlpm.rango,$BA$4-3,_xlpm.col) +
INDEX(_xlpm.rango,$BA$4-2,_xlpm.col) +
INDEX(_xlpm.rango,$BA$4-1,_xlpm.col) +
INDEX(_xlpm.rango,$BA$4, _xlpm.col)
)</f>
        <v/>
      </c>
      <c r="AD87" s="97">
        <f t="array" ref="AD87">_xlfn.LET(
_xlpm.rango, INDIRECT("E!$C$" &amp; $BA$8 &amp; ":$DR$" &amp; $BA$9),
_xlpm.col, AD$72+$D86*10,
INDEX(_xlpm.rango,$BA$4-3,_xlpm.col) +
INDEX(_xlpm.rango,$BA$4-2,_xlpm.col) +
INDEX(_xlpm.rango,$BA$4-1,_xlpm.col) +
INDEX(_xlpm.rango,$BA$4, _xlpm.col)
)</f>
        <v/>
      </c>
      <c r="AE87" s="97">
        <f t="array" ref="AE87">_xlfn.LET(
_xlpm.rango, INDIRECT("E!$C$" &amp; $BA$8 &amp; ":$DR$" &amp; $BA$9),
_xlpm.col, AE$72+$D86*10,
INDEX(_xlpm.rango,$BA$4-3,_xlpm.col) +
INDEX(_xlpm.rango,$BA$4-2,_xlpm.col) +
INDEX(_xlpm.rango,$BA$4-1,_xlpm.col) +
INDEX(_xlpm.rango,$BA$4, _xlpm.col)
)</f>
        <v/>
      </c>
      <c r="AF87" s="97">
        <f t="array" ref="AF87">_xlfn.LET(
_xlpm.rango, INDIRECT("E!$C$" &amp; $BA$8 &amp; ":$DR$" &amp; $BA$9),
_xlpm.col, AF$72+$D86*10,
INDEX(_xlpm.rango,$BA$4-3,_xlpm.col) +
INDEX(_xlpm.rango,$BA$4-2,_xlpm.col) +
INDEX(_xlpm.rango,$BA$4-1,_xlpm.col) +
INDEX(_xlpm.rango,$BA$4, _xlpm.col)
)</f>
        <v/>
      </c>
      <c r="AG87" s="97">
        <f t="array" ref="AG87">_xlfn.LET(
_xlpm.rango, INDIRECT("E!$C$" &amp; $BA$8 &amp; ":$DR$" &amp; $BA$9),
_xlpm.col, AG$72+$D86*10,
INDEX(_xlpm.rango,$BA$4-3,_xlpm.col) +
INDEX(_xlpm.rango,$BA$4-2,_xlpm.col) +
INDEX(_xlpm.rango,$BA$4-1,_xlpm.col) +
INDEX(_xlpm.rango,$BA$4, _xlpm.col)
)</f>
        <v/>
      </c>
      <c r="AH87" s="97">
        <f t="array" ref="AH87">_xlfn.LET(
_xlpm.rango, INDIRECT("E!$C$" &amp; $BA$8 &amp; ":$DR$" &amp; $BA$9),
_xlpm.col, AH$72+$D86*10,
INDEX(_xlpm.rango,$BA$4-3,_xlpm.col) +
INDEX(_xlpm.rango,$BA$4-2,_xlpm.col) +
INDEX(_xlpm.rango,$BA$4-1,_xlpm.col) +
INDEX(_xlpm.rango,$BA$4, _xlpm.col)
)</f>
        <v/>
      </c>
      <c r="AI87" s="98">
        <f t="array" ref="AI87">_xlfn.LET(
_xlpm.rango, INDIRECT("E!$C$" &amp; $BA$8 &amp; ":$DR$" &amp; $BA$9),
_xlpm.col, AI$72+$D86*10,
INDEX(_xlpm.rango,$BA$4-3,_xlpm.col) +
INDEX(_xlpm.rango,$BA$4-2,_xlpm.col) +
INDEX(_xlpm.rango,$BA$4-1,_xlpm.col) +
INDEX(_xlpm.rango,$BA$4, _xlpm.col)
)</f>
        <v/>
      </c>
      <c r="AJ87" s="97">
        <f t="array" ref="AJ87">_xlfn.LET(
_xlpm.rango, INDIRECT("E!$C$" &amp; $BA$8 &amp; ":$DR$" &amp; $BA$9),
_xlpm.col, AJ$72+$D86*10,
INDEX(_xlpm.rango,$BA$4-3,_xlpm.col) +
INDEX(_xlpm.rango,$BA$4-2,_xlpm.col) +
INDEX(_xlpm.rango,$BA$4-1,_xlpm.col) +
INDEX(_xlpm.rango,$BA$4, _xlpm.col)
)</f>
        <v/>
      </c>
      <c r="AK87" s="97">
        <f t="array" ref="AK87">_xlfn.LET(
_xlpm.rango, INDIRECT("E!$C$" &amp; $BA$8 &amp; ":$DR$" &amp; $BA$9),
_xlpm.col, AK$72+$D86*10,
INDEX(_xlpm.rango,$BA$4-3,_xlpm.col) +
INDEX(_xlpm.rango,$BA$4-2,_xlpm.col) +
INDEX(_xlpm.rango,$BA$4-1,_xlpm.col) +
INDEX(_xlpm.rango,$BA$4, _xlpm.col)
)</f>
        <v/>
      </c>
      <c r="AL87" s="97">
        <f t="array" ref="AL87">_xlfn.LET(
_xlpm.rango, INDIRECT("E!$C$" &amp; $BA$8 &amp; ":$DR$" &amp; $BA$9),
_xlpm.col, AL$72+$D86*10,
INDEX(_xlpm.rango,$BA$4-3,_xlpm.col) +
INDEX(_xlpm.rango,$BA$4-2,_xlpm.col) +
INDEX(_xlpm.rango,$BA$4-1,_xlpm.col) +
INDEX(_xlpm.rango,$BA$4, _xlpm.col)
)</f>
        <v/>
      </c>
      <c r="AM87" s="97">
        <f t="array" ref="AM87">_xlfn.LET(
_xlpm.rango, INDIRECT("E!$C$" &amp; $BA$8 &amp; ":$DR$" &amp; $BA$9),
_xlpm.col, AM$72+$D86*10,
INDEX(_xlpm.rango,$BA$4-3,_xlpm.col) +
INDEX(_xlpm.rango,$BA$4-2,_xlpm.col) +
INDEX(_xlpm.rango,$BA$4-1,_xlpm.col) +
INDEX(_xlpm.rango,$BA$4, _xlpm.col)
)</f>
        <v/>
      </c>
      <c r="AN87" s="97">
        <f t="array" ref="AN87">_xlfn.LET(
_xlpm.rango, INDIRECT("E!$C$" &amp; $BA$8 &amp; ":$DR$" &amp; $BA$9),
_xlpm.col, AN$72+$D86*10,
INDEX(_xlpm.rango,$BA$4-3,_xlpm.col) +
INDEX(_xlpm.rango,$BA$4-2,_xlpm.col) +
INDEX(_xlpm.rango,$BA$4-1,_xlpm.col) +
INDEX(_xlpm.rango,$BA$4, _xlpm.col)
)</f>
        <v/>
      </c>
      <c r="AO87" s="97">
        <f t="array" ref="AO87">_xlfn.LET(
_xlpm.rango, INDIRECT("E!$C$" &amp; $BA$8 &amp; ":$DR$" &amp; $BA$9),
_xlpm.col, AO$72+$D86*10,
INDEX(_xlpm.rango,$BA$4-3,_xlpm.col) +
INDEX(_xlpm.rango,$BA$4-2,_xlpm.col) +
INDEX(_xlpm.rango,$BA$4-1,_xlpm.col) +
INDEX(_xlpm.rango,$BA$4, _xlpm.col)
)</f>
        <v/>
      </c>
      <c r="AP87" s="97">
        <f t="array" ref="AP87">_xlfn.LET(
_xlpm.rango, INDIRECT("E!$C$" &amp; $BA$8 &amp; ":$DR$" &amp; $BA$9),
_xlpm.col, AP$72+$D86*10,
INDEX(_xlpm.rango,$BA$4-3,_xlpm.col) +
INDEX(_xlpm.rango,$BA$4-2,_xlpm.col) +
INDEX(_xlpm.rango,$BA$4-1,_xlpm.col) +
INDEX(_xlpm.rango,$BA$4, _xlpm.col)
)</f>
        <v/>
      </c>
      <c r="AQ87" s="97">
        <f t="array" ref="AQ87">_xlfn.LET(
_xlpm.rango, INDIRECT("E!$C$" &amp; $BA$8 &amp; ":$DR$" &amp; $BA$9),
_xlpm.col, AQ$72+$D86*10,
INDEX(_xlpm.rango,$BA$4-3,_xlpm.col) +
INDEX(_xlpm.rango,$BA$4-2,_xlpm.col) +
INDEX(_xlpm.rango,$BA$4-1,_xlpm.col) +
INDEX(_xlpm.rango,$BA$4, _xlpm.col)
)</f>
        <v/>
      </c>
      <c r="AR87" s="97">
        <f t="array" ref="AR87">_xlfn.LET(
_xlpm.rango, INDIRECT("E!$C$" &amp; $BA$8 &amp; ":$DR$" &amp; $BA$9),
_xlpm.col, AR$72+$D86*10,
INDEX(_xlpm.rango,$BA$4-3,_xlpm.col) +
INDEX(_xlpm.rango,$BA$4-2,_xlpm.col) +
INDEX(_xlpm.rango,$BA$4-1,_xlpm.col) +
INDEX(_xlpm.rango,$BA$4, _xlpm.col)
)</f>
        <v/>
      </c>
      <c r="AS87" s="114">
        <f t="array" ref="AS87">_xlfn.LET(
_xlpm.rango, INDIRECT("E!$C$" &amp; $BA$8 &amp; ":$DR$" &amp; $BA$9),
_xlpm.col, AS$72+$D86*10,
INDEX(_xlpm.rango,$BA$4-3,_xlpm.col) +
INDEX(_xlpm.rango,$BA$4-2,_xlpm.col) +
INDEX(_xlpm.rango,$BA$4-1,_xlpm.col) +
INDEX(_xlpm.rango,$BA$4, _xlpm.col)
)</f>
        <v/>
      </c>
      <c r="AT87" s="121">
        <f>SUM(F87:AS87)</f>
        <v/>
      </c>
      <c r="AU87" s="122">
        <f>AT87/$AT$88</f>
        <v/>
      </c>
    </row>
    <row r="88" ht="15.75" customHeight="1" thickBot="1">
      <c r="E88" s="115" t="inlineStr">
        <is>
          <t>Total</t>
        </is>
      </c>
      <c r="F88" s="92">
        <f>SUM(F76:F87)</f>
        <v/>
      </c>
      <c r="G88" s="92">
        <f>SUM(G76:G87)</f>
        <v/>
      </c>
      <c r="H88" s="92">
        <f>SUM(H76:H87)</f>
        <v/>
      </c>
      <c r="I88" s="92">
        <f>SUM(I76:I87)</f>
        <v/>
      </c>
      <c r="J88" s="92">
        <f>SUM(J76:J87)</f>
        <v/>
      </c>
      <c r="K88" s="92">
        <f>SUM(K76:K87)</f>
        <v/>
      </c>
      <c r="L88" s="92">
        <f>SUM(L76:L87)</f>
        <v/>
      </c>
      <c r="M88" s="92">
        <f>SUM(M76:M87)</f>
        <v/>
      </c>
      <c r="N88" s="92">
        <f>SUM(N76:N87)</f>
        <v/>
      </c>
      <c r="O88" s="92">
        <f>SUM(O76:O87)</f>
        <v/>
      </c>
      <c r="P88" s="128">
        <f>SUM(P76:P87)</f>
        <v/>
      </c>
      <c r="Q88" s="92">
        <f>SUM(Q76:Q87)</f>
        <v/>
      </c>
      <c r="R88" s="92">
        <f>SUM(R76:R87)</f>
        <v/>
      </c>
      <c r="S88" s="92">
        <f>SUM(S76:S87)</f>
        <v/>
      </c>
      <c r="T88" s="92">
        <f>SUM(T76:T87)</f>
        <v/>
      </c>
      <c r="U88" s="92">
        <f>SUM(U76:U87)</f>
        <v/>
      </c>
      <c r="V88" s="92">
        <f>SUM(V76:V87)</f>
        <v/>
      </c>
      <c r="W88" s="92">
        <f>SUM(W76:W87)</f>
        <v/>
      </c>
      <c r="X88" s="92">
        <f>SUM(X76:X87)</f>
        <v/>
      </c>
      <c r="Y88" s="92">
        <f>SUM(Y76:Y87)</f>
        <v/>
      </c>
      <c r="Z88" s="92">
        <f>SUM(Z76:Z87)</f>
        <v/>
      </c>
      <c r="AA88" s="92">
        <f>SUM(AA76:AA87)</f>
        <v/>
      </c>
      <c r="AB88" s="92">
        <f>SUM(AB76:AB87)</f>
        <v/>
      </c>
      <c r="AC88" s="92">
        <f>SUM(AC76:AC87)</f>
        <v/>
      </c>
      <c r="AD88" s="92">
        <f>SUM(AD76:AD87)</f>
        <v/>
      </c>
      <c r="AE88" s="92">
        <f>SUM(AE76:AE87)</f>
        <v/>
      </c>
      <c r="AF88" s="92">
        <f>SUM(AF76:AF87)</f>
        <v/>
      </c>
      <c r="AG88" s="92">
        <f>SUM(AG76:AG87)</f>
        <v/>
      </c>
      <c r="AH88" s="92">
        <f>SUM(AH76:AH87)</f>
        <v/>
      </c>
      <c r="AI88" s="92">
        <f>SUM(AI76:AI87)</f>
        <v/>
      </c>
      <c r="AJ88" s="92">
        <f>SUM(AJ76:AJ87)</f>
        <v/>
      </c>
      <c r="AK88" s="92">
        <f>SUM(AK76:AK87)</f>
        <v/>
      </c>
      <c r="AL88" s="92">
        <f>SUM(AL76:AL87)</f>
        <v/>
      </c>
      <c r="AM88" s="92">
        <f>SUM(AM76:AM87)</f>
        <v/>
      </c>
      <c r="AN88" s="92">
        <f>SUM(AN76:AN87)</f>
        <v/>
      </c>
      <c r="AO88" s="92">
        <f>SUM(AO76:AO87)</f>
        <v/>
      </c>
      <c r="AP88" s="92">
        <f>SUM(AP76:AP87)</f>
        <v/>
      </c>
      <c r="AQ88" s="92">
        <f>SUM(AQ76:AQ87)</f>
        <v/>
      </c>
      <c r="AR88" s="92">
        <f>SUM(AR76:AR87)</f>
        <v/>
      </c>
      <c r="AS88" s="116">
        <f>SUM(AS76:AS87)</f>
        <v/>
      </c>
      <c r="AT88" s="123">
        <f>SUM(AT76:AT87)</f>
        <v/>
      </c>
      <c r="AU88" s="124">
        <f>SUM(AU76:AU87)</f>
        <v/>
      </c>
    </row>
    <row r="89" ht="15.75" customHeight="1" thickBot="1">
      <c r="E89" s="117" t="inlineStr">
        <is>
          <t>UCP</t>
        </is>
      </c>
      <c r="F89" s="226">
        <f>F76*Inicio!$W$4+F77*Inicio!$W$5+F78*Inicio!$W$6+F79*Inicio!$W$7+F80*Inicio!$W$8+F81*Inicio!$W$9+F82*Inicio!$W$10+F83*Inicio!$W$11+F84*Inicio!$W$12+F85*Inicio!$W$13+F86*Inicio!$W$14+F87*Inicio!$W$15</f>
        <v/>
      </c>
      <c r="G89" s="226">
        <f>G76*Inicio!$W$4+G77*Inicio!$W$5+G78*Inicio!$W$6+G79*Inicio!$W$7+G80*Inicio!$W$8+G81*Inicio!$W$9+G82*Inicio!$W$10+G83*Inicio!$W$11+G84*Inicio!$W$12+G85*Inicio!$W$13+G86*Inicio!$W$14+G87*Inicio!$W$15</f>
        <v/>
      </c>
      <c r="H89" s="226">
        <f>H76*Inicio!$W$4+H77*Inicio!$W$5+H78*Inicio!$W$6+H79*Inicio!$W$7+H80*Inicio!$W$8+H81*Inicio!$W$9+H82*Inicio!$W$10+H83*Inicio!$W$11+H84*Inicio!$W$12+H85*Inicio!$W$13+H86*Inicio!$W$14+H87*Inicio!$W$15</f>
        <v/>
      </c>
      <c r="I89" s="226">
        <f>I76*Inicio!$W$4+I77*Inicio!$W$5+I78*Inicio!$W$6+I79*Inicio!$W$7+I80*Inicio!$W$8+I81*Inicio!$W$9+I82*Inicio!$W$10+I83*Inicio!$W$11+I84*Inicio!$W$12+I85*Inicio!$W$13+I86*Inicio!$W$14+I87*Inicio!$W$15</f>
        <v/>
      </c>
      <c r="J89" s="226">
        <f>J76*Inicio!$W$4+J77*Inicio!$W$5+J78*Inicio!$W$6+J79*Inicio!$W$7+J80*Inicio!$W$8+J81*Inicio!$W$9+J82*Inicio!$W$10+J83*Inicio!$W$11+J84*Inicio!$W$12+J85*Inicio!$W$13+J86*Inicio!$W$14+J87*Inicio!$W$15</f>
        <v/>
      </c>
      <c r="K89" s="226">
        <f>K76*Inicio!$W$4+K77*Inicio!$W$5+K78*Inicio!$W$6+K79*Inicio!$W$7+K80*Inicio!$W$8+K81*Inicio!$W$9+K82*Inicio!$W$10+K83*Inicio!$W$11+K84*Inicio!$W$12+K85*Inicio!$W$13+K86*Inicio!$W$14+K87*Inicio!$W$15</f>
        <v/>
      </c>
      <c r="L89" s="226">
        <f>L76*Inicio!$W$4+L77*Inicio!$W$5+L78*Inicio!$W$6+L79*Inicio!$W$7+L80*Inicio!$W$8+L81*Inicio!$W$9+L82*Inicio!$W$10+L83*Inicio!$W$11+L84*Inicio!$W$12+L85*Inicio!$W$13+L86*Inicio!$W$14+L87*Inicio!$W$15</f>
        <v/>
      </c>
      <c r="M89" s="226">
        <f>M76*Inicio!$W$4+M77*Inicio!$W$5+M78*Inicio!$W$6+M79*Inicio!$W$7+M80*Inicio!$W$8+M81*Inicio!$W$9+M82*Inicio!$W$10+M83*Inicio!$W$11+M84*Inicio!$W$12+M85*Inicio!$W$13+M86*Inicio!$W$14+M87*Inicio!$W$15</f>
        <v/>
      </c>
      <c r="N89" s="226">
        <f>N76*Inicio!$W$4+N77*Inicio!$W$5+N78*Inicio!$W$6+N79*Inicio!$W$7+N80*Inicio!$W$8+N81*Inicio!$W$9+N82*Inicio!$W$10+N83*Inicio!$W$11+N84*Inicio!$W$12+N85*Inicio!$W$13+N86*Inicio!$W$14+N87*Inicio!$W$15</f>
        <v/>
      </c>
      <c r="O89" s="226">
        <f>O76*Inicio!$W$4+O77*Inicio!$W$5+O78*Inicio!$W$6+O79*Inicio!$W$7+O80*Inicio!$W$8+O81*Inicio!$W$9+O82*Inicio!$W$10+O83*Inicio!$W$11+O84*Inicio!$W$12+O85*Inicio!$W$13+O86*Inicio!$W$14+O87*Inicio!$W$15</f>
        <v/>
      </c>
      <c r="P89" s="226">
        <f>P76*Inicio!$W$4+P77*Inicio!$W$5+P78*Inicio!$W$6+P79*Inicio!$W$7+P80*Inicio!$W$8+P81*Inicio!$W$9+P82*Inicio!$W$10+P83*Inicio!$W$11+P84*Inicio!$W$12+P85*Inicio!$W$13+P86*Inicio!$W$14+P87*Inicio!$W$15</f>
        <v/>
      </c>
      <c r="Q89" s="226">
        <f>Q76*Inicio!$W$4+Q77*Inicio!$W$5+Q78*Inicio!$W$6+Q79*Inicio!$W$7+Q80*Inicio!$W$8+Q81*Inicio!$W$9+Q82*Inicio!$W$10+Q83*Inicio!$W$11+Q84*Inicio!$W$12+Q85*Inicio!$W$13+Q86*Inicio!$W$14+Q87*Inicio!$W$15</f>
        <v/>
      </c>
      <c r="R89" s="226">
        <f>R76*Inicio!$W$4+R77*Inicio!$W$5+R78*Inicio!$W$6+R79*Inicio!$W$7+R80*Inicio!$W$8+R81*Inicio!$W$9+R82*Inicio!$W$10+R83*Inicio!$W$11+R84*Inicio!$W$12+R85*Inicio!$W$13+R86*Inicio!$W$14+R87*Inicio!$W$15</f>
        <v/>
      </c>
      <c r="S89" s="226">
        <f>S76*Inicio!$W$4+S77*Inicio!$W$5+S78*Inicio!$W$6+S79*Inicio!$W$7+S80*Inicio!$W$8+S81*Inicio!$W$9+S82*Inicio!$W$10+S83*Inicio!$W$11+S84*Inicio!$W$12+S85*Inicio!$W$13+S86*Inicio!$W$14+S87*Inicio!$W$15</f>
        <v/>
      </c>
      <c r="T89" s="226">
        <f>T76*Inicio!$W$4+T77*Inicio!$W$5+T78*Inicio!$W$6+T79*Inicio!$W$7+T80*Inicio!$W$8+T81*Inicio!$W$9+T82*Inicio!$W$10+T83*Inicio!$W$11+T84*Inicio!$W$12+T85*Inicio!$W$13+T86*Inicio!$W$14+T87*Inicio!$W$15</f>
        <v/>
      </c>
      <c r="U89" s="226">
        <f>U76*Inicio!$W$4+U77*Inicio!$W$5+U78*Inicio!$W$6+U79*Inicio!$W$7+U80*Inicio!$W$8+U81*Inicio!$W$9+U82*Inicio!$W$10+U83*Inicio!$W$11+U84*Inicio!$W$12+U85*Inicio!$W$13+U86*Inicio!$W$14+U87*Inicio!$W$15</f>
        <v/>
      </c>
      <c r="V89" s="226">
        <f>V76*Inicio!$W$4+V77*Inicio!$W$5+V78*Inicio!$W$6+V79*Inicio!$W$7+V80*Inicio!$W$8+V81*Inicio!$W$9+V82*Inicio!$W$10+V83*Inicio!$W$11+V84*Inicio!$W$12+V85*Inicio!$W$13+V86*Inicio!$W$14+V87*Inicio!$W$15</f>
        <v/>
      </c>
      <c r="W89" s="226">
        <f>W76*Inicio!$W$4+W77*Inicio!$W$5+W78*Inicio!$W$6+W79*Inicio!$W$7+W80*Inicio!$W$8+W81*Inicio!$W$9+W82*Inicio!$W$10+W83*Inicio!$W$11+W84*Inicio!$W$12+W85*Inicio!$W$13+W86*Inicio!$W$14+W87*Inicio!$W$15</f>
        <v/>
      </c>
      <c r="X89" s="226">
        <f>X76*Inicio!$W$4+X77*Inicio!$W$5+X78*Inicio!$W$6+X79*Inicio!$W$7+X80*Inicio!$W$8+X81*Inicio!$W$9+X82*Inicio!$W$10+X83*Inicio!$W$11+X84*Inicio!$W$12+X85*Inicio!$W$13+X86*Inicio!$W$14+X87*Inicio!$W$15</f>
        <v/>
      </c>
      <c r="Y89" s="226">
        <f>Y76*Inicio!$W$4+Y77*Inicio!$W$5+Y78*Inicio!$W$6+Y79*Inicio!$W$7+Y80*Inicio!$W$8+Y81*Inicio!$W$9+Y82*Inicio!$W$10+Y83*Inicio!$W$11+Y84*Inicio!$W$12+Y85*Inicio!$W$13+Y86*Inicio!$W$14+Y87*Inicio!$W$15</f>
        <v/>
      </c>
      <c r="Z89" s="226">
        <f>Z76*Inicio!$W$4+Z77*Inicio!$W$5+Z78*Inicio!$W$6+Z79*Inicio!$W$7+Z80*Inicio!$W$8+Z81*Inicio!$W$9+Z82*Inicio!$W$10+Z83*Inicio!$W$11+Z84*Inicio!$W$12+Z85*Inicio!$W$13+Z86*Inicio!$W$14+Z87*Inicio!$W$15</f>
        <v/>
      </c>
      <c r="AA89" s="226">
        <f>AA76*Inicio!$W$4+AA77*Inicio!$W$5+AA78*Inicio!$W$6+AA79*Inicio!$W$7+AA80*Inicio!$W$8+AA81*Inicio!$W$9+AA82*Inicio!$W$10+AA83*Inicio!$W$11+AA84*Inicio!$W$12+AA85*Inicio!$W$13+AA86*Inicio!$W$14+AA87*Inicio!$W$15</f>
        <v/>
      </c>
      <c r="AB89" s="226">
        <f>AB76*Inicio!$W$4+AB77*Inicio!$W$5+AB78*Inicio!$W$6+AB79*Inicio!$W$7+AB80*Inicio!$W$8+AB81*Inicio!$W$9+AB82*Inicio!$W$10+AB83*Inicio!$W$11+AB84*Inicio!$W$12+AB85*Inicio!$W$13+AB86*Inicio!$W$14+AB87*Inicio!$W$15</f>
        <v/>
      </c>
      <c r="AC89" s="226">
        <f>AC76*Inicio!$W$4+AC77*Inicio!$W$5+AC78*Inicio!$W$6+AC79*Inicio!$W$7+AC80*Inicio!$W$8+AC81*Inicio!$W$9+AC82*Inicio!$W$10+AC83*Inicio!$W$11+AC84*Inicio!$W$12+AC85*Inicio!$W$13+AC86*Inicio!$W$14+AC87*Inicio!$W$15</f>
        <v/>
      </c>
      <c r="AD89" s="226">
        <f>AD76*Inicio!$W$4+AD77*Inicio!$W$5+AD78*Inicio!$W$6+AD79*Inicio!$W$7+AD80*Inicio!$W$8+AD81*Inicio!$W$9+AD82*Inicio!$W$10+AD83*Inicio!$W$11+AD84*Inicio!$W$12+AD85*Inicio!$W$13+AD86*Inicio!$W$14+AD87*Inicio!$W$15</f>
        <v/>
      </c>
      <c r="AE89" s="226">
        <f>AE76*Inicio!$W$4+AE77*Inicio!$W$5+AE78*Inicio!$W$6+AE79*Inicio!$W$7+AE80*Inicio!$W$8+AE81*Inicio!$W$9+AE82*Inicio!$W$10+AE83*Inicio!$W$11+AE84*Inicio!$W$12+AE85*Inicio!$W$13+AE86*Inicio!$W$14+AE87*Inicio!$W$15</f>
        <v/>
      </c>
      <c r="AF89" s="226">
        <f>AF76*Inicio!$W$4+AF77*Inicio!$W$5+AF78*Inicio!$W$6+AF79*Inicio!$W$7+AF80*Inicio!$W$8+AF81*Inicio!$W$9+AF82*Inicio!$W$10+AF83*Inicio!$W$11+AF84*Inicio!$W$12+AF85*Inicio!$W$13+AF86*Inicio!$W$14+AF87*Inicio!$W$15</f>
        <v/>
      </c>
      <c r="AG89" s="226">
        <f>AG76*Inicio!$W$4+AG77*Inicio!$W$5+AG78*Inicio!$W$6+AG79*Inicio!$W$7+AG80*Inicio!$W$8+AG81*Inicio!$W$9+AG82*Inicio!$W$10+AG83*Inicio!$W$11+AG84*Inicio!$W$12+AG85*Inicio!$W$13+AG86*Inicio!$W$14+AG87*Inicio!$W$15</f>
        <v/>
      </c>
      <c r="AH89" s="226">
        <f>AH76*Inicio!$W$4+AH77*Inicio!$W$5+AH78*Inicio!$W$6+AH79*Inicio!$W$7+AH80*Inicio!$W$8+AH81*Inicio!$W$9+AH82*Inicio!$W$10+AH83*Inicio!$W$11+AH84*Inicio!$W$12+AH85*Inicio!$W$13+AH86*Inicio!$W$14+AH87*Inicio!$W$15</f>
        <v/>
      </c>
      <c r="AI89" s="226">
        <f>AI76*Inicio!$W$4+AI77*Inicio!$W$5+AI78*Inicio!$W$6+AI79*Inicio!$W$7+AI80*Inicio!$W$8+AI81*Inicio!$W$9+AI82*Inicio!$W$10+AI83*Inicio!$W$11+AI84*Inicio!$W$12+AI85*Inicio!$W$13+AI86*Inicio!$W$14+AI87*Inicio!$W$15</f>
        <v/>
      </c>
      <c r="AJ89" s="226">
        <f>AJ76*Inicio!$W$4+AJ77*Inicio!$W$5+AJ78*Inicio!$W$6+AJ79*Inicio!$W$7+AJ80*Inicio!$W$8+AJ81*Inicio!$W$9+AJ82*Inicio!$W$10+AJ83*Inicio!$W$11+AJ84*Inicio!$W$12+AJ85*Inicio!$W$13+AJ86*Inicio!$W$14+AJ87*Inicio!$W$15</f>
        <v/>
      </c>
      <c r="AK89" s="226">
        <f>AK76*Inicio!$W$4+AK77*Inicio!$W$5+AK78*Inicio!$W$6+AK79*Inicio!$W$7+AK80*Inicio!$W$8+AK81*Inicio!$W$9+AK82*Inicio!$W$10+AK83*Inicio!$W$11+AK84*Inicio!$W$12+AK85*Inicio!$W$13+AK86*Inicio!$W$14+AK87*Inicio!$W$15</f>
        <v/>
      </c>
      <c r="AL89" s="226">
        <f>AL76*Inicio!$W$4+AL77*Inicio!$W$5+AL78*Inicio!$W$6+AL79*Inicio!$W$7+AL80*Inicio!$W$8+AL81*Inicio!$W$9+AL82*Inicio!$W$10+AL83*Inicio!$W$11+AL84*Inicio!$W$12+AL85*Inicio!$W$13+AL86*Inicio!$W$14+AL87*Inicio!$W$15</f>
        <v/>
      </c>
      <c r="AM89" s="226">
        <f>AM76*Inicio!$W$4+AM77*Inicio!$W$5+AM78*Inicio!$W$6+AM79*Inicio!$W$7+AM80*Inicio!$W$8+AM81*Inicio!$W$9+AM82*Inicio!$W$10+AM83*Inicio!$W$11+AM84*Inicio!$W$12+AM85*Inicio!$W$13+AM86*Inicio!$W$14+AM87*Inicio!$W$15</f>
        <v/>
      </c>
      <c r="AN89" s="226">
        <f>AN76*Inicio!$W$4+AN77*Inicio!$W$5+AN78*Inicio!$W$6+AN79*Inicio!$W$7+AN80*Inicio!$W$8+AN81*Inicio!$W$9+AN82*Inicio!$W$10+AN83*Inicio!$W$11+AN84*Inicio!$W$12+AN85*Inicio!$W$13+AN86*Inicio!$W$14+AN87*Inicio!$W$15</f>
        <v/>
      </c>
      <c r="AO89" s="226">
        <f>AO76*Inicio!$W$4+AO77*Inicio!$W$5+AO78*Inicio!$W$6+AO79*Inicio!$W$7+AO80*Inicio!$W$8+AO81*Inicio!$W$9+AO82*Inicio!$W$10+AO83*Inicio!$W$11+AO84*Inicio!$W$12+AO85*Inicio!$W$13+AO86*Inicio!$W$14+AO87*Inicio!$W$15</f>
        <v/>
      </c>
      <c r="AP89" s="226">
        <f>AP76*Inicio!$W$4+AP77*Inicio!$W$5+AP78*Inicio!$W$6+AP79*Inicio!$W$7+AP80*Inicio!$W$8+AP81*Inicio!$W$9+AP82*Inicio!$W$10+AP83*Inicio!$W$11+AP84*Inicio!$W$12+AP85*Inicio!$W$13+AP86*Inicio!$W$14+AP87*Inicio!$W$15</f>
        <v/>
      </c>
      <c r="AQ89" s="226">
        <f>AQ76*Inicio!$W$4+AQ77*Inicio!$W$5+AQ78*Inicio!$W$6+AQ79*Inicio!$W$7+AQ80*Inicio!$W$8+AQ81*Inicio!$W$9+AQ82*Inicio!$W$10+AQ83*Inicio!$W$11+AQ84*Inicio!$W$12+AQ85*Inicio!$W$13+AQ86*Inicio!$W$14+AQ87*Inicio!$W$15</f>
        <v/>
      </c>
      <c r="AR89" s="226">
        <f>AR76*Inicio!$W$4+AR77*Inicio!$W$5+AR78*Inicio!$W$6+AR79*Inicio!$W$7+AR80*Inicio!$W$8+AR81*Inicio!$W$9+AR82*Inicio!$W$10+AR83*Inicio!$W$11+AR84*Inicio!$W$12+AR85*Inicio!$W$13+AR86*Inicio!$W$14+AR87*Inicio!$W$15</f>
        <v/>
      </c>
      <c r="AS89" s="227">
        <f>AS76*Inicio!$W$4+AS77*Inicio!$W$5+AS78*Inicio!$W$6+AS79*Inicio!$W$7+AS80*Inicio!$W$8+AS81*Inicio!$W$9+AS82*Inicio!$W$10+AS83*Inicio!$W$11+AS84*Inicio!$W$12+AS85*Inicio!$W$13+AS86*Inicio!$W$14+AS87*Inicio!$W$15</f>
        <v/>
      </c>
    </row>
  </sheetData>
  <mergeCells count="26">
    <mergeCell ref="AS6:AU6"/>
    <mergeCell ref="AJ74:AS74"/>
    <mergeCell ref="E2:AU2"/>
    <mergeCell ref="AT73:AT75"/>
    <mergeCell ref="F6:J6"/>
    <mergeCell ref="F7:J7"/>
    <mergeCell ref="AS7:AU7"/>
    <mergeCell ref="AQ7:AR7"/>
    <mergeCell ref="E9:AU68"/>
    <mergeCell ref="E70:AU70"/>
    <mergeCell ref="P74:Y74"/>
    <mergeCell ref="F73:O73"/>
    <mergeCell ref="Z74:AI74"/>
    <mergeCell ref="F5:J5"/>
    <mergeCell ref="P73:Y73"/>
    <mergeCell ref="E73:E75"/>
    <mergeCell ref="F74:O74"/>
    <mergeCell ref="AU73:AU75"/>
    <mergeCell ref="AS5:AU5"/>
    <mergeCell ref="AQ5:AR5"/>
    <mergeCell ref="AJ73:AS73"/>
    <mergeCell ref="AQ4:AR4"/>
    <mergeCell ref="AQ6:AR6"/>
    <mergeCell ref="AS4:AU4"/>
    <mergeCell ref="Z73:AI73"/>
    <mergeCell ref="F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BA89"/>
  <sheetViews>
    <sheetView topLeftCell="A44" zoomScale="70" zoomScaleNormal="70" workbookViewId="0">
      <selection activeCell="A1" sqref="A1"/>
    </sheetView>
  </sheetViews>
  <sheetFormatPr baseColWidth="10" defaultRowHeight="15" outlineLevelCol="0"/>
  <cols>
    <col width="11.42578125" customWidth="1" style="134" min="1" max="1"/>
    <col width="11.42578125" customWidth="1" style="134" min="2" max="3"/>
    <col hidden="1" width="4.140625" customWidth="1" min="4" max="4"/>
    <col width="14.85546875" customWidth="1" min="5" max="5"/>
    <col width="6.7109375" customWidth="1" min="6" max="45"/>
    <col width="7.28515625" customWidth="1" style="134" min="46" max="47"/>
    <col width="14.85546875" customWidth="1" min="48" max="49"/>
    <col width="14.42578125" bestFit="1" customWidth="1" min="53" max="53"/>
  </cols>
  <sheetData>
    <row r="1" ht="15.75" customFormat="1" customHeight="1" s="134" thickBot="1"/>
    <row r="2" ht="36.75" customFormat="1" customHeight="1" s="134" thickBot="1">
      <c r="E2" s="238" t="inlineStr">
        <is>
          <t>FLUJOGRAMA VEHICULAR DIRECCIONAL</t>
        </is>
      </c>
      <c r="F2" s="239" t="n"/>
      <c r="G2" s="239" t="n"/>
      <c r="H2" s="239" t="n"/>
      <c r="I2" s="239" t="n"/>
      <c r="J2" s="239" t="n"/>
      <c r="K2" s="239" t="n"/>
      <c r="L2" s="239" t="n"/>
      <c r="M2" s="239" t="n"/>
      <c r="N2" s="239" t="n"/>
      <c r="O2" s="239" t="n"/>
      <c r="P2" s="239" t="n"/>
      <c r="Q2" s="239" t="n"/>
      <c r="R2" s="239" t="n"/>
      <c r="S2" s="239" t="n"/>
      <c r="T2" s="239" t="n"/>
      <c r="U2" s="239" t="n"/>
      <c r="V2" s="239" t="n"/>
      <c r="W2" s="239" t="n"/>
      <c r="X2" s="239" t="n"/>
      <c r="Y2" s="239" t="n"/>
      <c r="Z2" s="239" t="n"/>
      <c r="AA2" s="239" t="n"/>
      <c r="AB2" s="239" t="n"/>
      <c r="AC2" s="239" t="n"/>
      <c r="AD2" s="239" t="n"/>
      <c r="AE2" s="239" t="n"/>
      <c r="AF2" s="239" t="n"/>
      <c r="AG2" s="239" t="n"/>
      <c r="AH2" s="239" t="n"/>
      <c r="AI2" s="239" t="n"/>
      <c r="AJ2" s="239" t="n"/>
      <c r="AK2" s="239" t="n"/>
      <c r="AL2" s="239" t="n"/>
      <c r="AM2" s="239" t="n"/>
      <c r="AN2" s="239" t="n"/>
      <c r="AO2" s="239" t="n"/>
      <c r="AP2" s="239" t="n"/>
      <c r="AQ2" s="239" t="n"/>
      <c r="AR2" s="239" t="n"/>
      <c r="AS2" s="239" t="n"/>
      <c r="AT2" s="239" t="n"/>
      <c r="AU2" s="240" t="n"/>
    </row>
    <row r="3" ht="15.75" customFormat="1" customHeight="1" s="134" thickBot="1">
      <c r="AZ3" s="126" t="inlineStr">
        <is>
          <t>Metadatos</t>
        </is>
      </c>
    </row>
    <row r="4" customFormat="1" s="134">
      <c r="E4" s="104" t="inlineStr">
        <is>
          <t>Intersección:</t>
        </is>
      </c>
      <c r="F4" s="186">
        <f>Inicio!G5</f>
        <v/>
      </c>
      <c r="G4" s="105" t="n"/>
      <c r="H4" s="105" t="n"/>
      <c r="I4" s="105" t="n"/>
      <c r="J4" s="105" t="n"/>
      <c r="K4" s="105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5" t="n"/>
      <c r="V4" s="105" t="n"/>
      <c r="W4" s="105" t="n"/>
      <c r="X4" s="105" t="n"/>
      <c r="Y4" s="105" t="n"/>
      <c r="Z4" s="105" t="n"/>
      <c r="AA4" s="105" t="n"/>
      <c r="AB4" s="105" t="n"/>
      <c r="AC4" s="105" t="n"/>
      <c r="AD4" s="105" t="n"/>
      <c r="AE4" s="105" t="n"/>
      <c r="AF4" s="105" t="n"/>
      <c r="AG4" s="105" t="n"/>
      <c r="AH4" s="105" t="n"/>
      <c r="AI4" s="105" t="n"/>
      <c r="AJ4" s="105" t="n"/>
      <c r="AK4" s="105" t="n"/>
      <c r="AL4" s="105" t="n"/>
      <c r="AM4" s="105" t="n"/>
      <c r="AN4" s="105" t="n"/>
      <c r="AO4" s="105" t="n"/>
      <c r="AP4" s="105" t="n"/>
      <c r="AQ4" s="187" t="inlineStr">
        <is>
          <t>Distrito:</t>
        </is>
      </c>
      <c r="AR4" s="105" t="n"/>
      <c r="AS4" s="188">
        <f>Inicio!G9</f>
        <v/>
      </c>
      <c r="AT4" s="105" t="n"/>
      <c r="AU4" s="241" t="n"/>
      <c r="AZ4" s="134" t="inlineStr">
        <is>
          <t>Fila HP:</t>
        </is>
      </c>
      <c r="BA4" s="134">
        <f>_xlfn.LET(
_xlpm.rango, INDIRECT("N!EJ" &amp; $BA$8 &amp; ":EJ" &amp; BA9),
MATCH(MAX(_xlpm.rango),_xlpm.rango,0)
)</f>
        <v/>
      </c>
    </row>
    <row r="5" customFormat="1" s="134">
      <c r="E5" s="106" t="inlineStr">
        <is>
          <t>Fecha:</t>
        </is>
      </c>
      <c r="F5" s="189">
        <f>Inicio!G6</f>
        <v/>
      </c>
      <c r="AQ5" s="178" t="inlineStr">
        <is>
          <t>Turno:</t>
        </is>
      </c>
      <c r="AS5" s="179" t="inlineStr">
        <is>
          <t>Tarde</t>
        </is>
      </c>
      <c r="AU5" s="242" t="n"/>
      <c r="AZ5" s="134" t="inlineStr">
        <is>
          <t>Fin:</t>
        </is>
      </c>
      <c r="BA5" s="90">
        <f>TIME(0,15,0)*BA4+TIME((BA8-9)/4,0,0)</f>
        <v/>
      </c>
    </row>
    <row r="6" customFormat="1" s="134">
      <c r="E6" s="106" t="inlineStr">
        <is>
          <t>Día:</t>
        </is>
      </c>
      <c r="F6" s="177">
        <f>Inicio!G8</f>
        <v/>
      </c>
      <c r="AQ6" s="178" t="inlineStr">
        <is>
          <t>Hora Punta:</t>
        </is>
      </c>
      <c r="AS6" s="179">
        <f>BA7</f>
        <v/>
      </c>
      <c r="AU6" s="242" t="n"/>
      <c r="AZ6" s="134" t="inlineStr">
        <is>
          <t>Inicio:</t>
        </is>
      </c>
      <c r="BA6" s="90">
        <f>TIME(0,15,0)*(BA4-4)+TIME((BA8-9)/4,0,0)</f>
        <v/>
      </c>
    </row>
    <row r="7" ht="15.75" customFormat="1" customHeight="1" s="134" thickBot="1">
      <c r="E7" s="107" t="inlineStr">
        <is>
          <t>Volumen:</t>
        </is>
      </c>
      <c r="F7" s="180" t="n"/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8" t="n"/>
      <c r="R7" s="108" t="n"/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8" t="n"/>
      <c r="AD7" s="108" t="n"/>
      <c r="AE7" s="108" t="n"/>
      <c r="AF7" s="108" t="n"/>
      <c r="AG7" s="108" t="n"/>
      <c r="AH7" s="108" t="n"/>
      <c r="AI7" s="108" t="n"/>
      <c r="AJ7" s="108" t="n"/>
      <c r="AK7" s="108" t="n"/>
      <c r="AL7" s="108" t="n"/>
      <c r="AM7" s="108" t="n"/>
      <c r="AN7" s="108" t="n"/>
      <c r="AO7" s="108" t="n"/>
      <c r="AP7" s="108" t="n"/>
      <c r="AQ7" s="181" t="inlineStr">
        <is>
          <t>Volumen UCP:</t>
        </is>
      </c>
      <c r="AR7" s="108" t="n"/>
      <c r="AS7" s="182" t="n"/>
      <c r="AT7" s="108" t="n"/>
      <c r="AU7" s="243" t="n"/>
      <c r="AZ7" s="134" t="inlineStr">
        <is>
          <t>HP:</t>
        </is>
      </c>
      <c r="BA7" s="177">
        <f>TEXT(BA6, "[hh]:mm") &amp; " - " &amp; TEXT(BA5, "[hh]:mm")</f>
        <v/>
      </c>
    </row>
    <row r="8" ht="15.75" customFormat="1" customHeight="1" s="134" thickBot="1">
      <c r="AV8" s="178" t="n"/>
      <c r="AZ8" s="134" t="inlineStr">
        <is>
          <t>Fila Inicio</t>
        </is>
      </c>
      <c r="BA8" s="134" t="n">
        <v>81</v>
      </c>
    </row>
    <row r="9" customFormat="1" s="134">
      <c r="E9" s="244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5" t="n"/>
      <c r="V9" s="105" t="n"/>
      <c r="W9" s="105" t="n"/>
      <c r="X9" s="105" t="n"/>
      <c r="Y9" s="105" t="n"/>
      <c r="Z9" s="105" t="n"/>
      <c r="AA9" s="105" t="n"/>
      <c r="AB9" s="105" t="n"/>
      <c r="AC9" s="105" t="n"/>
      <c r="AD9" s="105" t="n"/>
      <c r="AE9" s="105" t="n"/>
      <c r="AF9" s="105" t="n"/>
      <c r="AG9" s="105" t="n"/>
      <c r="AH9" s="105" t="n"/>
      <c r="AI9" s="105" t="n"/>
      <c r="AJ9" s="105" t="n"/>
      <c r="AK9" s="105" t="n"/>
      <c r="AL9" s="105" t="n"/>
      <c r="AM9" s="105" t="n"/>
      <c r="AN9" s="105" t="n"/>
      <c r="AO9" s="105" t="n"/>
      <c r="AP9" s="105" t="n"/>
      <c r="AQ9" s="105" t="n"/>
      <c r="AR9" s="105" t="n"/>
      <c r="AS9" s="105" t="n"/>
      <c r="AT9" s="105" t="n"/>
      <c r="AU9" s="241" t="n"/>
      <c r="AV9" s="178" t="n"/>
      <c r="AZ9" s="134" t="inlineStr">
        <is>
          <t>Fila Fin</t>
        </is>
      </c>
      <c r="BA9" s="134" t="n">
        <v>104</v>
      </c>
    </row>
    <row r="10" customFormat="1" s="134">
      <c r="E10" s="106" t="n"/>
      <c r="AU10" s="242" t="n"/>
      <c r="AV10" s="178" t="n"/>
    </row>
    <row r="11" customFormat="1" s="134">
      <c r="E11" s="106" t="n"/>
      <c r="AU11" s="242" t="n"/>
      <c r="AV11" s="178" t="n"/>
    </row>
    <row r="12" customFormat="1" s="134">
      <c r="E12" s="106" t="n"/>
      <c r="AU12" s="242" t="n"/>
      <c r="AV12" s="178" t="n"/>
    </row>
    <row r="13" customFormat="1" s="134">
      <c r="E13" s="106" t="n"/>
      <c r="AU13" s="242" t="n"/>
      <c r="AV13" s="178" t="n"/>
    </row>
    <row r="14" customFormat="1" s="134">
      <c r="E14" s="106" t="n"/>
      <c r="AU14" s="242" t="n"/>
      <c r="AV14" s="178" t="n"/>
    </row>
    <row r="15" customFormat="1" s="134">
      <c r="E15" s="106" t="n"/>
      <c r="AU15" s="242" t="n"/>
      <c r="AV15" s="178" t="n"/>
    </row>
    <row r="16" customFormat="1" s="134">
      <c r="E16" s="106" t="n"/>
      <c r="AU16" s="242" t="n"/>
      <c r="AV16" s="178" t="n"/>
    </row>
    <row r="17" customFormat="1" s="134">
      <c r="E17" s="106" t="n"/>
      <c r="AU17" s="242" t="n"/>
      <c r="AV17" s="178" t="n"/>
    </row>
    <row r="18" customFormat="1" s="134">
      <c r="E18" s="106" t="n"/>
      <c r="AU18" s="242" t="n"/>
      <c r="AV18" s="178" t="n"/>
    </row>
    <row r="19" customFormat="1" s="134">
      <c r="E19" s="106" t="n"/>
      <c r="AU19" s="242" t="n"/>
      <c r="AV19" s="178" t="n"/>
    </row>
    <row r="20" customFormat="1" s="134">
      <c r="E20" s="106" t="n"/>
      <c r="AU20" s="242" t="n"/>
      <c r="AV20" s="178" t="n"/>
    </row>
    <row r="21" customFormat="1" s="134">
      <c r="E21" s="106" t="n"/>
      <c r="AU21" s="242" t="n"/>
      <c r="AV21" s="178" t="n"/>
    </row>
    <row r="22" customFormat="1" s="134">
      <c r="E22" s="106" t="n"/>
      <c r="AU22" s="242" t="n"/>
      <c r="AV22" s="178" t="n"/>
    </row>
    <row r="23" customFormat="1" s="134">
      <c r="E23" s="106" t="n"/>
      <c r="AU23" s="242" t="n"/>
      <c r="AV23" s="178" t="n"/>
    </row>
    <row r="24" customFormat="1" s="134">
      <c r="E24" s="106" t="n"/>
      <c r="AU24" s="242" t="n"/>
      <c r="AV24" s="178" t="n"/>
    </row>
    <row r="25" customFormat="1" s="134">
      <c r="E25" s="106" t="n"/>
      <c r="AU25" s="242" t="n"/>
      <c r="AV25" s="178" t="n"/>
    </row>
    <row r="26" customFormat="1" s="134">
      <c r="E26" s="106" t="n"/>
      <c r="AU26" s="242" t="n"/>
      <c r="AV26" s="178" t="n"/>
    </row>
    <row r="27" customFormat="1" s="134">
      <c r="E27" s="106" t="n"/>
      <c r="AU27" s="242" t="n"/>
      <c r="AV27" s="178" t="n"/>
    </row>
    <row r="28" customFormat="1" s="134">
      <c r="E28" s="106" t="n"/>
      <c r="AU28" s="242" t="n"/>
      <c r="AV28" s="178" t="n"/>
    </row>
    <row r="29" customFormat="1" s="134">
      <c r="E29" s="106" t="n"/>
      <c r="AU29" s="242" t="n"/>
      <c r="AV29" s="178" t="n"/>
    </row>
    <row r="30" customFormat="1" s="134">
      <c r="E30" s="106" t="n"/>
      <c r="AU30" s="242" t="n"/>
      <c r="AV30" s="178" t="n"/>
    </row>
    <row r="31" customFormat="1" s="134">
      <c r="E31" s="106" t="n"/>
      <c r="AU31" s="242" t="n"/>
      <c r="AV31" s="178" t="n"/>
    </row>
    <row r="32" customFormat="1" s="134">
      <c r="E32" s="106" t="n"/>
      <c r="AU32" s="242" t="n"/>
      <c r="AV32" s="178" t="n"/>
    </row>
    <row r="33" customFormat="1" s="134">
      <c r="E33" s="106" t="n"/>
      <c r="AU33" s="242" t="n"/>
      <c r="AV33" s="178" t="n"/>
    </row>
    <row r="34" customFormat="1" s="134">
      <c r="E34" s="106" t="n"/>
      <c r="AU34" s="242" t="n"/>
      <c r="AV34" s="178" t="n"/>
    </row>
    <row r="35" customFormat="1" s="134">
      <c r="E35" s="106" t="n"/>
      <c r="AU35" s="242" t="n"/>
      <c r="AV35" s="178" t="n"/>
    </row>
    <row r="36" customFormat="1" s="134">
      <c r="E36" s="106" t="n"/>
      <c r="AU36" s="242" t="n"/>
      <c r="AV36" s="178" t="n"/>
    </row>
    <row r="37" customFormat="1" s="134">
      <c r="E37" s="106" t="n"/>
      <c r="AU37" s="242" t="n"/>
      <c r="AV37" s="178" t="n"/>
    </row>
    <row r="38" customFormat="1" s="134">
      <c r="E38" s="106" t="n"/>
      <c r="AU38" s="242" t="n"/>
      <c r="AV38" s="178" t="n"/>
    </row>
    <row r="39" customFormat="1" s="134">
      <c r="E39" s="106" t="n"/>
      <c r="AU39" s="242" t="n"/>
      <c r="AV39" s="178" t="n"/>
    </row>
    <row r="40" customFormat="1" s="134">
      <c r="E40" s="106" t="n"/>
      <c r="AU40" s="242" t="n"/>
      <c r="AV40" s="178" t="n"/>
    </row>
    <row r="41" customFormat="1" s="134">
      <c r="E41" s="106" t="n"/>
      <c r="AU41" s="242" t="n"/>
      <c r="AV41" s="178" t="n"/>
    </row>
    <row r="42" customFormat="1" s="134">
      <c r="E42" s="106" t="n"/>
      <c r="AU42" s="242" t="n"/>
      <c r="AV42" s="178" t="n"/>
    </row>
    <row r="43" customFormat="1" s="134">
      <c r="E43" s="106" t="n"/>
      <c r="AU43" s="242" t="n"/>
      <c r="AV43" s="178" t="n"/>
    </row>
    <row r="44" customFormat="1" s="134">
      <c r="E44" s="106" t="n"/>
      <c r="AU44" s="242" t="n"/>
      <c r="AV44" s="178" t="n"/>
    </row>
    <row r="45" customFormat="1" s="134">
      <c r="E45" s="106" t="n"/>
      <c r="AU45" s="242" t="n"/>
      <c r="AV45" s="178" t="n"/>
    </row>
    <row r="46" customFormat="1" s="134">
      <c r="E46" s="106" t="n"/>
      <c r="AU46" s="242" t="n"/>
      <c r="AV46" s="178" t="n"/>
    </row>
    <row r="47" customFormat="1" s="134">
      <c r="E47" s="106" t="n"/>
      <c r="AU47" s="242" t="n"/>
      <c r="AV47" s="178" t="n"/>
    </row>
    <row r="48" customFormat="1" s="134">
      <c r="E48" s="106" t="n"/>
      <c r="AU48" s="242" t="n"/>
      <c r="AV48" s="178" t="n"/>
    </row>
    <row r="49" customFormat="1" s="134">
      <c r="E49" s="106" t="n"/>
      <c r="AU49" s="242" t="n"/>
      <c r="AV49" s="178" t="n"/>
    </row>
    <row r="50" customFormat="1" s="134">
      <c r="E50" s="106" t="n"/>
      <c r="AU50" s="242" t="n"/>
      <c r="AV50" s="178" t="n"/>
    </row>
    <row r="51" customFormat="1" s="134">
      <c r="E51" s="106" t="n"/>
      <c r="AU51" s="242" t="n"/>
      <c r="AV51" s="178" t="n"/>
    </row>
    <row r="52" customFormat="1" s="134">
      <c r="E52" s="106" t="n"/>
      <c r="AU52" s="242" t="n"/>
      <c r="AV52" s="178" t="n"/>
    </row>
    <row r="53" customFormat="1" s="134">
      <c r="E53" s="106" t="n"/>
      <c r="AU53" s="242" t="n"/>
      <c r="AV53" s="178" t="n"/>
    </row>
    <row r="54" customFormat="1" s="134">
      <c r="E54" s="106" t="n"/>
      <c r="AU54" s="242" t="n"/>
      <c r="AV54" s="178" t="n"/>
    </row>
    <row r="55" customFormat="1" s="134">
      <c r="E55" s="106" t="n"/>
      <c r="AU55" s="242" t="n"/>
      <c r="AV55" s="178" t="n"/>
    </row>
    <row r="56" customFormat="1" s="134">
      <c r="E56" s="106" t="n"/>
      <c r="AU56" s="242" t="n"/>
      <c r="AV56" s="178" t="n"/>
    </row>
    <row r="57" customFormat="1" s="134">
      <c r="E57" s="106" t="n"/>
      <c r="AU57" s="242" t="n"/>
      <c r="AV57" s="178" t="n"/>
    </row>
    <row r="58" customFormat="1" s="134">
      <c r="E58" s="106" t="n"/>
      <c r="AU58" s="242" t="n"/>
    </row>
    <row r="59" customFormat="1" s="134">
      <c r="E59" s="106" t="n"/>
      <c r="AU59" s="242" t="n"/>
    </row>
    <row r="60" customFormat="1" s="134">
      <c r="E60" s="106" t="n"/>
      <c r="AU60" s="242" t="n"/>
    </row>
    <row r="61" customFormat="1" s="134">
      <c r="E61" s="106" t="n"/>
      <c r="AU61" s="242" t="n"/>
    </row>
    <row r="62" customFormat="1" s="134">
      <c r="E62" s="106" t="n"/>
      <c r="AU62" s="242" t="n"/>
    </row>
    <row r="63" customFormat="1" s="134">
      <c r="E63" s="106" t="n"/>
      <c r="AU63" s="242" t="n"/>
    </row>
    <row r="64" customFormat="1" s="134">
      <c r="E64" s="106" t="n"/>
      <c r="AU64" s="242" t="n"/>
    </row>
    <row r="65" customFormat="1" s="134">
      <c r="E65" s="106" t="n"/>
      <c r="AU65" s="242" t="n"/>
    </row>
    <row r="66">
      <c r="E66" s="106" t="n"/>
      <c r="AU66" s="242" t="n"/>
    </row>
    <row r="67">
      <c r="E67" s="106" t="n"/>
      <c r="AU67" s="242" t="n"/>
    </row>
    <row r="68" ht="15.75" customHeight="1" thickBot="1">
      <c r="E68" s="107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  <c r="AA68" s="108" t="n"/>
      <c r="AB68" s="108" t="n"/>
      <c r="AC68" s="108" t="n"/>
      <c r="AD68" s="108" t="n"/>
      <c r="AE68" s="108" t="n"/>
      <c r="AF68" s="108" t="n"/>
      <c r="AG68" s="108" t="n"/>
      <c r="AH68" s="108" t="n"/>
      <c r="AI68" s="108" t="n"/>
      <c r="AJ68" s="108" t="n"/>
      <c r="AK68" s="108" t="n"/>
      <c r="AL68" s="108" t="n"/>
      <c r="AM68" s="108" t="n"/>
      <c r="AN68" s="108" t="n"/>
      <c r="AO68" s="108" t="n"/>
      <c r="AP68" s="108" t="n"/>
      <c r="AQ68" s="108" t="n"/>
      <c r="AR68" s="108" t="n"/>
      <c r="AS68" s="108" t="n"/>
      <c r="AT68" s="108" t="n"/>
      <c r="AU68" s="243" t="n"/>
    </row>
    <row r="69" ht="15.75" customFormat="1" customHeight="1" s="134" thickBot="1"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  <c r="AG69" s="159" t="n"/>
      <c r="AH69" s="159" t="n"/>
      <c r="AI69" s="159" t="n"/>
      <c r="AJ69" s="159" t="n"/>
      <c r="AK69" s="159" t="n"/>
      <c r="AL69" s="159" t="n"/>
      <c r="AM69" s="159" t="n"/>
      <c r="AN69" s="159" t="n"/>
      <c r="AO69" s="159" t="n"/>
      <c r="AP69" s="159" t="n"/>
      <c r="AQ69" s="159" t="n"/>
      <c r="AR69" s="159" t="n"/>
      <c r="AS69" s="159" t="n"/>
      <c r="AT69" s="159" t="n"/>
      <c r="AU69" s="159" t="n"/>
    </row>
    <row r="70" ht="30" customFormat="1" customHeight="1" s="134" thickBot="1">
      <c r="E70" s="245" t="inlineStr">
        <is>
          <t>DISTRIBUCIÓN DE VOLUMEN POR GIRO, SENTIDO Y TIPOLOGÍA</t>
        </is>
      </c>
      <c r="F70" s="239" t="n"/>
      <c r="G70" s="239" t="n"/>
      <c r="H70" s="239" t="n"/>
      <c r="I70" s="239" t="n"/>
      <c r="J70" s="239" t="n"/>
      <c r="K70" s="239" t="n"/>
      <c r="L70" s="239" t="n"/>
      <c r="M70" s="239" t="n"/>
      <c r="N70" s="239" t="n"/>
      <c r="O70" s="239" t="n"/>
      <c r="P70" s="239" t="n"/>
      <c r="Q70" s="239" t="n"/>
      <c r="R70" s="239" t="n"/>
      <c r="S70" s="239" t="n"/>
      <c r="T70" s="239" t="n"/>
      <c r="U70" s="239" t="n"/>
      <c r="V70" s="239" t="n"/>
      <c r="W70" s="239" t="n"/>
      <c r="X70" s="239" t="n"/>
      <c r="Y70" s="239" t="n"/>
      <c r="Z70" s="239" t="n"/>
      <c r="AA70" s="239" t="n"/>
      <c r="AB70" s="239" t="n"/>
      <c r="AC70" s="239" t="n"/>
      <c r="AD70" s="239" t="n"/>
      <c r="AE70" s="239" t="n"/>
      <c r="AF70" s="239" t="n"/>
      <c r="AG70" s="239" t="n"/>
      <c r="AH70" s="239" t="n"/>
      <c r="AI70" s="239" t="n"/>
      <c r="AJ70" s="239" t="n"/>
      <c r="AK70" s="239" t="n"/>
      <c r="AL70" s="239" t="n"/>
      <c r="AM70" s="239" t="n"/>
      <c r="AN70" s="239" t="n"/>
      <c r="AO70" s="239" t="n"/>
      <c r="AP70" s="239" t="n"/>
      <c r="AQ70" s="239" t="n"/>
      <c r="AR70" s="239" t="n"/>
      <c r="AS70" s="239" t="n"/>
      <c r="AT70" s="239" t="n"/>
      <c r="AU70" s="240" t="n"/>
    </row>
    <row r="71" ht="15.75" customHeight="1" thickBot="1"/>
    <row r="72" hidden="1" ht="15.75" customHeight="1" thickBot="1">
      <c r="F72" s="17" t="n">
        <v>1</v>
      </c>
      <c r="G72" s="17" t="n">
        <v>2</v>
      </c>
      <c r="H72" s="17" t="n">
        <v>3</v>
      </c>
      <c r="I72" s="17" t="n">
        <v>4</v>
      </c>
      <c r="J72" s="17" t="n">
        <v>5</v>
      </c>
      <c r="K72" s="17" t="n">
        <v>6</v>
      </c>
      <c r="L72" s="17" t="n">
        <v>7</v>
      </c>
      <c r="M72" s="17" t="n">
        <v>8</v>
      </c>
      <c r="N72" s="17" t="n">
        <v>9</v>
      </c>
      <c r="O72" s="17" t="n">
        <v>10</v>
      </c>
      <c r="P72" s="17" t="n">
        <v>1</v>
      </c>
      <c r="Q72" s="17" t="n">
        <v>2</v>
      </c>
      <c r="R72" s="17" t="n">
        <v>3</v>
      </c>
      <c r="S72" s="17" t="n">
        <v>4</v>
      </c>
      <c r="T72" s="17" t="n">
        <v>5</v>
      </c>
      <c r="U72" s="17" t="n">
        <v>6</v>
      </c>
      <c r="V72" s="17" t="n">
        <v>7</v>
      </c>
      <c r="W72" s="17" t="n">
        <v>8</v>
      </c>
      <c r="X72" s="17" t="n">
        <v>9</v>
      </c>
      <c r="Y72" s="17" t="n">
        <v>10</v>
      </c>
      <c r="Z72" s="17" t="n">
        <v>1</v>
      </c>
      <c r="AA72" s="17" t="n">
        <v>2</v>
      </c>
      <c r="AB72" s="17" t="n">
        <v>3</v>
      </c>
      <c r="AC72" s="17" t="n">
        <v>4</v>
      </c>
      <c r="AD72" s="17" t="n">
        <v>5</v>
      </c>
      <c r="AE72" s="17" t="n">
        <v>6</v>
      </c>
      <c r="AF72" s="17" t="n">
        <v>7</v>
      </c>
      <c r="AG72" s="17" t="n">
        <v>8</v>
      </c>
      <c r="AH72" s="17" t="n">
        <v>9</v>
      </c>
      <c r="AI72" s="17" t="n">
        <v>10</v>
      </c>
      <c r="AJ72" s="17" t="n">
        <v>1</v>
      </c>
      <c r="AK72" s="17" t="n">
        <v>2</v>
      </c>
      <c r="AL72" s="17" t="n">
        <v>3</v>
      </c>
      <c r="AM72" s="17" t="n">
        <v>4</v>
      </c>
      <c r="AN72" s="17" t="n">
        <v>5</v>
      </c>
      <c r="AO72" s="17" t="n">
        <v>6</v>
      </c>
      <c r="AP72" s="17" t="n">
        <v>7</v>
      </c>
      <c r="AQ72" s="17" t="n">
        <v>8</v>
      </c>
      <c r="AR72" s="17" t="n">
        <v>9</v>
      </c>
      <c r="AS72" s="17" t="n">
        <v>10</v>
      </c>
      <c r="AT72" s="159" t="n"/>
      <c r="AU72" s="159" t="n"/>
    </row>
    <row r="73" ht="21.75" customHeight="1">
      <c r="E73" s="167" t="inlineStr">
        <is>
          <t>Tipo de Vehículo</t>
        </is>
      </c>
      <c r="F73" s="169">
        <f>Inicio!$H$12</f>
        <v/>
      </c>
      <c r="G73" s="246" t="n"/>
      <c r="H73" s="246" t="n"/>
      <c r="I73" s="246" t="n"/>
      <c r="J73" s="246" t="n"/>
      <c r="K73" s="246" t="n"/>
      <c r="L73" s="246" t="n"/>
      <c r="M73" s="246" t="n"/>
      <c r="N73" s="246" t="n"/>
      <c r="O73" s="247" t="n"/>
      <c r="P73" s="169">
        <f>Inicio!$H$12</f>
        <v/>
      </c>
      <c r="Q73" s="246" t="n"/>
      <c r="R73" s="246" t="n"/>
      <c r="S73" s="246" t="n"/>
      <c r="T73" s="246" t="n"/>
      <c r="U73" s="246" t="n"/>
      <c r="V73" s="246" t="n"/>
      <c r="W73" s="246" t="n"/>
      <c r="X73" s="246" t="n"/>
      <c r="Y73" s="247" t="n"/>
      <c r="Z73" s="169">
        <f>Inicio!$H$12</f>
        <v/>
      </c>
      <c r="AA73" s="246" t="n"/>
      <c r="AB73" s="246" t="n"/>
      <c r="AC73" s="246" t="n"/>
      <c r="AD73" s="246" t="n"/>
      <c r="AE73" s="246" t="n"/>
      <c r="AF73" s="246" t="n"/>
      <c r="AG73" s="246" t="n"/>
      <c r="AH73" s="246" t="n"/>
      <c r="AI73" s="247" t="n"/>
      <c r="AJ73" s="169">
        <f>Inicio!$H$12</f>
        <v/>
      </c>
      <c r="AK73" s="246" t="n"/>
      <c r="AL73" s="246" t="n"/>
      <c r="AM73" s="246" t="n"/>
      <c r="AN73" s="246" t="n"/>
      <c r="AO73" s="246" t="n"/>
      <c r="AP73" s="246" t="n"/>
      <c r="AQ73" s="246" t="n"/>
      <c r="AR73" s="246" t="n"/>
      <c r="AS73" s="247" t="n"/>
      <c r="AT73" s="248" t="inlineStr">
        <is>
          <t>Total</t>
        </is>
      </c>
      <c r="AU73" s="249" t="inlineStr">
        <is>
          <t>%</t>
        </is>
      </c>
    </row>
    <row r="74" ht="15" customHeight="1">
      <c r="E74" s="250" t="n"/>
      <c r="F74" s="153" t="inlineStr">
        <is>
          <t>Norte</t>
        </is>
      </c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2" t="n"/>
      <c r="P74" s="152" t="inlineStr">
        <is>
          <t>Sur</t>
        </is>
      </c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2" t="n"/>
      <c r="Z74" s="153" t="inlineStr">
        <is>
          <t>Este</t>
        </is>
      </c>
      <c r="AA74" s="251" t="n"/>
      <c r="AB74" s="251" t="n"/>
      <c r="AC74" s="251" t="n"/>
      <c r="AD74" s="251" t="n"/>
      <c r="AE74" s="251" t="n"/>
      <c r="AF74" s="251" t="n"/>
      <c r="AG74" s="251" t="n"/>
      <c r="AH74" s="251" t="n"/>
      <c r="AI74" s="252" t="n"/>
      <c r="AJ74" s="152" t="inlineStr">
        <is>
          <t>Oeste</t>
        </is>
      </c>
      <c r="AK74" s="251" t="n"/>
      <c r="AL74" s="251" t="n"/>
      <c r="AM74" s="251" t="n"/>
      <c r="AN74" s="251" t="n"/>
      <c r="AO74" s="251" t="n"/>
      <c r="AP74" s="251" t="n"/>
      <c r="AQ74" s="251" t="n"/>
      <c r="AR74" s="251" t="n"/>
      <c r="AS74" s="252" t="n"/>
      <c r="AT74" s="250" t="n"/>
      <c r="AU74" s="253" t="n"/>
    </row>
    <row r="75">
      <c r="D75" t="n">
        <v>0</v>
      </c>
      <c r="E75" s="254" t="n"/>
      <c r="F75" s="127">
        <f>Inicio!$G$12</f>
        <v/>
      </c>
      <c r="G75" s="127">
        <f>Inicio!$G$13</f>
        <v/>
      </c>
      <c r="H75" s="127">
        <f>Inicio!$G$14</f>
        <v/>
      </c>
      <c r="I75" s="127">
        <f>Inicio!$G$15</f>
        <v/>
      </c>
      <c r="J75" s="127">
        <f>Inicio!$G$16</f>
        <v/>
      </c>
      <c r="K75" s="127">
        <f>Inicio!$G$17</f>
        <v/>
      </c>
      <c r="L75" s="127">
        <f>Inicio!$G$18</f>
        <v/>
      </c>
      <c r="M75" s="127">
        <f>Inicio!$G$19</f>
        <v/>
      </c>
      <c r="N75" s="127">
        <f>Inicio!$G$20</f>
        <v/>
      </c>
      <c r="O75" s="127">
        <f>Inicio!$G$21</f>
        <v/>
      </c>
      <c r="P75" s="91">
        <f>Inicio!$M$12</f>
        <v/>
      </c>
      <c r="Q75" s="91">
        <f>Inicio!$M$13</f>
        <v/>
      </c>
      <c r="R75" s="91">
        <f>Inicio!$M$14</f>
        <v/>
      </c>
      <c r="S75" s="91">
        <f>Inicio!$M$15</f>
        <v/>
      </c>
      <c r="T75" s="91">
        <f>Inicio!$M$16</f>
        <v/>
      </c>
      <c r="U75" s="91">
        <f>Inicio!$M$17</f>
        <v/>
      </c>
      <c r="V75" s="91">
        <f>Inicio!$M$18</f>
        <v/>
      </c>
      <c r="W75" s="91">
        <f>Inicio!$M$19</f>
        <v/>
      </c>
      <c r="X75" s="91">
        <f>Inicio!$M$20</f>
        <v/>
      </c>
      <c r="Y75" s="91">
        <f>Inicio!$M$21</f>
        <v/>
      </c>
      <c r="Z75" s="127">
        <f>Inicio!$G$24</f>
        <v/>
      </c>
      <c r="AA75" s="127">
        <f>Inicio!$G$25</f>
        <v/>
      </c>
      <c r="AB75" s="127">
        <f>Inicio!$G$26</f>
        <v/>
      </c>
      <c r="AC75" s="127">
        <f>Inicio!$G$27</f>
        <v/>
      </c>
      <c r="AD75" s="127">
        <f>Inicio!$G$28</f>
        <v/>
      </c>
      <c r="AE75" s="127">
        <f>Inicio!$G$29</f>
        <v/>
      </c>
      <c r="AF75" s="127">
        <f>Inicio!$G$30</f>
        <v/>
      </c>
      <c r="AG75" s="127">
        <f>Inicio!$G$31</f>
        <v/>
      </c>
      <c r="AH75" s="127">
        <f>Inicio!$G$32</f>
        <v/>
      </c>
      <c r="AI75" s="127">
        <f>Inicio!$G$33</f>
        <v/>
      </c>
      <c r="AJ75" s="91">
        <f>Inicio!$M$24</f>
        <v/>
      </c>
      <c r="AK75" s="91">
        <f>Inicio!$M$25</f>
        <v/>
      </c>
      <c r="AL75" s="91">
        <f>Inicio!$M$26</f>
        <v/>
      </c>
      <c r="AM75" s="91">
        <f>Inicio!$M$27</f>
        <v/>
      </c>
      <c r="AN75" s="91">
        <f>Inicio!$M$28</f>
        <v/>
      </c>
      <c r="AO75" s="91">
        <f>Inicio!$M$29</f>
        <v/>
      </c>
      <c r="AP75" s="91">
        <f>Inicio!$M$30</f>
        <v/>
      </c>
      <c r="AQ75" s="91">
        <f>Inicio!$M$31</f>
        <v/>
      </c>
      <c r="AR75" s="91">
        <f>Inicio!$M$32</f>
        <v/>
      </c>
      <c r="AS75" s="109">
        <f>Inicio!$M$33</f>
        <v/>
      </c>
      <c r="AT75" s="254" t="n"/>
      <c r="AU75" s="255" t="n"/>
    </row>
    <row r="76">
      <c r="D76" t="n">
        <v>1</v>
      </c>
      <c r="E76" s="110">
        <f>Inicio!V4</f>
        <v/>
      </c>
      <c r="F76" s="99">
        <f t="array" ref="F76">_xlfn.LET(
_xlpm.rango, INDIRECT("N!$C$" &amp; $BA$8 &amp; ":$DR$" &amp; $BA$9),
_xlpm.col, F$72+$D75*10,
INDEX(_xlpm.rango,$BA$4-3,_xlpm.col) +
INDEX(_xlpm.rango,$BA$4-2,_xlpm.col) +
INDEX(_xlpm.rango,$BA$4-1,_xlpm.col) +
INDEX(_xlpm.rango,$BA$4, _xlpm.col)
)</f>
        <v/>
      </c>
      <c r="G76" s="93">
        <f t="array" ref="G76">_xlfn.LET(
_xlpm.rango, INDIRECT("N!$C$" &amp; $BA$8 &amp; ":$DR$" &amp; $BA$9),
_xlpm.col, G$72+$D75*10,
INDEX(_xlpm.rango,$BA$4-3,_xlpm.col) +
INDEX(_xlpm.rango,$BA$4-2,_xlpm.col) +
INDEX(_xlpm.rango,$BA$4-1,_xlpm.col) +
INDEX(_xlpm.rango,$BA$4, _xlpm.col)
)</f>
        <v/>
      </c>
      <c r="H76" s="93">
        <f t="array" ref="H76">_xlfn.LET(
_xlpm.rango, INDIRECT("N!$C$" &amp; $BA$8 &amp; ":$DR$" &amp; $BA$9),
_xlpm.col, H$72+$D75*10,
INDEX(_xlpm.rango,$BA$4-3,_xlpm.col) +
INDEX(_xlpm.rango,$BA$4-2,_xlpm.col) +
INDEX(_xlpm.rango,$BA$4-1,_xlpm.col) +
INDEX(_xlpm.rango,$BA$4, _xlpm.col)
)</f>
        <v/>
      </c>
      <c r="I76" s="93">
        <f t="array" ref="I76">_xlfn.LET(
_xlpm.rango, INDIRECT("N!$C$" &amp; $BA$8 &amp; ":$DR$" &amp; $BA$9),
_xlpm.col, I$72+$D75*10,
INDEX(_xlpm.rango,$BA$4-3,_xlpm.col) +
INDEX(_xlpm.rango,$BA$4-2,_xlpm.col) +
INDEX(_xlpm.rango,$BA$4-1,_xlpm.col) +
INDEX(_xlpm.rango,$BA$4, _xlpm.col)
)</f>
        <v/>
      </c>
      <c r="J76" s="93">
        <f t="array" ref="J76">_xlfn.LET(
_xlpm.rango, INDIRECT("N!$C$" &amp; $BA$8 &amp; ":$DR$" &amp; $BA$9),
_xlpm.col, J$72+$D75*10,
INDEX(_xlpm.rango,$BA$4-3,_xlpm.col) +
INDEX(_xlpm.rango,$BA$4-2,_xlpm.col) +
INDEX(_xlpm.rango,$BA$4-1,_xlpm.col) +
INDEX(_xlpm.rango,$BA$4, _xlpm.col)
)</f>
        <v/>
      </c>
      <c r="K76" s="93">
        <f t="array" ref="K76">_xlfn.LET(
_xlpm.rango, INDIRECT("N!$C$" &amp; $BA$8 &amp; ":$DR$" &amp; $BA$9),
_xlpm.col, K$72+$D75*10,
INDEX(_xlpm.rango,$BA$4-3,_xlpm.col) +
INDEX(_xlpm.rango,$BA$4-2,_xlpm.col) +
INDEX(_xlpm.rango,$BA$4-1,_xlpm.col) +
INDEX(_xlpm.rango,$BA$4, _xlpm.col)
)</f>
        <v/>
      </c>
      <c r="L76" s="93">
        <f t="array" ref="L76">_xlfn.LET(
_xlpm.rango, INDIRECT("N!$C$" &amp; $BA$8 &amp; ":$DR$" &amp; $BA$9),
_xlpm.col, L$72+$D75*10,
INDEX(_xlpm.rango,$BA$4-3,_xlpm.col) +
INDEX(_xlpm.rango,$BA$4-2,_xlpm.col) +
INDEX(_xlpm.rango,$BA$4-1,_xlpm.col) +
INDEX(_xlpm.rango,$BA$4, _xlpm.col)
)</f>
        <v/>
      </c>
      <c r="M76" s="93">
        <f t="array" ref="M76">_xlfn.LET(
_xlpm.rango, INDIRECT("N!$C$" &amp; $BA$8 &amp; ":$DR$" &amp; $BA$9),
_xlpm.col, M$72+$D75*10,
INDEX(_xlpm.rango,$BA$4-3,_xlpm.col) +
INDEX(_xlpm.rango,$BA$4-2,_xlpm.col) +
INDEX(_xlpm.rango,$BA$4-1,_xlpm.col) +
INDEX(_xlpm.rango,$BA$4, _xlpm.col)
)</f>
        <v/>
      </c>
      <c r="N76" s="93">
        <f t="array" ref="N76">_xlfn.LET(
_xlpm.rango, INDIRECT("N!$C$" &amp; $BA$8 &amp; ":$DR$" &amp; $BA$9),
_xlpm.col, N$72+$D75*10,
INDEX(_xlpm.rango,$BA$4-3,_xlpm.col) +
INDEX(_xlpm.rango,$BA$4-2,_xlpm.col) +
INDEX(_xlpm.rango,$BA$4-1,_xlpm.col) +
INDEX(_xlpm.rango,$BA$4, _xlpm.col)
)</f>
        <v/>
      </c>
      <c r="O76" s="94">
        <f t="array" ref="O76">_xlfn.LET(
_xlpm.rango, INDIRECT("N!$C$" &amp; $BA$8 &amp; ":$DR$" &amp; $BA$9),
_xlpm.col, O$72+$D75*10,
INDEX(_xlpm.rango,$BA$4-3,_xlpm.col) +
INDEX(_xlpm.rango,$BA$4-2,_xlpm.col) +
INDEX(_xlpm.rango,$BA$4-1,_xlpm.col) +
INDEX(_xlpm.rango,$BA$4, _xlpm.col)
)</f>
        <v/>
      </c>
      <c r="P76" s="93">
        <f t="array" ref="P76">_xlfn.LET(
_xlpm.rango, INDIRECT("S!$C$" &amp; $BA$8 &amp; ":$DR$" &amp; $BA$9),
_xlpm.col, P$72+$D75*10,
INDEX(_xlpm.rango,$BA$4-3,_xlpm.col) +
INDEX(_xlpm.rango,$BA$4-2,_xlpm.col) +
INDEX(_xlpm.rango,$BA$4-1,_xlpm.col) +
INDEX(_xlpm.rango,$BA$4, _xlpm.col)
)</f>
        <v/>
      </c>
      <c r="Q76" s="93">
        <f t="array" ref="Q76">_xlfn.LET(
_xlpm.rango, INDIRECT("S!$C$" &amp; $BA$8 &amp; ":$DR$" &amp; $BA$9),
_xlpm.col, Q$72+$D75*10,
INDEX(_xlpm.rango,$BA$4-3,_xlpm.col) +
INDEX(_xlpm.rango,$BA$4-2,_xlpm.col) +
INDEX(_xlpm.rango,$BA$4-1,_xlpm.col) +
INDEX(_xlpm.rango,$BA$4, _xlpm.col)
)</f>
        <v/>
      </c>
      <c r="R76" s="93">
        <f t="array" ref="R76">_xlfn.LET(
_xlpm.rango, INDIRECT("S!$C$" &amp; $BA$8 &amp; ":$DR$" &amp; $BA$9),
_xlpm.col, R$72+$D75*10,
INDEX(_xlpm.rango,$BA$4-3,_xlpm.col) +
INDEX(_xlpm.rango,$BA$4-2,_xlpm.col) +
INDEX(_xlpm.rango,$BA$4-1,_xlpm.col) +
INDEX(_xlpm.rango,$BA$4, _xlpm.col)
)</f>
        <v/>
      </c>
      <c r="S76" s="93">
        <f t="array" ref="S76">_xlfn.LET(
_xlpm.rango, INDIRECT("S!$C$" &amp; $BA$8 &amp; ":$DR$" &amp; $BA$9),
_xlpm.col, S$72+$D75*10,
INDEX(_xlpm.rango,$BA$4-3,_xlpm.col) +
INDEX(_xlpm.rango,$BA$4-2,_xlpm.col) +
INDEX(_xlpm.rango,$BA$4-1,_xlpm.col) +
INDEX(_xlpm.rango,$BA$4, _xlpm.col)
)</f>
        <v/>
      </c>
      <c r="T76" s="93">
        <f t="array" ref="T76">_xlfn.LET(
_xlpm.rango, INDIRECT("S!$C$" &amp; $BA$8 &amp; ":$DR$" &amp; $BA$9),
_xlpm.col, T$72+$D75*10,
INDEX(_xlpm.rango,$BA$4-3,_xlpm.col) +
INDEX(_xlpm.rango,$BA$4-2,_xlpm.col) +
INDEX(_xlpm.rango,$BA$4-1,_xlpm.col) +
INDEX(_xlpm.rango,$BA$4, _xlpm.col)
)</f>
        <v/>
      </c>
      <c r="U76" s="93">
        <f t="array" ref="U76">_xlfn.LET(
_xlpm.rango, INDIRECT("S!$C$" &amp; $BA$8 &amp; ":$DR$" &amp; $BA$9),
_xlpm.col, U$72+$D75*10,
INDEX(_xlpm.rango,$BA$4-3,_xlpm.col) +
INDEX(_xlpm.rango,$BA$4-2,_xlpm.col) +
INDEX(_xlpm.rango,$BA$4-1,_xlpm.col) +
INDEX(_xlpm.rango,$BA$4, _xlpm.col)
)</f>
        <v/>
      </c>
      <c r="V76" s="93">
        <f t="array" ref="V76">_xlfn.LET(
_xlpm.rango, INDIRECT("S!$C$" &amp; $BA$8 &amp; ":$DR$" &amp; $BA$9),
_xlpm.col, V$72+$D75*10,
INDEX(_xlpm.rango,$BA$4-3,_xlpm.col) +
INDEX(_xlpm.rango,$BA$4-2,_xlpm.col) +
INDEX(_xlpm.rango,$BA$4-1,_xlpm.col) +
INDEX(_xlpm.rango,$BA$4, _xlpm.col)
)</f>
        <v/>
      </c>
      <c r="W76" s="93">
        <f t="array" ref="W76">_xlfn.LET(
_xlpm.rango, INDIRECT("S!$C$" &amp; $BA$8 &amp; ":$DR$" &amp; $BA$9),
_xlpm.col, W$72+$D75*10,
INDEX(_xlpm.rango,$BA$4-3,_xlpm.col) +
INDEX(_xlpm.rango,$BA$4-2,_xlpm.col) +
INDEX(_xlpm.rango,$BA$4-1,_xlpm.col) +
INDEX(_xlpm.rango,$BA$4, _xlpm.col)
)</f>
        <v/>
      </c>
      <c r="X76" s="93">
        <f t="array" ref="X76">_xlfn.LET(
_xlpm.rango, INDIRECT("S!$C$" &amp; $BA$8 &amp; ":$DR$" &amp; $BA$9),
_xlpm.col, X$72+$D75*10,
INDEX(_xlpm.rango,$BA$4-3,_xlpm.col) +
INDEX(_xlpm.rango,$BA$4-2,_xlpm.col) +
INDEX(_xlpm.rango,$BA$4-1,_xlpm.col) +
INDEX(_xlpm.rango,$BA$4, _xlpm.col)
)</f>
        <v/>
      </c>
      <c r="Y76" s="93">
        <f t="array" ref="Y76">_xlfn.LET(
_xlpm.rango, INDIRECT("S!$C$" &amp; $BA$8 &amp; ":$DR$" &amp; $BA$9),
_xlpm.col, Y$72+$D75*10,
INDEX(_xlpm.rango,$BA$4-3,_xlpm.col) +
INDEX(_xlpm.rango,$BA$4-2,_xlpm.col) +
INDEX(_xlpm.rango,$BA$4-1,_xlpm.col) +
INDEX(_xlpm.rango,$BA$4, _xlpm.col)
)</f>
        <v/>
      </c>
      <c r="Z76" s="99">
        <f t="array" ref="Z76">_xlfn.LET(
_xlpm.rango, INDIRECT("E!$C$" &amp; $BA$8 &amp; ":$DR$" &amp; $BA$9),
_xlpm.col, Z$72+$D75*10,
INDEX(_xlpm.rango,$BA$4-3,_xlpm.col) +
INDEX(_xlpm.rango,$BA$4-2,_xlpm.col) +
INDEX(_xlpm.rango,$BA$4-1,_xlpm.col) +
INDEX(_xlpm.rango,$BA$4, _xlpm.col)
)</f>
        <v/>
      </c>
      <c r="AA76" s="93">
        <f t="array" ref="AA76">_xlfn.LET(
_xlpm.rango, INDIRECT("E!$C$" &amp; $BA$8 &amp; ":$DR$" &amp; $BA$9),
_xlpm.col, AA$72+$D75*10,
INDEX(_xlpm.rango,$BA$4-3,_xlpm.col) +
INDEX(_xlpm.rango,$BA$4-2,_xlpm.col) +
INDEX(_xlpm.rango,$BA$4-1,_xlpm.col) +
INDEX(_xlpm.rango,$BA$4, _xlpm.col)
)</f>
        <v/>
      </c>
      <c r="AB76" s="93">
        <f t="array" ref="AB76">_xlfn.LET(
_xlpm.rango, INDIRECT("E!$C$" &amp; $BA$8 &amp; ":$DR$" &amp; $BA$9),
_xlpm.col, AB$72+$D75*10,
INDEX(_xlpm.rango,$BA$4-3,_xlpm.col) +
INDEX(_xlpm.rango,$BA$4-2,_xlpm.col) +
INDEX(_xlpm.rango,$BA$4-1,_xlpm.col) +
INDEX(_xlpm.rango,$BA$4, _xlpm.col)
)</f>
        <v/>
      </c>
      <c r="AC76" s="93">
        <f t="array" ref="AC76">_xlfn.LET(
_xlpm.rango, INDIRECT("E!$C$" &amp; $BA$8 &amp; ":$DR$" &amp; $BA$9),
_xlpm.col, AC$72+$D75*10,
INDEX(_xlpm.rango,$BA$4-3,_xlpm.col) +
INDEX(_xlpm.rango,$BA$4-2,_xlpm.col) +
INDEX(_xlpm.rango,$BA$4-1,_xlpm.col) +
INDEX(_xlpm.rango,$BA$4, _xlpm.col)
)</f>
        <v/>
      </c>
      <c r="AD76" s="93">
        <f t="array" ref="AD76">_xlfn.LET(
_xlpm.rango, INDIRECT("E!$C$" &amp; $BA$8 &amp; ":$DR$" &amp; $BA$9),
_xlpm.col, AD$72+$D75*10,
INDEX(_xlpm.rango,$BA$4-3,_xlpm.col) +
INDEX(_xlpm.rango,$BA$4-2,_xlpm.col) +
INDEX(_xlpm.rango,$BA$4-1,_xlpm.col) +
INDEX(_xlpm.rango,$BA$4, _xlpm.col)
)</f>
        <v/>
      </c>
      <c r="AE76" s="93">
        <f t="array" ref="AE76">_xlfn.LET(
_xlpm.rango, INDIRECT("E!$C$" &amp; $BA$8 &amp; ":$DR$" &amp; $BA$9),
_xlpm.col, AE$72+$D75*10,
INDEX(_xlpm.rango,$BA$4-3,_xlpm.col) +
INDEX(_xlpm.rango,$BA$4-2,_xlpm.col) +
INDEX(_xlpm.rango,$BA$4-1,_xlpm.col) +
INDEX(_xlpm.rango,$BA$4, _xlpm.col)
)</f>
        <v/>
      </c>
      <c r="AF76" s="93">
        <f t="array" ref="AF76">_xlfn.LET(
_xlpm.rango, INDIRECT("E!$C$" &amp; $BA$8 &amp; ":$DR$" &amp; $BA$9),
_xlpm.col, AF$72+$D75*10,
INDEX(_xlpm.rango,$BA$4-3,_xlpm.col) +
INDEX(_xlpm.rango,$BA$4-2,_xlpm.col) +
INDEX(_xlpm.rango,$BA$4-1,_xlpm.col) +
INDEX(_xlpm.rango,$BA$4, _xlpm.col)
)</f>
        <v/>
      </c>
      <c r="AG76" s="93">
        <f t="array" ref="AG76">_xlfn.LET(
_xlpm.rango, INDIRECT("E!$C$" &amp; $BA$8 &amp; ":$DR$" &amp; $BA$9),
_xlpm.col, AG$72+$D75*10,
INDEX(_xlpm.rango,$BA$4-3,_xlpm.col) +
INDEX(_xlpm.rango,$BA$4-2,_xlpm.col) +
INDEX(_xlpm.rango,$BA$4-1,_xlpm.col) +
INDEX(_xlpm.rango,$BA$4, _xlpm.col)
)</f>
        <v/>
      </c>
      <c r="AH76" s="93">
        <f t="array" ref="AH76">_xlfn.LET(
_xlpm.rango, INDIRECT("E!$C$" &amp; $BA$8 &amp; ":$DR$" &amp; $BA$9),
_xlpm.col, AH$72+$D75*10,
INDEX(_xlpm.rango,$BA$4-3,_xlpm.col) +
INDEX(_xlpm.rango,$BA$4-2,_xlpm.col) +
INDEX(_xlpm.rango,$BA$4-1,_xlpm.col) +
INDEX(_xlpm.rango,$BA$4, _xlpm.col)
)</f>
        <v/>
      </c>
      <c r="AI76" s="94">
        <f t="array" ref="AI76">_xlfn.LET(
_xlpm.rango, INDIRECT("E!$C$" &amp; $BA$8 &amp; ":$DR$" &amp; $BA$9),
_xlpm.col, AI$72+$D75*10,
INDEX(_xlpm.rango,$BA$4-3,_xlpm.col) +
INDEX(_xlpm.rango,$BA$4-2,_xlpm.col) +
INDEX(_xlpm.rango,$BA$4-1,_xlpm.col) +
INDEX(_xlpm.rango,$BA$4, _xlpm.col)
)</f>
        <v/>
      </c>
      <c r="AJ76" s="99">
        <f t="array" ref="AJ76">_xlfn.LET(
_xlpm.rango, INDIRECT("E!$C$" &amp; $BA$8 &amp; ":$DR$" &amp; $BA$9),
_xlpm.col, AJ$72+$D75*10,
INDEX(_xlpm.rango,$BA$4-3,_xlpm.col) +
INDEX(_xlpm.rango,$BA$4-2,_xlpm.col) +
INDEX(_xlpm.rango,$BA$4-1,_xlpm.col) +
INDEX(_xlpm.rango,$BA$4, _xlpm.col)
)</f>
        <v/>
      </c>
      <c r="AK76" s="93">
        <f t="array" ref="AK76">_xlfn.LET(
_xlpm.rango, INDIRECT("E!$C$" &amp; $BA$8 &amp; ":$DR$" &amp; $BA$9),
_xlpm.col, AK$72+$D75*10,
INDEX(_xlpm.rango,$BA$4-3,_xlpm.col) +
INDEX(_xlpm.rango,$BA$4-2,_xlpm.col) +
INDEX(_xlpm.rango,$BA$4-1,_xlpm.col) +
INDEX(_xlpm.rango,$BA$4, _xlpm.col)
)</f>
        <v/>
      </c>
      <c r="AL76" s="93">
        <f t="array" ref="AL76">_xlfn.LET(
_xlpm.rango, INDIRECT("E!$C$" &amp; $BA$8 &amp; ":$DR$" &amp; $BA$9),
_xlpm.col, AL$72+$D75*10,
INDEX(_xlpm.rango,$BA$4-3,_xlpm.col) +
INDEX(_xlpm.rango,$BA$4-2,_xlpm.col) +
INDEX(_xlpm.rango,$BA$4-1,_xlpm.col) +
INDEX(_xlpm.rango,$BA$4, _xlpm.col)
)</f>
        <v/>
      </c>
      <c r="AM76" s="93">
        <f t="array" ref="AM76">_xlfn.LET(
_xlpm.rango, INDIRECT("E!$C$" &amp; $BA$8 &amp; ":$DR$" &amp; $BA$9),
_xlpm.col, AM$72+$D75*10,
INDEX(_xlpm.rango,$BA$4-3,_xlpm.col) +
INDEX(_xlpm.rango,$BA$4-2,_xlpm.col) +
INDEX(_xlpm.rango,$BA$4-1,_xlpm.col) +
INDEX(_xlpm.rango,$BA$4, _xlpm.col)
)</f>
        <v/>
      </c>
      <c r="AN76" s="93">
        <f t="array" ref="AN76">_xlfn.LET(
_xlpm.rango, INDIRECT("E!$C$" &amp; $BA$8 &amp; ":$DR$" &amp; $BA$9),
_xlpm.col, AN$72+$D75*10,
INDEX(_xlpm.rango,$BA$4-3,_xlpm.col) +
INDEX(_xlpm.rango,$BA$4-2,_xlpm.col) +
INDEX(_xlpm.rango,$BA$4-1,_xlpm.col) +
INDEX(_xlpm.rango,$BA$4, _xlpm.col)
)</f>
        <v/>
      </c>
      <c r="AO76" s="93">
        <f t="array" ref="AO76">_xlfn.LET(
_xlpm.rango, INDIRECT("E!$C$" &amp; $BA$8 &amp; ":$DR$" &amp; $BA$9),
_xlpm.col, AO$72+$D75*10,
INDEX(_xlpm.rango,$BA$4-3,_xlpm.col) +
INDEX(_xlpm.rango,$BA$4-2,_xlpm.col) +
INDEX(_xlpm.rango,$BA$4-1,_xlpm.col) +
INDEX(_xlpm.rango,$BA$4, _xlpm.col)
)</f>
        <v/>
      </c>
      <c r="AP76" s="93">
        <f t="array" ref="AP76">_xlfn.LET(
_xlpm.rango, INDIRECT("E!$C$" &amp; $BA$8 &amp; ":$DR$" &amp; $BA$9),
_xlpm.col, AP$72+$D75*10,
INDEX(_xlpm.rango,$BA$4-3,_xlpm.col) +
INDEX(_xlpm.rango,$BA$4-2,_xlpm.col) +
INDEX(_xlpm.rango,$BA$4-1,_xlpm.col) +
INDEX(_xlpm.rango,$BA$4, _xlpm.col)
)</f>
        <v/>
      </c>
      <c r="AQ76" s="93">
        <f t="array" ref="AQ76">_xlfn.LET(
_xlpm.rango, INDIRECT("E!$C$" &amp; $BA$8 &amp; ":$DR$" &amp; $BA$9),
_xlpm.col, AQ$72+$D75*10,
INDEX(_xlpm.rango,$BA$4-3,_xlpm.col) +
INDEX(_xlpm.rango,$BA$4-2,_xlpm.col) +
INDEX(_xlpm.rango,$BA$4-1,_xlpm.col) +
INDEX(_xlpm.rango,$BA$4, _xlpm.col)
)</f>
        <v/>
      </c>
      <c r="AR76" s="93">
        <f t="array" ref="AR76">_xlfn.LET(
_xlpm.rango, INDIRECT("E!$C$" &amp; $BA$8 &amp; ":$DR$" &amp; $BA$9),
_xlpm.col, AR$72+$D75*10,
INDEX(_xlpm.rango,$BA$4-3,_xlpm.col) +
INDEX(_xlpm.rango,$BA$4-2,_xlpm.col) +
INDEX(_xlpm.rango,$BA$4-1,_xlpm.col) +
INDEX(_xlpm.rango,$BA$4, _xlpm.col)
)</f>
        <v/>
      </c>
      <c r="AS76" s="111">
        <f t="array" ref="AS76">_xlfn.LET(
_xlpm.rango, INDIRECT("E!$C$" &amp; $BA$8 &amp; ":$DR$" &amp; $BA$9),
_xlpm.col, AS$72+$D75*10,
INDEX(_xlpm.rango,$BA$4-3,_xlpm.col) +
INDEX(_xlpm.rango,$BA$4-2,_xlpm.col) +
INDEX(_xlpm.rango,$BA$4-1,_xlpm.col) +
INDEX(_xlpm.rango,$BA$4, _xlpm.col)
)</f>
        <v/>
      </c>
      <c r="AT76" s="118">
        <f>SUM(F76:AS76)</f>
        <v/>
      </c>
      <c r="AU76" s="119">
        <f>AT76/$AT$88</f>
        <v/>
      </c>
    </row>
    <row r="77">
      <c r="D77" t="n">
        <v>2</v>
      </c>
      <c r="E77" s="106">
        <f>Inicio!V5</f>
        <v/>
      </c>
      <c r="F77" s="100">
        <f t="array" ref="F77">_xlfn.LET(
_xlpm.rango, INDIRECT("N!$C$" &amp; $BA$8 &amp; ":$DR$" &amp; $BA$9),
_xlpm.col, F$72+$D76*10,
INDEX(_xlpm.rango,$BA$4-3,_xlpm.col) +
INDEX(_xlpm.rango,$BA$4-2,_xlpm.col) +
INDEX(_xlpm.rango,$BA$4-1,_xlpm.col) +
INDEX(_xlpm.rango,$BA$4, _xlpm.col)
)</f>
        <v/>
      </c>
      <c r="G77" s="95">
        <f t="array" ref="G77">_xlfn.LET(
_xlpm.rango, INDIRECT("N!$C$" &amp; $BA$8 &amp; ":$DR$" &amp; $BA$9),
_xlpm.col, G$72+$D76*10,
INDEX(_xlpm.rango,$BA$4-3,_xlpm.col) +
INDEX(_xlpm.rango,$BA$4-2,_xlpm.col) +
INDEX(_xlpm.rango,$BA$4-1,_xlpm.col) +
INDEX(_xlpm.rango,$BA$4, _xlpm.col)
)</f>
        <v/>
      </c>
      <c r="H77" s="95">
        <f t="array" ref="H77">_xlfn.LET(
_xlpm.rango, INDIRECT("N!$C$" &amp; $BA$8 &amp; ":$DR$" &amp; $BA$9),
_xlpm.col, H$72+$D76*10,
INDEX(_xlpm.rango,$BA$4-3,_xlpm.col) +
INDEX(_xlpm.rango,$BA$4-2,_xlpm.col) +
INDEX(_xlpm.rango,$BA$4-1,_xlpm.col) +
INDEX(_xlpm.rango,$BA$4, _xlpm.col)
)</f>
        <v/>
      </c>
      <c r="I77" s="95">
        <f t="array" ref="I77">_xlfn.LET(
_xlpm.rango, INDIRECT("N!$C$" &amp; $BA$8 &amp; ":$DR$" &amp; $BA$9),
_xlpm.col, I$72+$D76*10,
INDEX(_xlpm.rango,$BA$4-3,_xlpm.col) +
INDEX(_xlpm.rango,$BA$4-2,_xlpm.col) +
INDEX(_xlpm.rango,$BA$4-1,_xlpm.col) +
INDEX(_xlpm.rango,$BA$4, _xlpm.col)
)</f>
        <v/>
      </c>
      <c r="J77" s="95">
        <f t="array" ref="J77">_xlfn.LET(
_xlpm.rango, INDIRECT("N!$C$" &amp; $BA$8 &amp; ":$DR$" &amp; $BA$9),
_xlpm.col, J$72+$D76*10,
INDEX(_xlpm.rango,$BA$4-3,_xlpm.col) +
INDEX(_xlpm.rango,$BA$4-2,_xlpm.col) +
INDEX(_xlpm.rango,$BA$4-1,_xlpm.col) +
INDEX(_xlpm.rango,$BA$4, _xlpm.col)
)</f>
        <v/>
      </c>
      <c r="K77" s="95">
        <f t="array" ref="K77">_xlfn.LET(
_xlpm.rango, INDIRECT("N!$C$" &amp; $BA$8 &amp; ":$DR$" &amp; $BA$9),
_xlpm.col, K$72+$D76*10,
INDEX(_xlpm.rango,$BA$4-3,_xlpm.col) +
INDEX(_xlpm.rango,$BA$4-2,_xlpm.col) +
INDEX(_xlpm.rango,$BA$4-1,_xlpm.col) +
INDEX(_xlpm.rango,$BA$4, _xlpm.col)
)</f>
        <v/>
      </c>
      <c r="L77" s="95">
        <f t="array" ref="L77">_xlfn.LET(
_xlpm.rango, INDIRECT("N!$C$" &amp; $BA$8 &amp; ":$DR$" &amp; $BA$9),
_xlpm.col, L$72+$D76*10,
INDEX(_xlpm.rango,$BA$4-3,_xlpm.col) +
INDEX(_xlpm.rango,$BA$4-2,_xlpm.col) +
INDEX(_xlpm.rango,$BA$4-1,_xlpm.col) +
INDEX(_xlpm.rango,$BA$4, _xlpm.col)
)</f>
        <v/>
      </c>
      <c r="M77" s="95">
        <f t="array" ref="M77">_xlfn.LET(
_xlpm.rango, INDIRECT("N!$C$" &amp; $BA$8 &amp; ":$DR$" &amp; $BA$9),
_xlpm.col, M$72+$D76*10,
INDEX(_xlpm.rango,$BA$4-3,_xlpm.col) +
INDEX(_xlpm.rango,$BA$4-2,_xlpm.col) +
INDEX(_xlpm.rango,$BA$4-1,_xlpm.col) +
INDEX(_xlpm.rango,$BA$4, _xlpm.col)
)</f>
        <v/>
      </c>
      <c r="N77" s="95">
        <f t="array" ref="N77">_xlfn.LET(
_xlpm.rango, INDIRECT("N!$C$" &amp; $BA$8 &amp; ":$DR$" &amp; $BA$9),
_xlpm.col, N$72+$D76*10,
INDEX(_xlpm.rango,$BA$4-3,_xlpm.col) +
INDEX(_xlpm.rango,$BA$4-2,_xlpm.col) +
INDEX(_xlpm.rango,$BA$4-1,_xlpm.col) +
INDEX(_xlpm.rango,$BA$4, _xlpm.col)
)</f>
        <v/>
      </c>
      <c r="O77" s="96">
        <f t="array" ref="O77">_xlfn.LET(
_xlpm.rango, INDIRECT("N!$C$" &amp; $BA$8 &amp; ":$DR$" &amp; $BA$9),
_xlpm.col, O$72+$D76*10,
INDEX(_xlpm.rango,$BA$4-3,_xlpm.col) +
INDEX(_xlpm.rango,$BA$4-2,_xlpm.col) +
INDEX(_xlpm.rango,$BA$4-1,_xlpm.col) +
INDEX(_xlpm.rango,$BA$4, _xlpm.col)
)</f>
        <v/>
      </c>
      <c r="P77" s="95">
        <f t="array" ref="P77">_xlfn.LET(
_xlpm.rango, INDIRECT("S!$C$" &amp; $BA$8 &amp; ":$DR$" &amp; $BA$9),
_xlpm.col, P$72+$D76*10,
INDEX(_xlpm.rango,$BA$4-3,_xlpm.col) +
INDEX(_xlpm.rango,$BA$4-2,_xlpm.col) +
INDEX(_xlpm.rango,$BA$4-1,_xlpm.col) +
INDEX(_xlpm.rango,$BA$4, _xlpm.col)
)</f>
        <v/>
      </c>
      <c r="Q77" s="95">
        <f t="array" ref="Q77">_xlfn.LET(
_xlpm.rango, INDIRECT("S!$C$" &amp; $BA$8 &amp; ":$DR$" &amp; $BA$9),
_xlpm.col, Q$72+$D76*10,
INDEX(_xlpm.rango,$BA$4-3,_xlpm.col) +
INDEX(_xlpm.rango,$BA$4-2,_xlpm.col) +
INDEX(_xlpm.rango,$BA$4-1,_xlpm.col) +
INDEX(_xlpm.rango,$BA$4, _xlpm.col)
)</f>
        <v/>
      </c>
      <c r="R77" s="95">
        <f t="array" ref="R77">_xlfn.LET(
_xlpm.rango, INDIRECT("S!$C$" &amp; $BA$8 &amp; ":$DR$" &amp; $BA$9),
_xlpm.col, R$72+$D76*10,
INDEX(_xlpm.rango,$BA$4-3,_xlpm.col) +
INDEX(_xlpm.rango,$BA$4-2,_xlpm.col) +
INDEX(_xlpm.rango,$BA$4-1,_xlpm.col) +
INDEX(_xlpm.rango,$BA$4, _xlpm.col)
)</f>
        <v/>
      </c>
      <c r="S77" s="95">
        <f t="array" ref="S77">_xlfn.LET(
_xlpm.rango, INDIRECT("S!$C$" &amp; $BA$8 &amp; ":$DR$" &amp; $BA$9),
_xlpm.col, S$72+$D76*10,
INDEX(_xlpm.rango,$BA$4-3,_xlpm.col) +
INDEX(_xlpm.rango,$BA$4-2,_xlpm.col) +
INDEX(_xlpm.rango,$BA$4-1,_xlpm.col) +
INDEX(_xlpm.rango,$BA$4, _xlpm.col)
)</f>
        <v/>
      </c>
      <c r="T77" s="95">
        <f t="array" ref="T77">_xlfn.LET(
_xlpm.rango, INDIRECT("S!$C$" &amp; $BA$8 &amp; ":$DR$" &amp; $BA$9),
_xlpm.col, T$72+$D76*10,
INDEX(_xlpm.rango,$BA$4-3,_xlpm.col) +
INDEX(_xlpm.rango,$BA$4-2,_xlpm.col) +
INDEX(_xlpm.rango,$BA$4-1,_xlpm.col) +
INDEX(_xlpm.rango,$BA$4, _xlpm.col)
)</f>
        <v/>
      </c>
      <c r="U77" s="95">
        <f t="array" ref="U77">_xlfn.LET(
_xlpm.rango, INDIRECT("S!$C$" &amp; $BA$8 &amp; ":$DR$" &amp; $BA$9),
_xlpm.col, U$72+$D76*10,
INDEX(_xlpm.rango,$BA$4-3,_xlpm.col) +
INDEX(_xlpm.rango,$BA$4-2,_xlpm.col) +
INDEX(_xlpm.rango,$BA$4-1,_xlpm.col) +
INDEX(_xlpm.rango,$BA$4, _xlpm.col)
)</f>
        <v/>
      </c>
      <c r="V77" s="95">
        <f t="array" ref="V77">_xlfn.LET(
_xlpm.rango, INDIRECT("S!$C$" &amp; $BA$8 &amp; ":$DR$" &amp; $BA$9),
_xlpm.col, V$72+$D76*10,
INDEX(_xlpm.rango,$BA$4-3,_xlpm.col) +
INDEX(_xlpm.rango,$BA$4-2,_xlpm.col) +
INDEX(_xlpm.rango,$BA$4-1,_xlpm.col) +
INDEX(_xlpm.rango,$BA$4, _xlpm.col)
)</f>
        <v/>
      </c>
      <c r="W77" s="95">
        <f t="array" ref="W77">_xlfn.LET(
_xlpm.rango, INDIRECT("S!$C$" &amp; $BA$8 &amp; ":$DR$" &amp; $BA$9),
_xlpm.col, W$72+$D76*10,
INDEX(_xlpm.rango,$BA$4-3,_xlpm.col) +
INDEX(_xlpm.rango,$BA$4-2,_xlpm.col) +
INDEX(_xlpm.rango,$BA$4-1,_xlpm.col) +
INDEX(_xlpm.rango,$BA$4, _xlpm.col)
)</f>
        <v/>
      </c>
      <c r="X77" s="95">
        <f t="array" ref="X77">_xlfn.LET(
_xlpm.rango, INDIRECT("S!$C$" &amp; $BA$8 &amp; ":$DR$" &amp; $BA$9),
_xlpm.col, X$72+$D76*10,
INDEX(_xlpm.rango,$BA$4-3,_xlpm.col) +
INDEX(_xlpm.rango,$BA$4-2,_xlpm.col) +
INDEX(_xlpm.rango,$BA$4-1,_xlpm.col) +
INDEX(_xlpm.rango,$BA$4, _xlpm.col)
)</f>
        <v/>
      </c>
      <c r="Y77" s="95">
        <f t="array" ref="Y77">_xlfn.LET(
_xlpm.rango, INDIRECT("S!$C$" &amp; $BA$8 &amp; ":$DR$" &amp; $BA$9),
_xlpm.col, Y$72+$D76*10,
INDEX(_xlpm.rango,$BA$4-3,_xlpm.col) +
INDEX(_xlpm.rango,$BA$4-2,_xlpm.col) +
INDEX(_xlpm.rango,$BA$4-1,_xlpm.col) +
INDEX(_xlpm.rango,$BA$4, _xlpm.col)
)</f>
        <v/>
      </c>
      <c r="Z77" s="100">
        <f t="array" ref="Z77">_xlfn.LET(
_xlpm.rango, INDIRECT("E!$C$" &amp; $BA$8 &amp; ":$DR$" &amp; $BA$9),
_xlpm.col, Z$72+$D76*10,
INDEX(_xlpm.rango,$BA$4-3,_xlpm.col) +
INDEX(_xlpm.rango,$BA$4-2,_xlpm.col) +
INDEX(_xlpm.rango,$BA$4-1,_xlpm.col) +
INDEX(_xlpm.rango,$BA$4, _xlpm.col)
)</f>
        <v/>
      </c>
      <c r="AA77" s="95">
        <f t="array" ref="AA77">_xlfn.LET(
_xlpm.rango, INDIRECT("E!$C$" &amp; $BA$8 &amp; ":$DR$" &amp; $BA$9),
_xlpm.col, AA$72+$D76*10,
INDEX(_xlpm.rango,$BA$4-3,_xlpm.col) +
INDEX(_xlpm.rango,$BA$4-2,_xlpm.col) +
INDEX(_xlpm.rango,$BA$4-1,_xlpm.col) +
INDEX(_xlpm.rango,$BA$4, _xlpm.col)
)</f>
        <v/>
      </c>
      <c r="AB77" s="95">
        <f t="array" ref="AB77">_xlfn.LET(
_xlpm.rango, INDIRECT("E!$C$" &amp; $BA$8 &amp; ":$DR$" &amp; $BA$9),
_xlpm.col, AB$72+$D76*10,
INDEX(_xlpm.rango,$BA$4-3,_xlpm.col) +
INDEX(_xlpm.rango,$BA$4-2,_xlpm.col) +
INDEX(_xlpm.rango,$BA$4-1,_xlpm.col) +
INDEX(_xlpm.rango,$BA$4, _xlpm.col)
)</f>
        <v/>
      </c>
      <c r="AC77" s="95">
        <f t="array" ref="AC77">_xlfn.LET(
_xlpm.rango, INDIRECT("E!$C$" &amp; $BA$8 &amp; ":$DR$" &amp; $BA$9),
_xlpm.col, AC$72+$D76*10,
INDEX(_xlpm.rango,$BA$4-3,_xlpm.col) +
INDEX(_xlpm.rango,$BA$4-2,_xlpm.col) +
INDEX(_xlpm.rango,$BA$4-1,_xlpm.col) +
INDEX(_xlpm.rango,$BA$4, _xlpm.col)
)</f>
        <v/>
      </c>
      <c r="AD77" s="95">
        <f t="array" ref="AD77">_xlfn.LET(
_xlpm.rango, INDIRECT("E!$C$" &amp; $BA$8 &amp; ":$DR$" &amp; $BA$9),
_xlpm.col, AD$72+$D76*10,
INDEX(_xlpm.rango,$BA$4-3,_xlpm.col) +
INDEX(_xlpm.rango,$BA$4-2,_xlpm.col) +
INDEX(_xlpm.rango,$BA$4-1,_xlpm.col) +
INDEX(_xlpm.rango,$BA$4, _xlpm.col)
)</f>
        <v/>
      </c>
      <c r="AE77" s="95">
        <f t="array" ref="AE77">_xlfn.LET(
_xlpm.rango, INDIRECT("E!$C$" &amp; $BA$8 &amp; ":$DR$" &amp; $BA$9),
_xlpm.col, AE$72+$D76*10,
INDEX(_xlpm.rango,$BA$4-3,_xlpm.col) +
INDEX(_xlpm.rango,$BA$4-2,_xlpm.col) +
INDEX(_xlpm.rango,$BA$4-1,_xlpm.col) +
INDEX(_xlpm.rango,$BA$4, _xlpm.col)
)</f>
        <v/>
      </c>
      <c r="AF77" s="95">
        <f t="array" ref="AF77">_xlfn.LET(
_xlpm.rango, INDIRECT("E!$C$" &amp; $BA$8 &amp; ":$DR$" &amp; $BA$9),
_xlpm.col, AF$72+$D76*10,
INDEX(_xlpm.rango,$BA$4-3,_xlpm.col) +
INDEX(_xlpm.rango,$BA$4-2,_xlpm.col) +
INDEX(_xlpm.rango,$BA$4-1,_xlpm.col) +
INDEX(_xlpm.rango,$BA$4, _xlpm.col)
)</f>
        <v/>
      </c>
      <c r="AG77" s="95">
        <f t="array" ref="AG77">_xlfn.LET(
_xlpm.rango, INDIRECT("E!$C$" &amp; $BA$8 &amp; ":$DR$" &amp; $BA$9),
_xlpm.col, AG$72+$D76*10,
INDEX(_xlpm.rango,$BA$4-3,_xlpm.col) +
INDEX(_xlpm.rango,$BA$4-2,_xlpm.col) +
INDEX(_xlpm.rango,$BA$4-1,_xlpm.col) +
INDEX(_xlpm.rango,$BA$4, _xlpm.col)
)</f>
        <v/>
      </c>
      <c r="AH77" s="95">
        <f t="array" ref="AH77">_xlfn.LET(
_xlpm.rango, INDIRECT("E!$C$" &amp; $BA$8 &amp; ":$DR$" &amp; $BA$9),
_xlpm.col, AH$72+$D76*10,
INDEX(_xlpm.rango,$BA$4-3,_xlpm.col) +
INDEX(_xlpm.rango,$BA$4-2,_xlpm.col) +
INDEX(_xlpm.rango,$BA$4-1,_xlpm.col) +
INDEX(_xlpm.rango,$BA$4, _xlpm.col)
)</f>
        <v/>
      </c>
      <c r="AI77" s="96">
        <f t="array" ref="AI77">_xlfn.LET(
_xlpm.rango, INDIRECT("E!$C$" &amp; $BA$8 &amp; ":$DR$" &amp; $BA$9),
_xlpm.col, AI$72+$D76*10,
INDEX(_xlpm.rango,$BA$4-3,_xlpm.col) +
INDEX(_xlpm.rango,$BA$4-2,_xlpm.col) +
INDEX(_xlpm.rango,$BA$4-1,_xlpm.col) +
INDEX(_xlpm.rango,$BA$4, _xlpm.col)
)</f>
        <v/>
      </c>
      <c r="AJ77" s="95">
        <f t="array" ref="AJ77">_xlfn.LET(
_xlpm.rango, INDIRECT("E!$C$" &amp; $BA$8 &amp; ":$DR$" &amp; $BA$9),
_xlpm.col, AJ$72+$D76*10,
INDEX(_xlpm.rango,$BA$4-3,_xlpm.col) +
INDEX(_xlpm.rango,$BA$4-2,_xlpm.col) +
INDEX(_xlpm.rango,$BA$4-1,_xlpm.col) +
INDEX(_xlpm.rango,$BA$4, _xlpm.col)
)</f>
        <v/>
      </c>
      <c r="AK77" s="95">
        <f t="array" ref="AK77">_xlfn.LET(
_xlpm.rango, INDIRECT("E!$C$" &amp; $BA$8 &amp; ":$DR$" &amp; $BA$9),
_xlpm.col, AK$72+$D76*10,
INDEX(_xlpm.rango,$BA$4-3,_xlpm.col) +
INDEX(_xlpm.rango,$BA$4-2,_xlpm.col) +
INDEX(_xlpm.rango,$BA$4-1,_xlpm.col) +
INDEX(_xlpm.rango,$BA$4, _xlpm.col)
)</f>
        <v/>
      </c>
      <c r="AL77" s="95">
        <f t="array" ref="AL77">_xlfn.LET(
_xlpm.rango, INDIRECT("E!$C$" &amp; $BA$8 &amp; ":$DR$" &amp; $BA$9),
_xlpm.col, AL$72+$D76*10,
INDEX(_xlpm.rango,$BA$4-3,_xlpm.col) +
INDEX(_xlpm.rango,$BA$4-2,_xlpm.col) +
INDEX(_xlpm.rango,$BA$4-1,_xlpm.col) +
INDEX(_xlpm.rango,$BA$4, _xlpm.col)
)</f>
        <v/>
      </c>
      <c r="AM77" s="95">
        <f t="array" ref="AM77">_xlfn.LET(
_xlpm.rango, INDIRECT("E!$C$" &amp; $BA$8 &amp; ":$DR$" &amp; $BA$9),
_xlpm.col, AM$72+$D76*10,
INDEX(_xlpm.rango,$BA$4-3,_xlpm.col) +
INDEX(_xlpm.rango,$BA$4-2,_xlpm.col) +
INDEX(_xlpm.rango,$BA$4-1,_xlpm.col) +
INDEX(_xlpm.rango,$BA$4, _xlpm.col)
)</f>
        <v/>
      </c>
      <c r="AN77" s="95">
        <f t="array" ref="AN77">_xlfn.LET(
_xlpm.rango, INDIRECT("E!$C$" &amp; $BA$8 &amp; ":$DR$" &amp; $BA$9),
_xlpm.col, AN$72+$D76*10,
INDEX(_xlpm.rango,$BA$4-3,_xlpm.col) +
INDEX(_xlpm.rango,$BA$4-2,_xlpm.col) +
INDEX(_xlpm.rango,$BA$4-1,_xlpm.col) +
INDEX(_xlpm.rango,$BA$4, _xlpm.col)
)</f>
        <v/>
      </c>
      <c r="AO77" s="95">
        <f t="array" ref="AO77">_xlfn.LET(
_xlpm.rango, INDIRECT("E!$C$" &amp; $BA$8 &amp; ":$DR$" &amp; $BA$9),
_xlpm.col, AO$72+$D76*10,
INDEX(_xlpm.rango,$BA$4-3,_xlpm.col) +
INDEX(_xlpm.rango,$BA$4-2,_xlpm.col) +
INDEX(_xlpm.rango,$BA$4-1,_xlpm.col) +
INDEX(_xlpm.rango,$BA$4, _xlpm.col)
)</f>
        <v/>
      </c>
      <c r="AP77" s="95">
        <f t="array" ref="AP77">_xlfn.LET(
_xlpm.rango, INDIRECT("E!$C$" &amp; $BA$8 &amp; ":$DR$" &amp; $BA$9),
_xlpm.col, AP$72+$D76*10,
INDEX(_xlpm.rango,$BA$4-3,_xlpm.col) +
INDEX(_xlpm.rango,$BA$4-2,_xlpm.col) +
INDEX(_xlpm.rango,$BA$4-1,_xlpm.col) +
INDEX(_xlpm.rango,$BA$4, _xlpm.col)
)</f>
        <v/>
      </c>
      <c r="AQ77" s="95">
        <f t="array" ref="AQ77">_xlfn.LET(
_xlpm.rango, INDIRECT("E!$C$" &amp; $BA$8 &amp; ":$DR$" &amp; $BA$9),
_xlpm.col, AQ$72+$D76*10,
INDEX(_xlpm.rango,$BA$4-3,_xlpm.col) +
INDEX(_xlpm.rango,$BA$4-2,_xlpm.col) +
INDEX(_xlpm.rango,$BA$4-1,_xlpm.col) +
INDEX(_xlpm.rango,$BA$4, _xlpm.col)
)</f>
        <v/>
      </c>
      <c r="AR77" s="95">
        <f t="array" ref="AR77">_xlfn.LET(
_xlpm.rango, INDIRECT("E!$C$" &amp; $BA$8 &amp; ":$DR$" &amp; $BA$9),
_xlpm.col, AR$72+$D76*10,
INDEX(_xlpm.rango,$BA$4-3,_xlpm.col) +
INDEX(_xlpm.rango,$BA$4-2,_xlpm.col) +
INDEX(_xlpm.rango,$BA$4-1,_xlpm.col) +
INDEX(_xlpm.rango,$BA$4, _xlpm.col)
)</f>
        <v/>
      </c>
      <c r="AS77" s="112">
        <f t="array" ref="AS77">_xlfn.LET(
_xlpm.rango, INDIRECT("E!$C$" &amp; $BA$8 &amp; ":$DR$" &amp; $BA$9),
_xlpm.col, AS$72+$D76*10,
INDEX(_xlpm.rango,$BA$4-3,_xlpm.col) +
INDEX(_xlpm.rango,$BA$4-2,_xlpm.col) +
INDEX(_xlpm.rango,$BA$4-1,_xlpm.col) +
INDEX(_xlpm.rango,$BA$4, _xlpm.col)
)</f>
        <v/>
      </c>
      <c r="AT77" s="118">
        <f>SUM(F77:AS77)</f>
        <v/>
      </c>
      <c r="AU77" s="120">
        <f>AT77/$AT$88</f>
        <v/>
      </c>
    </row>
    <row r="78">
      <c r="D78" t="n">
        <v>3</v>
      </c>
      <c r="E78" s="106">
        <f>Inicio!V6</f>
        <v/>
      </c>
      <c r="F78" s="100">
        <f t="array" ref="F78">_xlfn.LET(
_xlpm.rango, INDIRECT("N!$C$" &amp; $BA$8 &amp; ":$DR$" &amp; $BA$9),
_xlpm.col, F$72+$D77*10,
INDEX(_xlpm.rango,$BA$4-3,_xlpm.col) +
INDEX(_xlpm.rango,$BA$4-2,_xlpm.col) +
INDEX(_xlpm.rango,$BA$4-1,_xlpm.col) +
INDEX(_xlpm.rango,$BA$4, _xlpm.col)
)</f>
        <v/>
      </c>
      <c r="G78" s="95">
        <f t="array" ref="G78">_xlfn.LET(
_xlpm.rango, INDIRECT("N!$C$" &amp; $BA$8 &amp; ":$DR$" &amp; $BA$9),
_xlpm.col, G$72+$D77*10,
INDEX(_xlpm.rango,$BA$4-3,_xlpm.col) +
INDEX(_xlpm.rango,$BA$4-2,_xlpm.col) +
INDEX(_xlpm.rango,$BA$4-1,_xlpm.col) +
INDEX(_xlpm.rango,$BA$4, _xlpm.col)
)</f>
        <v/>
      </c>
      <c r="H78" s="95">
        <f t="array" ref="H78">_xlfn.LET(
_xlpm.rango, INDIRECT("N!$C$" &amp; $BA$8 &amp; ":$DR$" &amp; $BA$9),
_xlpm.col, H$72+$D77*10,
INDEX(_xlpm.rango,$BA$4-3,_xlpm.col) +
INDEX(_xlpm.rango,$BA$4-2,_xlpm.col) +
INDEX(_xlpm.rango,$BA$4-1,_xlpm.col) +
INDEX(_xlpm.rango,$BA$4, _xlpm.col)
)</f>
        <v/>
      </c>
      <c r="I78" s="95">
        <f t="array" ref="I78">_xlfn.LET(
_xlpm.rango, INDIRECT("N!$C$" &amp; $BA$8 &amp; ":$DR$" &amp; $BA$9),
_xlpm.col, I$72+$D77*10,
INDEX(_xlpm.rango,$BA$4-3,_xlpm.col) +
INDEX(_xlpm.rango,$BA$4-2,_xlpm.col) +
INDEX(_xlpm.rango,$BA$4-1,_xlpm.col) +
INDEX(_xlpm.rango,$BA$4, _xlpm.col)
)</f>
        <v/>
      </c>
      <c r="J78" s="95">
        <f t="array" ref="J78">_xlfn.LET(
_xlpm.rango, INDIRECT("N!$C$" &amp; $BA$8 &amp; ":$DR$" &amp; $BA$9),
_xlpm.col, J$72+$D77*10,
INDEX(_xlpm.rango,$BA$4-3,_xlpm.col) +
INDEX(_xlpm.rango,$BA$4-2,_xlpm.col) +
INDEX(_xlpm.rango,$BA$4-1,_xlpm.col) +
INDEX(_xlpm.rango,$BA$4, _xlpm.col)
)</f>
        <v/>
      </c>
      <c r="K78" s="95">
        <f t="array" ref="K78">_xlfn.LET(
_xlpm.rango, INDIRECT("N!$C$" &amp; $BA$8 &amp; ":$DR$" &amp; $BA$9),
_xlpm.col, K$72+$D77*10,
INDEX(_xlpm.rango,$BA$4-3,_xlpm.col) +
INDEX(_xlpm.rango,$BA$4-2,_xlpm.col) +
INDEX(_xlpm.rango,$BA$4-1,_xlpm.col) +
INDEX(_xlpm.rango,$BA$4, _xlpm.col)
)</f>
        <v/>
      </c>
      <c r="L78" s="95">
        <f t="array" ref="L78">_xlfn.LET(
_xlpm.rango, INDIRECT("N!$C$" &amp; $BA$8 &amp; ":$DR$" &amp; $BA$9),
_xlpm.col, L$72+$D77*10,
INDEX(_xlpm.rango,$BA$4-3,_xlpm.col) +
INDEX(_xlpm.rango,$BA$4-2,_xlpm.col) +
INDEX(_xlpm.rango,$BA$4-1,_xlpm.col) +
INDEX(_xlpm.rango,$BA$4, _xlpm.col)
)</f>
        <v/>
      </c>
      <c r="M78" s="95">
        <f t="array" ref="M78">_xlfn.LET(
_xlpm.rango, INDIRECT("N!$C$" &amp; $BA$8 &amp; ":$DR$" &amp; $BA$9),
_xlpm.col, M$72+$D77*10,
INDEX(_xlpm.rango,$BA$4-3,_xlpm.col) +
INDEX(_xlpm.rango,$BA$4-2,_xlpm.col) +
INDEX(_xlpm.rango,$BA$4-1,_xlpm.col) +
INDEX(_xlpm.rango,$BA$4, _xlpm.col)
)</f>
        <v/>
      </c>
      <c r="N78" s="95">
        <f t="array" ref="N78">_xlfn.LET(
_xlpm.rango, INDIRECT("N!$C$" &amp; $BA$8 &amp; ":$DR$" &amp; $BA$9),
_xlpm.col, N$72+$D77*10,
INDEX(_xlpm.rango,$BA$4-3,_xlpm.col) +
INDEX(_xlpm.rango,$BA$4-2,_xlpm.col) +
INDEX(_xlpm.rango,$BA$4-1,_xlpm.col) +
INDEX(_xlpm.rango,$BA$4, _xlpm.col)
)</f>
        <v/>
      </c>
      <c r="O78" s="96">
        <f t="array" ref="O78">_xlfn.LET(
_xlpm.rango, INDIRECT("N!$C$" &amp; $BA$8 &amp; ":$DR$" &amp; $BA$9),
_xlpm.col, O$72+$D77*10,
INDEX(_xlpm.rango,$BA$4-3,_xlpm.col) +
INDEX(_xlpm.rango,$BA$4-2,_xlpm.col) +
INDEX(_xlpm.rango,$BA$4-1,_xlpm.col) +
INDEX(_xlpm.rango,$BA$4, _xlpm.col)
)</f>
        <v/>
      </c>
      <c r="P78" s="95">
        <f t="array" ref="P78">_xlfn.LET(
_xlpm.rango, INDIRECT("S!$C$" &amp; $BA$8 &amp; ":$DR$" &amp; $BA$9),
_xlpm.col, P$72+$D77*10,
INDEX(_xlpm.rango,$BA$4-3,_xlpm.col) +
INDEX(_xlpm.rango,$BA$4-2,_xlpm.col) +
INDEX(_xlpm.rango,$BA$4-1,_xlpm.col) +
INDEX(_xlpm.rango,$BA$4, _xlpm.col)
)</f>
        <v/>
      </c>
      <c r="Q78" s="95">
        <f t="array" ref="Q78">_xlfn.LET(
_xlpm.rango, INDIRECT("S!$C$" &amp; $BA$8 &amp; ":$DR$" &amp; $BA$9),
_xlpm.col, Q$72+$D77*10,
INDEX(_xlpm.rango,$BA$4-3,_xlpm.col) +
INDEX(_xlpm.rango,$BA$4-2,_xlpm.col) +
INDEX(_xlpm.rango,$BA$4-1,_xlpm.col) +
INDEX(_xlpm.rango,$BA$4, _xlpm.col)
)</f>
        <v/>
      </c>
      <c r="R78" s="95">
        <f t="array" ref="R78">_xlfn.LET(
_xlpm.rango, INDIRECT("S!$C$" &amp; $BA$8 &amp; ":$DR$" &amp; $BA$9),
_xlpm.col, R$72+$D77*10,
INDEX(_xlpm.rango,$BA$4-3,_xlpm.col) +
INDEX(_xlpm.rango,$BA$4-2,_xlpm.col) +
INDEX(_xlpm.rango,$BA$4-1,_xlpm.col) +
INDEX(_xlpm.rango,$BA$4, _xlpm.col)
)</f>
        <v/>
      </c>
      <c r="S78" s="95">
        <f t="array" ref="S78">_xlfn.LET(
_xlpm.rango, INDIRECT("S!$C$" &amp; $BA$8 &amp; ":$DR$" &amp; $BA$9),
_xlpm.col, S$72+$D77*10,
INDEX(_xlpm.rango,$BA$4-3,_xlpm.col) +
INDEX(_xlpm.rango,$BA$4-2,_xlpm.col) +
INDEX(_xlpm.rango,$BA$4-1,_xlpm.col) +
INDEX(_xlpm.rango,$BA$4, _xlpm.col)
)</f>
        <v/>
      </c>
      <c r="T78" s="95">
        <f t="array" ref="T78">_xlfn.LET(
_xlpm.rango, INDIRECT("S!$C$" &amp; $BA$8 &amp; ":$DR$" &amp; $BA$9),
_xlpm.col, T$72+$D77*10,
INDEX(_xlpm.rango,$BA$4-3,_xlpm.col) +
INDEX(_xlpm.rango,$BA$4-2,_xlpm.col) +
INDEX(_xlpm.rango,$BA$4-1,_xlpm.col) +
INDEX(_xlpm.rango,$BA$4, _xlpm.col)
)</f>
        <v/>
      </c>
      <c r="U78" s="95">
        <f t="array" ref="U78">_xlfn.LET(
_xlpm.rango, INDIRECT("S!$C$" &amp; $BA$8 &amp; ":$DR$" &amp; $BA$9),
_xlpm.col, U$72+$D77*10,
INDEX(_xlpm.rango,$BA$4-3,_xlpm.col) +
INDEX(_xlpm.rango,$BA$4-2,_xlpm.col) +
INDEX(_xlpm.rango,$BA$4-1,_xlpm.col) +
INDEX(_xlpm.rango,$BA$4, _xlpm.col)
)</f>
        <v/>
      </c>
      <c r="V78" s="95">
        <f t="array" ref="V78">_xlfn.LET(
_xlpm.rango, INDIRECT("S!$C$" &amp; $BA$8 &amp; ":$DR$" &amp; $BA$9),
_xlpm.col, V$72+$D77*10,
INDEX(_xlpm.rango,$BA$4-3,_xlpm.col) +
INDEX(_xlpm.rango,$BA$4-2,_xlpm.col) +
INDEX(_xlpm.rango,$BA$4-1,_xlpm.col) +
INDEX(_xlpm.rango,$BA$4, _xlpm.col)
)</f>
        <v/>
      </c>
      <c r="W78" s="95">
        <f t="array" ref="W78">_xlfn.LET(
_xlpm.rango, INDIRECT("S!$C$" &amp; $BA$8 &amp; ":$DR$" &amp; $BA$9),
_xlpm.col, W$72+$D77*10,
INDEX(_xlpm.rango,$BA$4-3,_xlpm.col) +
INDEX(_xlpm.rango,$BA$4-2,_xlpm.col) +
INDEX(_xlpm.rango,$BA$4-1,_xlpm.col) +
INDEX(_xlpm.rango,$BA$4, _xlpm.col)
)</f>
        <v/>
      </c>
      <c r="X78" s="95">
        <f t="array" ref="X78">_xlfn.LET(
_xlpm.rango, INDIRECT("S!$C$" &amp; $BA$8 &amp; ":$DR$" &amp; $BA$9),
_xlpm.col, X$72+$D77*10,
INDEX(_xlpm.rango,$BA$4-3,_xlpm.col) +
INDEX(_xlpm.rango,$BA$4-2,_xlpm.col) +
INDEX(_xlpm.rango,$BA$4-1,_xlpm.col) +
INDEX(_xlpm.rango,$BA$4, _xlpm.col)
)</f>
        <v/>
      </c>
      <c r="Y78" s="95">
        <f t="array" ref="Y78">_xlfn.LET(
_xlpm.rango, INDIRECT("S!$C$" &amp; $BA$8 &amp; ":$DR$" &amp; $BA$9),
_xlpm.col, Y$72+$D77*10,
INDEX(_xlpm.rango,$BA$4-3,_xlpm.col) +
INDEX(_xlpm.rango,$BA$4-2,_xlpm.col) +
INDEX(_xlpm.rango,$BA$4-1,_xlpm.col) +
INDEX(_xlpm.rango,$BA$4, _xlpm.col)
)</f>
        <v/>
      </c>
      <c r="Z78" s="100">
        <f t="array" ref="Z78">_xlfn.LET(
_xlpm.rango, INDIRECT("E!$C$" &amp; $BA$8 &amp; ":$DR$" &amp; $BA$9),
_xlpm.col, Z$72+$D77*10,
INDEX(_xlpm.rango,$BA$4-3,_xlpm.col) +
INDEX(_xlpm.rango,$BA$4-2,_xlpm.col) +
INDEX(_xlpm.rango,$BA$4-1,_xlpm.col) +
INDEX(_xlpm.rango,$BA$4, _xlpm.col)
)</f>
        <v/>
      </c>
      <c r="AA78" s="95">
        <f t="array" ref="AA78">_xlfn.LET(
_xlpm.rango, INDIRECT("E!$C$" &amp; $BA$8 &amp; ":$DR$" &amp; $BA$9),
_xlpm.col, AA$72+$D77*10,
INDEX(_xlpm.rango,$BA$4-3,_xlpm.col) +
INDEX(_xlpm.rango,$BA$4-2,_xlpm.col) +
INDEX(_xlpm.rango,$BA$4-1,_xlpm.col) +
INDEX(_xlpm.rango,$BA$4, _xlpm.col)
)</f>
        <v/>
      </c>
      <c r="AB78" s="95">
        <f t="array" ref="AB78">_xlfn.LET(
_xlpm.rango, INDIRECT("E!$C$" &amp; $BA$8 &amp; ":$DR$" &amp; $BA$9),
_xlpm.col, AB$72+$D77*10,
INDEX(_xlpm.rango,$BA$4-3,_xlpm.col) +
INDEX(_xlpm.rango,$BA$4-2,_xlpm.col) +
INDEX(_xlpm.rango,$BA$4-1,_xlpm.col) +
INDEX(_xlpm.rango,$BA$4, _xlpm.col)
)</f>
        <v/>
      </c>
      <c r="AC78" s="95">
        <f t="array" ref="AC78">_xlfn.LET(
_xlpm.rango, INDIRECT("E!$C$" &amp; $BA$8 &amp; ":$DR$" &amp; $BA$9),
_xlpm.col, AC$72+$D77*10,
INDEX(_xlpm.rango,$BA$4-3,_xlpm.col) +
INDEX(_xlpm.rango,$BA$4-2,_xlpm.col) +
INDEX(_xlpm.rango,$BA$4-1,_xlpm.col) +
INDEX(_xlpm.rango,$BA$4, _xlpm.col)
)</f>
        <v/>
      </c>
      <c r="AD78" s="95">
        <f t="array" ref="AD78">_xlfn.LET(
_xlpm.rango, INDIRECT("E!$C$" &amp; $BA$8 &amp; ":$DR$" &amp; $BA$9),
_xlpm.col, AD$72+$D77*10,
INDEX(_xlpm.rango,$BA$4-3,_xlpm.col) +
INDEX(_xlpm.rango,$BA$4-2,_xlpm.col) +
INDEX(_xlpm.rango,$BA$4-1,_xlpm.col) +
INDEX(_xlpm.rango,$BA$4, _xlpm.col)
)</f>
        <v/>
      </c>
      <c r="AE78" s="95">
        <f t="array" ref="AE78">_xlfn.LET(
_xlpm.rango, INDIRECT("E!$C$" &amp; $BA$8 &amp; ":$DR$" &amp; $BA$9),
_xlpm.col, AE$72+$D77*10,
INDEX(_xlpm.rango,$BA$4-3,_xlpm.col) +
INDEX(_xlpm.rango,$BA$4-2,_xlpm.col) +
INDEX(_xlpm.rango,$BA$4-1,_xlpm.col) +
INDEX(_xlpm.rango,$BA$4, _xlpm.col)
)</f>
        <v/>
      </c>
      <c r="AF78" s="95">
        <f t="array" ref="AF78">_xlfn.LET(
_xlpm.rango, INDIRECT("E!$C$" &amp; $BA$8 &amp; ":$DR$" &amp; $BA$9),
_xlpm.col, AF$72+$D77*10,
INDEX(_xlpm.rango,$BA$4-3,_xlpm.col) +
INDEX(_xlpm.rango,$BA$4-2,_xlpm.col) +
INDEX(_xlpm.rango,$BA$4-1,_xlpm.col) +
INDEX(_xlpm.rango,$BA$4, _xlpm.col)
)</f>
        <v/>
      </c>
      <c r="AG78" s="95">
        <f t="array" ref="AG78">_xlfn.LET(
_xlpm.rango, INDIRECT("E!$C$" &amp; $BA$8 &amp; ":$DR$" &amp; $BA$9),
_xlpm.col, AG$72+$D77*10,
INDEX(_xlpm.rango,$BA$4-3,_xlpm.col) +
INDEX(_xlpm.rango,$BA$4-2,_xlpm.col) +
INDEX(_xlpm.rango,$BA$4-1,_xlpm.col) +
INDEX(_xlpm.rango,$BA$4, _xlpm.col)
)</f>
        <v/>
      </c>
      <c r="AH78" s="95">
        <f t="array" ref="AH78">_xlfn.LET(
_xlpm.rango, INDIRECT("E!$C$" &amp; $BA$8 &amp; ":$DR$" &amp; $BA$9),
_xlpm.col, AH$72+$D77*10,
INDEX(_xlpm.rango,$BA$4-3,_xlpm.col) +
INDEX(_xlpm.rango,$BA$4-2,_xlpm.col) +
INDEX(_xlpm.rango,$BA$4-1,_xlpm.col) +
INDEX(_xlpm.rango,$BA$4, _xlpm.col)
)</f>
        <v/>
      </c>
      <c r="AI78" s="96">
        <f t="array" ref="AI78">_xlfn.LET(
_xlpm.rango, INDIRECT("E!$C$" &amp; $BA$8 &amp; ":$DR$" &amp; $BA$9),
_xlpm.col, AI$72+$D77*10,
INDEX(_xlpm.rango,$BA$4-3,_xlpm.col) +
INDEX(_xlpm.rango,$BA$4-2,_xlpm.col) +
INDEX(_xlpm.rango,$BA$4-1,_xlpm.col) +
INDEX(_xlpm.rango,$BA$4, _xlpm.col)
)</f>
        <v/>
      </c>
      <c r="AJ78" s="95">
        <f t="array" ref="AJ78">_xlfn.LET(
_xlpm.rango, INDIRECT("E!$C$" &amp; $BA$8 &amp; ":$DR$" &amp; $BA$9),
_xlpm.col, AJ$72+$D77*10,
INDEX(_xlpm.rango,$BA$4-3,_xlpm.col) +
INDEX(_xlpm.rango,$BA$4-2,_xlpm.col) +
INDEX(_xlpm.rango,$BA$4-1,_xlpm.col) +
INDEX(_xlpm.rango,$BA$4, _xlpm.col)
)</f>
        <v/>
      </c>
      <c r="AK78" s="95">
        <f t="array" ref="AK78">_xlfn.LET(
_xlpm.rango, INDIRECT("E!$C$" &amp; $BA$8 &amp; ":$DR$" &amp; $BA$9),
_xlpm.col, AK$72+$D77*10,
INDEX(_xlpm.rango,$BA$4-3,_xlpm.col) +
INDEX(_xlpm.rango,$BA$4-2,_xlpm.col) +
INDEX(_xlpm.rango,$BA$4-1,_xlpm.col) +
INDEX(_xlpm.rango,$BA$4, _xlpm.col)
)</f>
        <v/>
      </c>
      <c r="AL78" s="95">
        <f t="array" ref="AL78">_xlfn.LET(
_xlpm.rango, INDIRECT("E!$C$" &amp; $BA$8 &amp; ":$DR$" &amp; $BA$9),
_xlpm.col, AL$72+$D77*10,
INDEX(_xlpm.rango,$BA$4-3,_xlpm.col) +
INDEX(_xlpm.rango,$BA$4-2,_xlpm.col) +
INDEX(_xlpm.rango,$BA$4-1,_xlpm.col) +
INDEX(_xlpm.rango,$BA$4, _xlpm.col)
)</f>
        <v/>
      </c>
      <c r="AM78" s="95">
        <f t="array" ref="AM78">_xlfn.LET(
_xlpm.rango, INDIRECT("E!$C$" &amp; $BA$8 &amp; ":$DR$" &amp; $BA$9),
_xlpm.col, AM$72+$D77*10,
INDEX(_xlpm.rango,$BA$4-3,_xlpm.col) +
INDEX(_xlpm.rango,$BA$4-2,_xlpm.col) +
INDEX(_xlpm.rango,$BA$4-1,_xlpm.col) +
INDEX(_xlpm.rango,$BA$4, _xlpm.col)
)</f>
        <v/>
      </c>
      <c r="AN78" s="95">
        <f t="array" ref="AN78">_xlfn.LET(
_xlpm.rango, INDIRECT("E!$C$" &amp; $BA$8 &amp; ":$DR$" &amp; $BA$9),
_xlpm.col, AN$72+$D77*10,
INDEX(_xlpm.rango,$BA$4-3,_xlpm.col) +
INDEX(_xlpm.rango,$BA$4-2,_xlpm.col) +
INDEX(_xlpm.rango,$BA$4-1,_xlpm.col) +
INDEX(_xlpm.rango,$BA$4, _xlpm.col)
)</f>
        <v/>
      </c>
      <c r="AO78" s="95">
        <f t="array" ref="AO78">_xlfn.LET(
_xlpm.rango, INDIRECT("E!$C$" &amp; $BA$8 &amp; ":$DR$" &amp; $BA$9),
_xlpm.col, AO$72+$D77*10,
INDEX(_xlpm.rango,$BA$4-3,_xlpm.col) +
INDEX(_xlpm.rango,$BA$4-2,_xlpm.col) +
INDEX(_xlpm.rango,$BA$4-1,_xlpm.col) +
INDEX(_xlpm.rango,$BA$4, _xlpm.col)
)</f>
        <v/>
      </c>
      <c r="AP78" s="95">
        <f t="array" ref="AP78">_xlfn.LET(
_xlpm.rango, INDIRECT("E!$C$" &amp; $BA$8 &amp; ":$DR$" &amp; $BA$9),
_xlpm.col, AP$72+$D77*10,
INDEX(_xlpm.rango,$BA$4-3,_xlpm.col) +
INDEX(_xlpm.rango,$BA$4-2,_xlpm.col) +
INDEX(_xlpm.rango,$BA$4-1,_xlpm.col) +
INDEX(_xlpm.rango,$BA$4, _xlpm.col)
)</f>
        <v/>
      </c>
      <c r="AQ78" s="95">
        <f t="array" ref="AQ78">_xlfn.LET(
_xlpm.rango, INDIRECT("E!$C$" &amp; $BA$8 &amp; ":$DR$" &amp; $BA$9),
_xlpm.col, AQ$72+$D77*10,
INDEX(_xlpm.rango,$BA$4-3,_xlpm.col) +
INDEX(_xlpm.rango,$BA$4-2,_xlpm.col) +
INDEX(_xlpm.rango,$BA$4-1,_xlpm.col) +
INDEX(_xlpm.rango,$BA$4, _xlpm.col)
)</f>
        <v/>
      </c>
      <c r="AR78" s="95">
        <f t="array" ref="AR78">_xlfn.LET(
_xlpm.rango, INDIRECT("E!$C$" &amp; $BA$8 &amp; ":$DR$" &amp; $BA$9),
_xlpm.col, AR$72+$D77*10,
INDEX(_xlpm.rango,$BA$4-3,_xlpm.col) +
INDEX(_xlpm.rango,$BA$4-2,_xlpm.col) +
INDEX(_xlpm.rango,$BA$4-1,_xlpm.col) +
INDEX(_xlpm.rango,$BA$4, _xlpm.col)
)</f>
        <v/>
      </c>
      <c r="AS78" s="112">
        <f t="array" ref="AS78">_xlfn.LET(
_xlpm.rango, INDIRECT("E!$C$" &amp; $BA$8 &amp; ":$DR$" &amp; $BA$9),
_xlpm.col, AS$72+$D77*10,
INDEX(_xlpm.rango,$BA$4-3,_xlpm.col) +
INDEX(_xlpm.rango,$BA$4-2,_xlpm.col) +
INDEX(_xlpm.rango,$BA$4-1,_xlpm.col) +
INDEX(_xlpm.rango,$BA$4, _xlpm.col)
)</f>
        <v/>
      </c>
      <c r="AT78" s="118">
        <f>SUM(F78:AS78)</f>
        <v/>
      </c>
      <c r="AU78" s="120">
        <f>AT78/$AT$88</f>
        <v/>
      </c>
    </row>
    <row r="79">
      <c r="D79" t="n">
        <v>4</v>
      </c>
      <c r="E79" s="106">
        <f>Inicio!V7</f>
        <v/>
      </c>
      <c r="F79" s="100">
        <f t="array" ref="F79">_xlfn.LET(
_xlpm.rango, INDIRECT("N!$C$" &amp; $BA$8 &amp; ":$DR$" &amp; $BA$9),
_xlpm.col, F$72+$D78*10,
INDEX(_xlpm.rango,$BA$4-3,_xlpm.col) +
INDEX(_xlpm.rango,$BA$4-2,_xlpm.col) +
INDEX(_xlpm.rango,$BA$4-1,_xlpm.col) +
INDEX(_xlpm.rango,$BA$4, _xlpm.col)
)</f>
        <v/>
      </c>
      <c r="G79" s="95">
        <f t="array" ref="G79">_xlfn.LET(
_xlpm.rango, INDIRECT("N!$C$" &amp; $BA$8 &amp; ":$DR$" &amp; $BA$9),
_xlpm.col, G$72+$D78*10,
INDEX(_xlpm.rango,$BA$4-3,_xlpm.col) +
INDEX(_xlpm.rango,$BA$4-2,_xlpm.col) +
INDEX(_xlpm.rango,$BA$4-1,_xlpm.col) +
INDEX(_xlpm.rango,$BA$4, _xlpm.col)
)</f>
        <v/>
      </c>
      <c r="H79" s="95">
        <f t="array" ref="H79">_xlfn.LET(
_xlpm.rango, INDIRECT("N!$C$" &amp; $BA$8 &amp; ":$DR$" &amp; $BA$9),
_xlpm.col, H$72+$D78*10,
INDEX(_xlpm.rango,$BA$4-3,_xlpm.col) +
INDEX(_xlpm.rango,$BA$4-2,_xlpm.col) +
INDEX(_xlpm.rango,$BA$4-1,_xlpm.col) +
INDEX(_xlpm.rango,$BA$4, _xlpm.col)
)</f>
        <v/>
      </c>
      <c r="I79" s="95">
        <f t="array" ref="I79">_xlfn.LET(
_xlpm.rango, INDIRECT("N!$C$" &amp; $BA$8 &amp; ":$DR$" &amp; $BA$9),
_xlpm.col, I$72+$D78*10,
INDEX(_xlpm.rango,$BA$4-3,_xlpm.col) +
INDEX(_xlpm.rango,$BA$4-2,_xlpm.col) +
INDEX(_xlpm.rango,$BA$4-1,_xlpm.col) +
INDEX(_xlpm.rango,$BA$4, _xlpm.col)
)</f>
        <v/>
      </c>
      <c r="J79" s="95">
        <f t="array" ref="J79">_xlfn.LET(
_xlpm.rango, INDIRECT("N!$C$" &amp; $BA$8 &amp; ":$DR$" &amp; $BA$9),
_xlpm.col, J$72+$D78*10,
INDEX(_xlpm.rango,$BA$4-3,_xlpm.col) +
INDEX(_xlpm.rango,$BA$4-2,_xlpm.col) +
INDEX(_xlpm.rango,$BA$4-1,_xlpm.col) +
INDEX(_xlpm.rango,$BA$4, _xlpm.col)
)</f>
        <v/>
      </c>
      <c r="K79" s="95">
        <f t="array" ref="K79">_xlfn.LET(
_xlpm.rango, INDIRECT("N!$C$" &amp; $BA$8 &amp; ":$DR$" &amp; $BA$9),
_xlpm.col, K$72+$D78*10,
INDEX(_xlpm.rango,$BA$4-3,_xlpm.col) +
INDEX(_xlpm.rango,$BA$4-2,_xlpm.col) +
INDEX(_xlpm.rango,$BA$4-1,_xlpm.col) +
INDEX(_xlpm.rango,$BA$4, _xlpm.col)
)</f>
        <v/>
      </c>
      <c r="L79" s="95">
        <f t="array" ref="L79">_xlfn.LET(
_xlpm.rango, INDIRECT("N!$C$" &amp; $BA$8 &amp; ":$DR$" &amp; $BA$9),
_xlpm.col, L$72+$D78*10,
INDEX(_xlpm.rango,$BA$4-3,_xlpm.col) +
INDEX(_xlpm.rango,$BA$4-2,_xlpm.col) +
INDEX(_xlpm.rango,$BA$4-1,_xlpm.col) +
INDEX(_xlpm.rango,$BA$4, _xlpm.col)
)</f>
        <v/>
      </c>
      <c r="M79" s="95">
        <f t="array" ref="M79">_xlfn.LET(
_xlpm.rango, INDIRECT("N!$C$" &amp; $BA$8 &amp; ":$DR$" &amp; $BA$9),
_xlpm.col, M$72+$D78*10,
INDEX(_xlpm.rango,$BA$4-3,_xlpm.col) +
INDEX(_xlpm.rango,$BA$4-2,_xlpm.col) +
INDEX(_xlpm.rango,$BA$4-1,_xlpm.col) +
INDEX(_xlpm.rango,$BA$4, _xlpm.col)
)</f>
        <v/>
      </c>
      <c r="N79" s="95">
        <f t="array" ref="N79">_xlfn.LET(
_xlpm.rango, INDIRECT("N!$C$" &amp; $BA$8 &amp; ":$DR$" &amp; $BA$9),
_xlpm.col, N$72+$D78*10,
INDEX(_xlpm.rango,$BA$4-3,_xlpm.col) +
INDEX(_xlpm.rango,$BA$4-2,_xlpm.col) +
INDEX(_xlpm.rango,$BA$4-1,_xlpm.col) +
INDEX(_xlpm.rango,$BA$4, _xlpm.col)
)</f>
        <v/>
      </c>
      <c r="O79" s="96">
        <f t="array" ref="O79">_xlfn.LET(
_xlpm.rango, INDIRECT("N!$C$" &amp; $BA$8 &amp; ":$DR$" &amp; $BA$9),
_xlpm.col, O$72+$D78*10,
INDEX(_xlpm.rango,$BA$4-3,_xlpm.col) +
INDEX(_xlpm.rango,$BA$4-2,_xlpm.col) +
INDEX(_xlpm.rango,$BA$4-1,_xlpm.col) +
INDEX(_xlpm.rango,$BA$4, _xlpm.col)
)</f>
        <v/>
      </c>
      <c r="P79" s="95">
        <f t="array" ref="P79">_xlfn.LET(
_xlpm.rango, INDIRECT("S!$C$" &amp; $BA$8 &amp; ":$DR$" &amp; $BA$9),
_xlpm.col, P$72+$D78*10,
INDEX(_xlpm.rango,$BA$4-3,_xlpm.col) +
INDEX(_xlpm.rango,$BA$4-2,_xlpm.col) +
INDEX(_xlpm.rango,$BA$4-1,_xlpm.col) +
INDEX(_xlpm.rango,$BA$4, _xlpm.col)
)</f>
        <v/>
      </c>
      <c r="Q79" s="95">
        <f t="array" ref="Q79">_xlfn.LET(
_xlpm.rango, INDIRECT("S!$C$" &amp; $BA$8 &amp; ":$DR$" &amp; $BA$9),
_xlpm.col, Q$72+$D78*10,
INDEX(_xlpm.rango,$BA$4-3,_xlpm.col) +
INDEX(_xlpm.rango,$BA$4-2,_xlpm.col) +
INDEX(_xlpm.rango,$BA$4-1,_xlpm.col) +
INDEX(_xlpm.rango,$BA$4, _xlpm.col)
)</f>
        <v/>
      </c>
      <c r="R79" s="95">
        <f t="array" ref="R79">_xlfn.LET(
_xlpm.rango, INDIRECT("S!$C$" &amp; $BA$8 &amp; ":$DR$" &amp; $BA$9),
_xlpm.col, R$72+$D78*10,
INDEX(_xlpm.rango,$BA$4-3,_xlpm.col) +
INDEX(_xlpm.rango,$BA$4-2,_xlpm.col) +
INDEX(_xlpm.rango,$BA$4-1,_xlpm.col) +
INDEX(_xlpm.rango,$BA$4, _xlpm.col)
)</f>
        <v/>
      </c>
      <c r="S79" s="95">
        <f t="array" ref="S79">_xlfn.LET(
_xlpm.rango, INDIRECT("S!$C$" &amp; $BA$8 &amp; ":$DR$" &amp; $BA$9),
_xlpm.col, S$72+$D78*10,
INDEX(_xlpm.rango,$BA$4-3,_xlpm.col) +
INDEX(_xlpm.rango,$BA$4-2,_xlpm.col) +
INDEX(_xlpm.rango,$BA$4-1,_xlpm.col) +
INDEX(_xlpm.rango,$BA$4, _xlpm.col)
)</f>
        <v/>
      </c>
      <c r="T79" s="95">
        <f t="array" ref="T79">_xlfn.LET(
_xlpm.rango, INDIRECT("S!$C$" &amp; $BA$8 &amp; ":$DR$" &amp; $BA$9),
_xlpm.col, T$72+$D78*10,
INDEX(_xlpm.rango,$BA$4-3,_xlpm.col) +
INDEX(_xlpm.rango,$BA$4-2,_xlpm.col) +
INDEX(_xlpm.rango,$BA$4-1,_xlpm.col) +
INDEX(_xlpm.rango,$BA$4, _xlpm.col)
)</f>
        <v/>
      </c>
      <c r="U79" s="95">
        <f t="array" ref="U79">_xlfn.LET(
_xlpm.rango, INDIRECT("S!$C$" &amp; $BA$8 &amp; ":$DR$" &amp; $BA$9),
_xlpm.col, U$72+$D78*10,
INDEX(_xlpm.rango,$BA$4-3,_xlpm.col) +
INDEX(_xlpm.rango,$BA$4-2,_xlpm.col) +
INDEX(_xlpm.rango,$BA$4-1,_xlpm.col) +
INDEX(_xlpm.rango,$BA$4, _xlpm.col)
)</f>
        <v/>
      </c>
      <c r="V79" s="95">
        <f t="array" ref="V79">_xlfn.LET(
_xlpm.rango, INDIRECT("S!$C$" &amp; $BA$8 &amp; ":$DR$" &amp; $BA$9),
_xlpm.col, V$72+$D78*10,
INDEX(_xlpm.rango,$BA$4-3,_xlpm.col) +
INDEX(_xlpm.rango,$BA$4-2,_xlpm.col) +
INDEX(_xlpm.rango,$BA$4-1,_xlpm.col) +
INDEX(_xlpm.rango,$BA$4, _xlpm.col)
)</f>
        <v/>
      </c>
      <c r="W79" s="95">
        <f t="array" ref="W79">_xlfn.LET(
_xlpm.rango, INDIRECT("S!$C$" &amp; $BA$8 &amp; ":$DR$" &amp; $BA$9),
_xlpm.col, W$72+$D78*10,
INDEX(_xlpm.rango,$BA$4-3,_xlpm.col) +
INDEX(_xlpm.rango,$BA$4-2,_xlpm.col) +
INDEX(_xlpm.rango,$BA$4-1,_xlpm.col) +
INDEX(_xlpm.rango,$BA$4, _xlpm.col)
)</f>
        <v/>
      </c>
      <c r="X79" s="95">
        <f t="array" ref="X79">_xlfn.LET(
_xlpm.rango, INDIRECT("S!$C$" &amp; $BA$8 &amp; ":$DR$" &amp; $BA$9),
_xlpm.col, X$72+$D78*10,
INDEX(_xlpm.rango,$BA$4-3,_xlpm.col) +
INDEX(_xlpm.rango,$BA$4-2,_xlpm.col) +
INDEX(_xlpm.rango,$BA$4-1,_xlpm.col) +
INDEX(_xlpm.rango,$BA$4, _xlpm.col)
)</f>
        <v/>
      </c>
      <c r="Y79" s="95">
        <f t="array" ref="Y79">_xlfn.LET(
_xlpm.rango, INDIRECT("S!$C$" &amp; $BA$8 &amp; ":$DR$" &amp; $BA$9),
_xlpm.col, Y$72+$D78*10,
INDEX(_xlpm.rango,$BA$4-3,_xlpm.col) +
INDEX(_xlpm.rango,$BA$4-2,_xlpm.col) +
INDEX(_xlpm.rango,$BA$4-1,_xlpm.col) +
INDEX(_xlpm.rango,$BA$4, _xlpm.col)
)</f>
        <v/>
      </c>
      <c r="Z79" s="100">
        <f t="array" ref="Z79">_xlfn.LET(
_xlpm.rango, INDIRECT("E!$C$" &amp; $BA$8 &amp; ":$DR$" &amp; $BA$9),
_xlpm.col, Z$72+$D78*10,
INDEX(_xlpm.rango,$BA$4-3,_xlpm.col) +
INDEX(_xlpm.rango,$BA$4-2,_xlpm.col) +
INDEX(_xlpm.rango,$BA$4-1,_xlpm.col) +
INDEX(_xlpm.rango,$BA$4, _xlpm.col)
)</f>
        <v/>
      </c>
      <c r="AA79" s="95">
        <f t="array" ref="AA79">_xlfn.LET(
_xlpm.rango, INDIRECT("E!$C$" &amp; $BA$8 &amp; ":$DR$" &amp; $BA$9),
_xlpm.col, AA$72+$D78*10,
INDEX(_xlpm.rango,$BA$4-3,_xlpm.col) +
INDEX(_xlpm.rango,$BA$4-2,_xlpm.col) +
INDEX(_xlpm.rango,$BA$4-1,_xlpm.col) +
INDEX(_xlpm.rango,$BA$4, _xlpm.col)
)</f>
        <v/>
      </c>
      <c r="AB79" s="95">
        <f t="array" ref="AB79">_xlfn.LET(
_xlpm.rango, INDIRECT("E!$C$" &amp; $BA$8 &amp; ":$DR$" &amp; $BA$9),
_xlpm.col, AB$72+$D78*10,
INDEX(_xlpm.rango,$BA$4-3,_xlpm.col) +
INDEX(_xlpm.rango,$BA$4-2,_xlpm.col) +
INDEX(_xlpm.rango,$BA$4-1,_xlpm.col) +
INDEX(_xlpm.rango,$BA$4, _xlpm.col)
)</f>
        <v/>
      </c>
      <c r="AC79" s="95">
        <f t="array" ref="AC79">_xlfn.LET(
_xlpm.rango, INDIRECT("E!$C$" &amp; $BA$8 &amp; ":$DR$" &amp; $BA$9),
_xlpm.col, AC$72+$D78*10,
INDEX(_xlpm.rango,$BA$4-3,_xlpm.col) +
INDEX(_xlpm.rango,$BA$4-2,_xlpm.col) +
INDEX(_xlpm.rango,$BA$4-1,_xlpm.col) +
INDEX(_xlpm.rango,$BA$4, _xlpm.col)
)</f>
        <v/>
      </c>
      <c r="AD79" s="95">
        <f t="array" ref="AD79">_xlfn.LET(
_xlpm.rango, INDIRECT("E!$C$" &amp; $BA$8 &amp; ":$DR$" &amp; $BA$9),
_xlpm.col, AD$72+$D78*10,
INDEX(_xlpm.rango,$BA$4-3,_xlpm.col) +
INDEX(_xlpm.rango,$BA$4-2,_xlpm.col) +
INDEX(_xlpm.rango,$BA$4-1,_xlpm.col) +
INDEX(_xlpm.rango,$BA$4, _xlpm.col)
)</f>
        <v/>
      </c>
      <c r="AE79" s="95">
        <f t="array" ref="AE79">_xlfn.LET(
_xlpm.rango, INDIRECT("E!$C$" &amp; $BA$8 &amp; ":$DR$" &amp; $BA$9),
_xlpm.col, AE$72+$D78*10,
INDEX(_xlpm.rango,$BA$4-3,_xlpm.col) +
INDEX(_xlpm.rango,$BA$4-2,_xlpm.col) +
INDEX(_xlpm.rango,$BA$4-1,_xlpm.col) +
INDEX(_xlpm.rango,$BA$4, _xlpm.col)
)</f>
        <v/>
      </c>
      <c r="AF79" s="95">
        <f t="array" ref="AF79">_xlfn.LET(
_xlpm.rango, INDIRECT("E!$C$" &amp; $BA$8 &amp; ":$DR$" &amp; $BA$9),
_xlpm.col, AF$72+$D78*10,
INDEX(_xlpm.rango,$BA$4-3,_xlpm.col) +
INDEX(_xlpm.rango,$BA$4-2,_xlpm.col) +
INDEX(_xlpm.rango,$BA$4-1,_xlpm.col) +
INDEX(_xlpm.rango,$BA$4, _xlpm.col)
)</f>
        <v/>
      </c>
      <c r="AG79" s="95">
        <f t="array" ref="AG79">_xlfn.LET(
_xlpm.rango, INDIRECT("E!$C$" &amp; $BA$8 &amp; ":$DR$" &amp; $BA$9),
_xlpm.col, AG$72+$D78*10,
INDEX(_xlpm.rango,$BA$4-3,_xlpm.col) +
INDEX(_xlpm.rango,$BA$4-2,_xlpm.col) +
INDEX(_xlpm.rango,$BA$4-1,_xlpm.col) +
INDEX(_xlpm.rango,$BA$4, _xlpm.col)
)</f>
        <v/>
      </c>
      <c r="AH79" s="95">
        <f t="array" ref="AH79">_xlfn.LET(
_xlpm.rango, INDIRECT("E!$C$" &amp; $BA$8 &amp; ":$DR$" &amp; $BA$9),
_xlpm.col, AH$72+$D78*10,
INDEX(_xlpm.rango,$BA$4-3,_xlpm.col) +
INDEX(_xlpm.rango,$BA$4-2,_xlpm.col) +
INDEX(_xlpm.rango,$BA$4-1,_xlpm.col) +
INDEX(_xlpm.rango,$BA$4, _xlpm.col)
)</f>
        <v/>
      </c>
      <c r="AI79" s="96">
        <f t="array" ref="AI79">_xlfn.LET(
_xlpm.rango, INDIRECT("E!$C$" &amp; $BA$8 &amp; ":$DR$" &amp; $BA$9),
_xlpm.col, AI$72+$D78*10,
INDEX(_xlpm.rango,$BA$4-3,_xlpm.col) +
INDEX(_xlpm.rango,$BA$4-2,_xlpm.col) +
INDEX(_xlpm.rango,$BA$4-1,_xlpm.col) +
INDEX(_xlpm.rango,$BA$4, _xlpm.col)
)</f>
        <v/>
      </c>
      <c r="AJ79" s="95">
        <f t="array" ref="AJ79">_xlfn.LET(
_xlpm.rango, INDIRECT("E!$C$" &amp; $BA$8 &amp; ":$DR$" &amp; $BA$9),
_xlpm.col, AJ$72+$D78*10,
INDEX(_xlpm.rango,$BA$4-3,_xlpm.col) +
INDEX(_xlpm.rango,$BA$4-2,_xlpm.col) +
INDEX(_xlpm.rango,$BA$4-1,_xlpm.col) +
INDEX(_xlpm.rango,$BA$4, _xlpm.col)
)</f>
        <v/>
      </c>
      <c r="AK79" s="95">
        <f t="array" ref="AK79">_xlfn.LET(
_xlpm.rango, INDIRECT("E!$C$" &amp; $BA$8 &amp; ":$DR$" &amp; $BA$9),
_xlpm.col, AK$72+$D78*10,
INDEX(_xlpm.rango,$BA$4-3,_xlpm.col) +
INDEX(_xlpm.rango,$BA$4-2,_xlpm.col) +
INDEX(_xlpm.rango,$BA$4-1,_xlpm.col) +
INDEX(_xlpm.rango,$BA$4, _xlpm.col)
)</f>
        <v/>
      </c>
      <c r="AL79" s="95">
        <f t="array" ref="AL79">_xlfn.LET(
_xlpm.rango, INDIRECT("E!$C$" &amp; $BA$8 &amp; ":$DR$" &amp; $BA$9),
_xlpm.col, AL$72+$D78*10,
INDEX(_xlpm.rango,$BA$4-3,_xlpm.col) +
INDEX(_xlpm.rango,$BA$4-2,_xlpm.col) +
INDEX(_xlpm.rango,$BA$4-1,_xlpm.col) +
INDEX(_xlpm.rango,$BA$4, _xlpm.col)
)</f>
        <v/>
      </c>
      <c r="AM79" s="95">
        <f t="array" ref="AM79">_xlfn.LET(
_xlpm.rango, INDIRECT("E!$C$" &amp; $BA$8 &amp; ":$DR$" &amp; $BA$9),
_xlpm.col, AM$72+$D78*10,
INDEX(_xlpm.rango,$BA$4-3,_xlpm.col) +
INDEX(_xlpm.rango,$BA$4-2,_xlpm.col) +
INDEX(_xlpm.rango,$BA$4-1,_xlpm.col) +
INDEX(_xlpm.rango,$BA$4, _xlpm.col)
)</f>
        <v/>
      </c>
      <c r="AN79" s="95">
        <f t="array" ref="AN79">_xlfn.LET(
_xlpm.rango, INDIRECT("E!$C$" &amp; $BA$8 &amp; ":$DR$" &amp; $BA$9),
_xlpm.col, AN$72+$D78*10,
INDEX(_xlpm.rango,$BA$4-3,_xlpm.col) +
INDEX(_xlpm.rango,$BA$4-2,_xlpm.col) +
INDEX(_xlpm.rango,$BA$4-1,_xlpm.col) +
INDEX(_xlpm.rango,$BA$4, _xlpm.col)
)</f>
        <v/>
      </c>
      <c r="AO79" s="95">
        <f t="array" ref="AO79">_xlfn.LET(
_xlpm.rango, INDIRECT("E!$C$" &amp; $BA$8 &amp; ":$DR$" &amp; $BA$9),
_xlpm.col, AO$72+$D78*10,
INDEX(_xlpm.rango,$BA$4-3,_xlpm.col) +
INDEX(_xlpm.rango,$BA$4-2,_xlpm.col) +
INDEX(_xlpm.rango,$BA$4-1,_xlpm.col) +
INDEX(_xlpm.rango,$BA$4, _xlpm.col)
)</f>
        <v/>
      </c>
      <c r="AP79" s="95">
        <f t="array" ref="AP79">_xlfn.LET(
_xlpm.rango, INDIRECT("E!$C$" &amp; $BA$8 &amp; ":$DR$" &amp; $BA$9),
_xlpm.col, AP$72+$D78*10,
INDEX(_xlpm.rango,$BA$4-3,_xlpm.col) +
INDEX(_xlpm.rango,$BA$4-2,_xlpm.col) +
INDEX(_xlpm.rango,$BA$4-1,_xlpm.col) +
INDEX(_xlpm.rango,$BA$4, _xlpm.col)
)</f>
        <v/>
      </c>
      <c r="AQ79" s="95">
        <f t="array" ref="AQ79">_xlfn.LET(
_xlpm.rango, INDIRECT("E!$C$" &amp; $BA$8 &amp; ":$DR$" &amp; $BA$9),
_xlpm.col, AQ$72+$D78*10,
INDEX(_xlpm.rango,$BA$4-3,_xlpm.col) +
INDEX(_xlpm.rango,$BA$4-2,_xlpm.col) +
INDEX(_xlpm.rango,$BA$4-1,_xlpm.col) +
INDEX(_xlpm.rango,$BA$4, _xlpm.col)
)</f>
        <v/>
      </c>
      <c r="AR79" s="95">
        <f t="array" ref="AR79">_xlfn.LET(
_xlpm.rango, INDIRECT("E!$C$" &amp; $BA$8 &amp; ":$DR$" &amp; $BA$9),
_xlpm.col, AR$72+$D78*10,
INDEX(_xlpm.rango,$BA$4-3,_xlpm.col) +
INDEX(_xlpm.rango,$BA$4-2,_xlpm.col) +
INDEX(_xlpm.rango,$BA$4-1,_xlpm.col) +
INDEX(_xlpm.rango,$BA$4, _xlpm.col)
)</f>
        <v/>
      </c>
      <c r="AS79" s="112">
        <f t="array" ref="AS79">_xlfn.LET(
_xlpm.rango, INDIRECT("E!$C$" &amp; $BA$8 &amp; ":$DR$" &amp; $BA$9),
_xlpm.col, AS$72+$D78*10,
INDEX(_xlpm.rango,$BA$4-3,_xlpm.col) +
INDEX(_xlpm.rango,$BA$4-2,_xlpm.col) +
INDEX(_xlpm.rango,$BA$4-1,_xlpm.col) +
INDEX(_xlpm.rango,$BA$4, _xlpm.col)
)</f>
        <v/>
      </c>
      <c r="AT79" s="118">
        <f>SUM(F79:AS79)</f>
        <v/>
      </c>
      <c r="AU79" s="120">
        <f>AT79/$AT$88</f>
        <v/>
      </c>
    </row>
    <row r="80">
      <c r="D80" t="n">
        <v>5</v>
      </c>
      <c r="E80" s="106">
        <f>Inicio!V8</f>
        <v/>
      </c>
      <c r="F80" s="100">
        <f t="array" ref="F80">_xlfn.LET(
_xlpm.rango, INDIRECT("N!$C$" &amp; $BA$8 &amp; ":$DR$" &amp; $BA$9),
_xlpm.col, F$72+$D79*10,
INDEX(_xlpm.rango,$BA$4-3,_xlpm.col) +
INDEX(_xlpm.rango,$BA$4-2,_xlpm.col) +
INDEX(_xlpm.rango,$BA$4-1,_xlpm.col) +
INDEX(_xlpm.rango,$BA$4, _xlpm.col)
)</f>
        <v/>
      </c>
      <c r="G80" s="95">
        <f t="array" ref="G80">_xlfn.LET(
_xlpm.rango, INDIRECT("N!$C$" &amp; $BA$8 &amp; ":$DR$" &amp; $BA$9),
_xlpm.col, G$72+$D79*10,
INDEX(_xlpm.rango,$BA$4-3,_xlpm.col) +
INDEX(_xlpm.rango,$BA$4-2,_xlpm.col) +
INDEX(_xlpm.rango,$BA$4-1,_xlpm.col) +
INDEX(_xlpm.rango,$BA$4, _xlpm.col)
)</f>
        <v/>
      </c>
      <c r="H80" s="95">
        <f t="array" ref="H80">_xlfn.LET(
_xlpm.rango, INDIRECT("N!$C$" &amp; $BA$8 &amp; ":$DR$" &amp; $BA$9),
_xlpm.col, H$72+$D79*10,
INDEX(_xlpm.rango,$BA$4-3,_xlpm.col) +
INDEX(_xlpm.rango,$BA$4-2,_xlpm.col) +
INDEX(_xlpm.rango,$BA$4-1,_xlpm.col) +
INDEX(_xlpm.rango,$BA$4, _xlpm.col)
)</f>
        <v/>
      </c>
      <c r="I80" s="95">
        <f t="array" ref="I80">_xlfn.LET(
_xlpm.rango, INDIRECT("N!$C$" &amp; $BA$8 &amp; ":$DR$" &amp; $BA$9),
_xlpm.col, I$72+$D79*10,
INDEX(_xlpm.rango,$BA$4-3,_xlpm.col) +
INDEX(_xlpm.rango,$BA$4-2,_xlpm.col) +
INDEX(_xlpm.rango,$BA$4-1,_xlpm.col) +
INDEX(_xlpm.rango,$BA$4, _xlpm.col)
)</f>
        <v/>
      </c>
      <c r="J80" s="95">
        <f t="array" ref="J80">_xlfn.LET(
_xlpm.rango, INDIRECT("N!$C$" &amp; $BA$8 &amp; ":$DR$" &amp; $BA$9),
_xlpm.col, J$72+$D79*10,
INDEX(_xlpm.rango,$BA$4-3,_xlpm.col) +
INDEX(_xlpm.rango,$BA$4-2,_xlpm.col) +
INDEX(_xlpm.rango,$BA$4-1,_xlpm.col) +
INDEX(_xlpm.rango,$BA$4, _xlpm.col)
)</f>
        <v/>
      </c>
      <c r="K80" s="95">
        <f t="array" ref="K80">_xlfn.LET(
_xlpm.rango, INDIRECT("N!$C$" &amp; $BA$8 &amp; ":$DR$" &amp; $BA$9),
_xlpm.col, K$72+$D79*10,
INDEX(_xlpm.rango,$BA$4-3,_xlpm.col) +
INDEX(_xlpm.rango,$BA$4-2,_xlpm.col) +
INDEX(_xlpm.rango,$BA$4-1,_xlpm.col) +
INDEX(_xlpm.rango,$BA$4, _xlpm.col)
)</f>
        <v/>
      </c>
      <c r="L80" s="95">
        <f t="array" ref="L80">_xlfn.LET(
_xlpm.rango, INDIRECT("N!$C$" &amp; $BA$8 &amp; ":$DR$" &amp; $BA$9),
_xlpm.col, L$72+$D79*10,
INDEX(_xlpm.rango,$BA$4-3,_xlpm.col) +
INDEX(_xlpm.rango,$BA$4-2,_xlpm.col) +
INDEX(_xlpm.rango,$BA$4-1,_xlpm.col) +
INDEX(_xlpm.rango,$BA$4, _xlpm.col)
)</f>
        <v/>
      </c>
      <c r="M80" s="95">
        <f t="array" ref="M80">_xlfn.LET(
_xlpm.rango, INDIRECT("N!$C$" &amp; $BA$8 &amp; ":$DR$" &amp; $BA$9),
_xlpm.col, M$72+$D79*10,
INDEX(_xlpm.rango,$BA$4-3,_xlpm.col) +
INDEX(_xlpm.rango,$BA$4-2,_xlpm.col) +
INDEX(_xlpm.rango,$BA$4-1,_xlpm.col) +
INDEX(_xlpm.rango,$BA$4, _xlpm.col)
)</f>
        <v/>
      </c>
      <c r="N80" s="95">
        <f t="array" ref="N80">_xlfn.LET(
_xlpm.rango, INDIRECT("N!$C$" &amp; $BA$8 &amp; ":$DR$" &amp; $BA$9),
_xlpm.col, N$72+$D79*10,
INDEX(_xlpm.rango,$BA$4-3,_xlpm.col) +
INDEX(_xlpm.rango,$BA$4-2,_xlpm.col) +
INDEX(_xlpm.rango,$BA$4-1,_xlpm.col) +
INDEX(_xlpm.rango,$BA$4, _xlpm.col)
)</f>
        <v/>
      </c>
      <c r="O80" s="96">
        <f t="array" ref="O80">_xlfn.LET(
_xlpm.rango, INDIRECT("N!$C$" &amp; $BA$8 &amp; ":$DR$" &amp; $BA$9),
_xlpm.col, O$72+$D79*10,
INDEX(_xlpm.rango,$BA$4-3,_xlpm.col) +
INDEX(_xlpm.rango,$BA$4-2,_xlpm.col) +
INDEX(_xlpm.rango,$BA$4-1,_xlpm.col) +
INDEX(_xlpm.rango,$BA$4, _xlpm.col)
)</f>
        <v/>
      </c>
      <c r="P80" s="95">
        <f t="array" ref="P80">_xlfn.LET(
_xlpm.rango, INDIRECT("S!$C$" &amp; $BA$8 &amp; ":$DR$" &amp; $BA$9),
_xlpm.col, P$72+$D79*10,
INDEX(_xlpm.rango,$BA$4-3,_xlpm.col) +
INDEX(_xlpm.rango,$BA$4-2,_xlpm.col) +
INDEX(_xlpm.rango,$BA$4-1,_xlpm.col) +
INDEX(_xlpm.rango,$BA$4, _xlpm.col)
)</f>
        <v/>
      </c>
      <c r="Q80" s="95">
        <f t="array" ref="Q80">_xlfn.LET(
_xlpm.rango, INDIRECT("S!$C$" &amp; $BA$8 &amp; ":$DR$" &amp; $BA$9),
_xlpm.col, Q$72+$D79*10,
INDEX(_xlpm.rango,$BA$4-3,_xlpm.col) +
INDEX(_xlpm.rango,$BA$4-2,_xlpm.col) +
INDEX(_xlpm.rango,$BA$4-1,_xlpm.col) +
INDEX(_xlpm.rango,$BA$4, _xlpm.col)
)</f>
        <v/>
      </c>
      <c r="R80" s="95">
        <f t="array" ref="R80">_xlfn.LET(
_xlpm.rango, INDIRECT("S!$C$" &amp; $BA$8 &amp; ":$DR$" &amp; $BA$9),
_xlpm.col, R$72+$D79*10,
INDEX(_xlpm.rango,$BA$4-3,_xlpm.col) +
INDEX(_xlpm.rango,$BA$4-2,_xlpm.col) +
INDEX(_xlpm.rango,$BA$4-1,_xlpm.col) +
INDEX(_xlpm.rango,$BA$4, _xlpm.col)
)</f>
        <v/>
      </c>
      <c r="S80" s="95">
        <f t="array" ref="S80">_xlfn.LET(
_xlpm.rango, INDIRECT("S!$C$" &amp; $BA$8 &amp; ":$DR$" &amp; $BA$9),
_xlpm.col, S$72+$D79*10,
INDEX(_xlpm.rango,$BA$4-3,_xlpm.col) +
INDEX(_xlpm.rango,$BA$4-2,_xlpm.col) +
INDEX(_xlpm.rango,$BA$4-1,_xlpm.col) +
INDEX(_xlpm.rango,$BA$4, _xlpm.col)
)</f>
        <v/>
      </c>
      <c r="T80" s="95">
        <f t="array" ref="T80">_xlfn.LET(
_xlpm.rango, INDIRECT("S!$C$" &amp; $BA$8 &amp; ":$DR$" &amp; $BA$9),
_xlpm.col, T$72+$D79*10,
INDEX(_xlpm.rango,$BA$4-3,_xlpm.col) +
INDEX(_xlpm.rango,$BA$4-2,_xlpm.col) +
INDEX(_xlpm.rango,$BA$4-1,_xlpm.col) +
INDEX(_xlpm.rango,$BA$4, _xlpm.col)
)</f>
        <v/>
      </c>
      <c r="U80" s="95">
        <f t="array" ref="U80">_xlfn.LET(
_xlpm.rango, INDIRECT("S!$C$" &amp; $BA$8 &amp; ":$DR$" &amp; $BA$9),
_xlpm.col, U$72+$D79*10,
INDEX(_xlpm.rango,$BA$4-3,_xlpm.col) +
INDEX(_xlpm.rango,$BA$4-2,_xlpm.col) +
INDEX(_xlpm.rango,$BA$4-1,_xlpm.col) +
INDEX(_xlpm.rango,$BA$4, _xlpm.col)
)</f>
        <v/>
      </c>
      <c r="V80" s="95">
        <f t="array" ref="V80">_xlfn.LET(
_xlpm.rango, INDIRECT("S!$C$" &amp; $BA$8 &amp; ":$DR$" &amp; $BA$9),
_xlpm.col, V$72+$D79*10,
INDEX(_xlpm.rango,$BA$4-3,_xlpm.col) +
INDEX(_xlpm.rango,$BA$4-2,_xlpm.col) +
INDEX(_xlpm.rango,$BA$4-1,_xlpm.col) +
INDEX(_xlpm.rango,$BA$4, _xlpm.col)
)</f>
        <v/>
      </c>
      <c r="W80" s="95">
        <f t="array" ref="W80">_xlfn.LET(
_xlpm.rango, INDIRECT("S!$C$" &amp; $BA$8 &amp; ":$DR$" &amp; $BA$9),
_xlpm.col, W$72+$D79*10,
INDEX(_xlpm.rango,$BA$4-3,_xlpm.col) +
INDEX(_xlpm.rango,$BA$4-2,_xlpm.col) +
INDEX(_xlpm.rango,$BA$4-1,_xlpm.col) +
INDEX(_xlpm.rango,$BA$4, _xlpm.col)
)</f>
        <v/>
      </c>
      <c r="X80" s="95">
        <f t="array" ref="X80">_xlfn.LET(
_xlpm.rango, INDIRECT("S!$C$" &amp; $BA$8 &amp; ":$DR$" &amp; $BA$9),
_xlpm.col, X$72+$D79*10,
INDEX(_xlpm.rango,$BA$4-3,_xlpm.col) +
INDEX(_xlpm.rango,$BA$4-2,_xlpm.col) +
INDEX(_xlpm.rango,$BA$4-1,_xlpm.col) +
INDEX(_xlpm.rango,$BA$4, _xlpm.col)
)</f>
        <v/>
      </c>
      <c r="Y80" s="95">
        <f t="array" ref="Y80">_xlfn.LET(
_xlpm.rango, INDIRECT("S!$C$" &amp; $BA$8 &amp; ":$DR$" &amp; $BA$9),
_xlpm.col, Y$72+$D79*10,
INDEX(_xlpm.rango,$BA$4-3,_xlpm.col) +
INDEX(_xlpm.rango,$BA$4-2,_xlpm.col) +
INDEX(_xlpm.rango,$BA$4-1,_xlpm.col) +
INDEX(_xlpm.rango,$BA$4, _xlpm.col)
)</f>
        <v/>
      </c>
      <c r="Z80" s="100">
        <f t="array" ref="Z80">_xlfn.LET(
_xlpm.rango, INDIRECT("E!$C$" &amp; $BA$8 &amp; ":$DR$" &amp; $BA$9),
_xlpm.col, Z$72+$D79*10,
INDEX(_xlpm.rango,$BA$4-3,_xlpm.col) +
INDEX(_xlpm.rango,$BA$4-2,_xlpm.col) +
INDEX(_xlpm.rango,$BA$4-1,_xlpm.col) +
INDEX(_xlpm.rango,$BA$4, _xlpm.col)
)</f>
        <v/>
      </c>
      <c r="AA80" s="95">
        <f t="array" ref="AA80">_xlfn.LET(
_xlpm.rango, INDIRECT("E!$C$" &amp; $BA$8 &amp; ":$DR$" &amp; $BA$9),
_xlpm.col, AA$72+$D79*10,
INDEX(_xlpm.rango,$BA$4-3,_xlpm.col) +
INDEX(_xlpm.rango,$BA$4-2,_xlpm.col) +
INDEX(_xlpm.rango,$BA$4-1,_xlpm.col) +
INDEX(_xlpm.rango,$BA$4, _xlpm.col)
)</f>
        <v/>
      </c>
      <c r="AB80" s="95">
        <f t="array" ref="AB80">_xlfn.LET(
_xlpm.rango, INDIRECT("E!$C$" &amp; $BA$8 &amp; ":$DR$" &amp; $BA$9),
_xlpm.col, AB$72+$D79*10,
INDEX(_xlpm.rango,$BA$4-3,_xlpm.col) +
INDEX(_xlpm.rango,$BA$4-2,_xlpm.col) +
INDEX(_xlpm.rango,$BA$4-1,_xlpm.col) +
INDEX(_xlpm.rango,$BA$4, _xlpm.col)
)</f>
        <v/>
      </c>
      <c r="AC80" s="95">
        <f t="array" ref="AC80">_xlfn.LET(
_xlpm.rango, INDIRECT("E!$C$" &amp; $BA$8 &amp; ":$DR$" &amp; $BA$9),
_xlpm.col, AC$72+$D79*10,
INDEX(_xlpm.rango,$BA$4-3,_xlpm.col) +
INDEX(_xlpm.rango,$BA$4-2,_xlpm.col) +
INDEX(_xlpm.rango,$BA$4-1,_xlpm.col) +
INDEX(_xlpm.rango,$BA$4, _xlpm.col)
)</f>
        <v/>
      </c>
      <c r="AD80" s="95">
        <f t="array" ref="AD80">_xlfn.LET(
_xlpm.rango, INDIRECT("E!$C$" &amp; $BA$8 &amp; ":$DR$" &amp; $BA$9),
_xlpm.col, AD$72+$D79*10,
INDEX(_xlpm.rango,$BA$4-3,_xlpm.col) +
INDEX(_xlpm.rango,$BA$4-2,_xlpm.col) +
INDEX(_xlpm.rango,$BA$4-1,_xlpm.col) +
INDEX(_xlpm.rango,$BA$4, _xlpm.col)
)</f>
        <v/>
      </c>
      <c r="AE80" s="95">
        <f t="array" ref="AE80">_xlfn.LET(
_xlpm.rango, INDIRECT("E!$C$" &amp; $BA$8 &amp; ":$DR$" &amp; $BA$9),
_xlpm.col, AE$72+$D79*10,
INDEX(_xlpm.rango,$BA$4-3,_xlpm.col) +
INDEX(_xlpm.rango,$BA$4-2,_xlpm.col) +
INDEX(_xlpm.rango,$BA$4-1,_xlpm.col) +
INDEX(_xlpm.rango,$BA$4, _xlpm.col)
)</f>
        <v/>
      </c>
      <c r="AF80" s="95">
        <f t="array" ref="AF80">_xlfn.LET(
_xlpm.rango, INDIRECT("E!$C$" &amp; $BA$8 &amp; ":$DR$" &amp; $BA$9),
_xlpm.col, AF$72+$D79*10,
INDEX(_xlpm.rango,$BA$4-3,_xlpm.col) +
INDEX(_xlpm.rango,$BA$4-2,_xlpm.col) +
INDEX(_xlpm.rango,$BA$4-1,_xlpm.col) +
INDEX(_xlpm.rango,$BA$4, _xlpm.col)
)</f>
        <v/>
      </c>
      <c r="AG80" s="95">
        <f t="array" ref="AG80">_xlfn.LET(
_xlpm.rango, INDIRECT("E!$C$" &amp; $BA$8 &amp; ":$DR$" &amp; $BA$9),
_xlpm.col, AG$72+$D79*10,
INDEX(_xlpm.rango,$BA$4-3,_xlpm.col) +
INDEX(_xlpm.rango,$BA$4-2,_xlpm.col) +
INDEX(_xlpm.rango,$BA$4-1,_xlpm.col) +
INDEX(_xlpm.rango,$BA$4, _xlpm.col)
)</f>
        <v/>
      </c>
      <c r="AH80" s="95">
        <f t="array" ref="AH80">_xlfn.LET(
_xlpm.rango, INDIRECT("E!$C$" &amp; $BA$8 &amp; ":$DR$" &amp; $BA$9),
_xlpm.col, AH$72+$D79*10,
INDEX(_xlpm.rango,$BA$4-3,_xlpm.col) +
INDEX(_xlpm.rango,$BA$4-2,_xlpm.col) +
INDEX(_xlpm.rango,$BA$4-1,_xlpm.col) +
INDEX(_xlpm.rango,$BA$4, _xlpm.col)
)</f>
        <v/>
      </c>
      <c r="AI80" s="96">
        <f t="array" ref="AI80">_xlfn.LET(
_xlpm.rango, INDIRECT("E!$C$" &amp; $BA$8 &amp; ":$DR$" &amp; $BA$9),
_xlpm.col, AI$72+$D79*10,
INDEX(_xlpm.rango,$BA$4-3,_xlpm.col) +
INDEX(_xlpm.rango,$BA$4-2,_xlpm.col) +
INDEX(_xlpm.rango,$BA$4-1,_xlpm.col) +
INDEX(_xlpm.rango,$BA$4, _xlpm.col)
)</f>
        <v/>
      </c>
      <c r="AJ80" s="95">
        <f t="array" ref="AJ80">_xlfn.LET(
_xlpm.rango, INDIRECT("E!$C$" &amp; $BA$8 &amp; ":$DR$" &amp; $BA$9),
_xlpm.col, AJ$72+$D79*10,
INDEX(_xlpm.rango,$BA$4-3,_xlpm.col) +
INDEX(_xlpm.rango,$BA$4-2,_xlpm.col) +
INDEX(_xlpm.rango,$BA$4-1,_xlpm.col) +
INDEX(_xlpm.rango,$BA$4, _xlpm.col)
)</f>
        <v/>
      </c>
      <c r="AK80" s="95">
        <f t="array" ref="AK80">_xlfn.LET(
_xlpm.rango, INDIRECT("E!$C$" &amp; $BA$8 &amp; ":$DR$" &amp; $BA$9),
_xlpm.col, AK$72+$D79*10,
INDEX(_xlpm.rango,$BA$4-3,_xlpm.col) +
INDEX(_xlpm.rango,$BA$4-2,_xlpm.col) +
INDEX(_xlpm.rango,$BA$4-1,_xlpm.col) +
INDEX(_xlpm.rango,$BA$4, _xlpm.col)
)</f>
        <v/>
      </c>
      <c r="AL80" s="95">
        <f t="array" ref="AL80">_xlfn.LET(
_xlpm.rango, INDIRECT("E!$C$" &amp; $BA$8 &amp; ":$DR$" &amp; $BA$9),
_xlpm.col, AL$72+$D79*10,
INDEX(_xlpm.rango,$BA$4-3,_xlpm.col) +
INDEX(_xlpm.rango,$BA$4-2,_xlpm.col) +
INDEX(_xlpm.rango,$BA$4-1,_xlpm.col) +
INDEX(_xlpm.rango,$BA$4, _xlpm.col)
)</f>
        <v/>
      </c>
      <c r="AM80" s="95">
        <f t="array" ref="AM80">_xlfn.LET(
_xlpm.rango, INDIRECT("E!$C$" &amp; $BA$8 &amp; ":$DR$" &amp; $BA$9),
_xlpm.col, AM$72+$D79*10,
INDEX(_xlpm.rango,$BA$4-3,_xlpm.col) +
INDEX(_xlpm.rango,$BA$4-2,_xlpm.col) +
INDEX(_xlpm.rango,$BA$4-1,_xlpm.col) +
INDEX(_xlpm.rango,$BA$4, _xlpm.col)
)</f>
        <v/>
      </c>
      <c r="AN80" s="95">
        <f t="array" ref="AN80">_xlfn.LET(
_xlpm.rango, INDIRECT("E!$C$" &amp; $BA$8 &amp; ":$DR$" &amp; $BA$9),
_xlpm.col, AN$72+$D79*10,
INDEX(_xlpm.rango,$BA$4-3,_xlpm.col) +
INDEX(_xlpm.rango,$BA$4-2,_xlpm.col) +
INDEX(_xlpm.rango,$BA$4-1,_xlpm.col) +
INDEX(_xlpm.rango,$BA$4, _xlpm.col)
)</f>
        <v/>
      </c>
      <c r="AO80" s="95">
        <f t="array" ref="AO80">_xlfn.LET(
_xlpm.rango, INDIRECT("E!$C$" &amp; $BA$8 &amp; ":$DR$" &amp; $BA$9),
_xlpm.col, AO$72+$D79*10,
INDEX(_xlpm.rango,$BA$4-3,_xlpm.col) +
INDEX(_xlpm.rango,$BA$4-2,_xlpm.col) +
INDEX(_xlpm.rango,$BA$4-1,_xlpm.col) +
INDEX(_xlpm.rango,$BA$4, _xlpm.col)
)</f>
        <v/>
      </c>
      <c r="AP80" s="95">
        <f t="array" ref="AP80">_xlfn.LET(
_xlpm.rango, INDIRECT("E!$C$" &amp; $BA$8 &amp; ":$DR$" &amp; $BA$9),
_xlpm.col, AP$72+$D79*10,
INDEX(_xlpm.rango,$BA$4-3,_xlpm.col) +
INDEX(_xlpm.rango,$BA$4-2,_xlpm.col) +
INDEX(_xlpm.rango,$BA$4-1,_xlpm.col) +
INDEX(_xlpm.rango,$BA$4, _xlpm.col)
)</f>
        <v/>
      </c>
      <c r="AQ80" s="95">
        <f t="array" ref="AQ80">_xlfn.LET(
_xlpm.rango, INDIRECT("E!$C$" &amp; $BA$8 &amp; ":$DR$" &amp; $BA$9),
_xlpm.col, AQ$72+$D79*10,
INDEX(_xlpm.rango,$BA$4-3,_xlpm.col) +
INDEX(_xlpm.rango,$BA$4-2,_xlpm.col) +
INDEX(_xlpm.rango,$BA$4-1,_xlpm.col) +
INDEX(_xlpm.rango,$BA$4, _xlpm.col)
)</f>
        <v/>
      </c>
      <c r="AR80" s="95">
        <f t="array" ref="AR80">_xlfn.LET(
_xlpm.rango, INDIRECT("E!$C$" &amp; $BA$8 &amp; ":$DR$" &amp; $BA$9),
_xlpm.col, AR$72+$D79*10,
INDEX(_xlpm.rango,$BA$4-3,_xlpm.col) +
INDEX(_xlpm.rango,$BA$4-2,_xlpm.col) +
INDEX(_xlpm.rango,$BA$4-1,_xlpm.col) +
INDEX(_xlpm.rango,$BA$4, _xlpm.col)
)</f>
        <v/>
      </c>
      <c r="AS80" s="112">
        <f t="array" ref="AS80">_xlfn.LET(
_xlpm.rango, INDIRECT("E!$C$" &amp; $BA$8 &amp; ":$DR$" &amp; $BA$9),
_xlpm.col, AS$72+$D79*10,
INDEX(_xlpm.rango,$BA$4-3,_xlpm.col) +
INDEX(_xlpm.rango,$BA$4-2,_xlpm.col) +
INDEX(_xlpm.rango,$BA$4-1,_xlpm.col) +
INDEX(_xlpm.rango,$BA$4, _xlpm.col)
)</f>
        <v/>
      </c>
      <c r="AT80" s="118">
        <f>SUM(F80:AS80)</f>
        <v/>
      </c>
      <c r="AU80" s="120">
        <f>AT80/$AT$88</f>
        <v/>
      </c>
    </row>
    <row r="81">
      <c r="D81" t="n">
        <v>6</v>
      </c>
      <c r="E81" s="106">
        <f>Inicio!V9</f>
        <v/>
      </c>
      <c r="F81" s="100">
        <f t="array" ref="F81">_xlfn.LET(
_xlpm.rango, INDIRECT("N!$C$" &amp; $BA$8 &amp; ":$DR$" &amp; $BA$9),
_xlpm.col, F$72+$D80*10,
INDEX(_xlpm.rango,$BA$4-3,_xlpm.col) +
INDEX(_xlpm.rango,$BA$4-2,_xlpm.col) +
INDEX(_xlpm.rango,$BA$4-1,_xlpm.col) +
INDEX(_xlpm.rango,$BA$4, _xlpm.col)
)</f>
        <v/>
      </c>
      <c r="G81" s="95">
        <f t="array" ref="G81">_xlfn.LET(
_xlpm.rango, INDIRECT("N!$C$" &amp; $BA$8 &amp; ":$DR$" &amp; $BA$9),
_xlpm.col, G$72+$D80*10,
INDEX(_xlpm.rango,$BA$4-3,_xlpm.col) +
INDEX(_xlpm.rango,$BA$4-2,_xlpm.col) +
INDEX(_xlpm.rango,$BA$4-1,_xlpm.col) +
INDEX(_xlpm.rango,$BA$4, _xlpm.col)
)</f>
        <v/>
      </c>
      <c r="H81" s="95">
        <f t="array" ref="H81">_xlfn.LET(
_xlpm.rango, INDIRECT("N!$C$" &amp; $BA$8 &amp; ":$DR$" &amp; $BA$9),
_xlpm.col, H$72+$D80*10,
INDEX(_xlpm.rango,$BA$4-3,_xlpm.col) +
INDEX(_xlpm.rango,$BA$4-2,_xlpm.col) +
INDEX(_xlpm.rango,$BA$4-1,_xlpm.col) +
INDEX(_xlpm.rango,$BA$4, _xlpm.col)
)</f>
        <v/>
      </c>
      <c r="I81" s="95">
        <f t="array" ref="I81">_xlfn.LET(
_xlpm.rango, INDIRECT("N!$C$" &amp; $BA$8 &amp; ":$DR$" &amp; $BA$9),
_xlpm.col, I$72+$D80*10,
INDEX(_xlpm.rango,$BA$4-3,_xlpm.col) +
INDEX(_xlpm.rango,$BA$4-2,_xlpm.col) +
INDEX(_xlpm.rango,$BA$4-1,_xlpm.col) +
INDEX(_xlpm.rango,$BA$4, _xlpm.col)
)</f>
        <v/>
      </c>
      <c r="J81" s="95">
        <f t="array" ref="J81">_xlfn.LET(
_xlpm.rango, INDIRECT("N!$C$" &amp; $BA$8 &amp; ":$DR$" &amp; $BA$9),
_xlpm.col, J$72+$D80*10,
INDEX(_xlpm.rango,$BA$4-3,_xlpm.col) +
INDEX(_xlpm.rango,$BA$4-2,_xlpm.col) +
INDEX(_xlpm.rango,$BA$4-1,_xlpm.col) +
INDEX(_xlpm.rango,$BA$4, _xlpm.col)
)</f>
        <v/>
      </c>
      <c r="K81" s="95">
        <f t="array" ref="K81">_xlfn.LET(
_xlpm.rango, INDIRECT("N!$C$" &amp; $BA$8 &amp; ":$DR$" &amp; $BA$9),
_xlpm.col, K$72+$D80*10,
INDEX(_xlpm.rango,$BA$4-3,_xlpm.col) +
INDEX(_xlpm.rango,$BA$4-2,_xlpm.col) +
INDEX(_xlpm.rango,$BA$4-1,_xlpm.col) +
INDEX(_xlpm.rango,$BA$4, _xlpm.col)
)</f>
        <v/>
      </c>
      <c r="L81" s="95">
        <f t="array" ref="L81">_xlfn.LET(
_xlpm.rango, INDIRECT("N!$C$" &amp; $BA$8 &amp; ":$DR$" &amp; $BA$9),
_xlpm.col, L$72+$D80*10,
INDEX(_xlpm.rango,$BA$4-3,_xlpm.col) +
INDEX(_xlpm.rango,$BA$4-2,_xlpm.col) +
INDEX(_xlpm.rango,$BA$4-1,_xlpm.col) +
INDEX(_xlpm.rango,$BA$4, _xlpm.col)
)</f>
        <v/>
      </c>
      <c r="M81" s="95">
        <f t="array" ref="M81">_xlfn.LET(
_xlpm.rango, INDIRECT("N!$C$" &amp; $BA$8 &amp; ":$DR$" &amp; $BA$9),
_xlpm.col, M$72+$D80*10,
INDEX(_xlpm.rango,$BA$4-3,_xlpm.col) +
INDEX(_xlpm.rango,$BA$4-2,_xlpm.col) +
INDEX(_xlpm.rango,$BA$4-1,_xlpm.col) +
INDEX(_xlpm.rango,$BA$4, _xlpm.col)
)</f>
        <v/>
      </c>
      <c r="N81" s="95">
        <f t="array" ref="N81">_xlfn.LET(
_xlpm.rango, INDIRECT("N!$C$" &amp; $BA$8 &amp; ":$DR$" &amp; $BA$9),
_xlpm.col, N$72+$D80*10,
INDEX(_xlpm.rango,$BA$4-3,_xlpm.col) +
INDEX(_xlpm.rango,$BA$4-2,_xlpm.col) +
INDEX(_xlpm.rango,$BA$4-1,_xlpm.col) +
INDEX(_xlpm.rango,$BA$4, _xlpm.col)
)</f>
        <v/>
      </c>
      <c r="O81" s="96">
        <f t="array" ref="O81">_xlfn.LET(
_xlpm.rango, INDIRECT("N!$C$" &amp; $BA$8 &amp; ":$DR$" &amp; $BA$9),
_xlpm.col, O$72+$D80*10,
INDEX(_xlpm.rango,$BA$4-3,_xlpm.col) +
INDEX(_xlpm.rango,$BA$4-2,_xlpm.col) +
INDEX(_xlpm.rango,$BA$4-1,_xlpm.col) +
INDEX(_xlpm.rango,$BA$4, _xlpm.col)
)</f>
        <v/>
      </c>
      <c r="P81" s="95">
        <f t="array" ref="P81">_xlfn.LET(
_xlpm.rango, INDIRECT("S!$C$" &amp; $BA$8 &amp; ":$DR$" &amp; $BA$9),
_xlpm.col, P$72+$D80*10,
INDEX(_xlpm.rango,$BA$4-3,_xlpm.col) +
INDEX(_xlpm.rango,$BA$4-2,_xlpm.col) +
INDEX(_xlpm.rango,$BA$4-1,_xlpm.col) +
INDEX(_xlpm.rango,$BA$4, _xlpm.col)
)</f>
        <v/>
      </c>
      <c r="Q81" s="95">
        <f t="array" ref="Q81">_xlfn.LET(
_xlpm.rango, INDIRECT("S!$C$" &amp; $BA$8 &amp; ":$DR$" &amp; $BA$9),
_xlpm.col, Q$72+$D80*10,
INDEX(_xlpm.rango,$BA$4-3,_xlpm.col) +
INDEX(_xlpm.rango,$BA$4-2,_xlpm.col) +
INDEX(_xlpm.rango,$BA$4-1,_xlpm.col) +
INDEX(_xlpm.rango,$BA$4, _xlpm.col)
)</f>
        <v/>
      </c>
      <c r="R81" s="95">
        <f t="array" ref="R81">_xlfn.LET(
_xlpm.rango, INDIRECT("S!$C$" &amp; $BA$8 &amp; ":$DR$" &amp; $BA$9),
_xlpm.col, R$72+$D80*10,
INDEX(_xlpm.rango,$BA$4-3,_xlpm.col) +
INDEX(_xlpm.rango,$BA$4-2,_xlpm.col) +
INDEX(_xlpm.rango,$BA$4-1,_xlpm.col) +
INDEX(_xlpm.rango,$BA$4, _xlpm.col)
)</f>
        <v/>
      </c>
      <c r="S81" s="95">
        <f t="array" ref="S81">_xlfn.LET(
_xlpm.rango, INDIRECT("S!$C$" &amp; $BA$8 &amp; ":$DR$" &amp; $BA$9),
_xlpm.col, S$72+$D80*10,
INDEX(_xlpm.rango,$BA$4-3,_xlpm.col) +
INDEX(_xlpm.rango,$BA$4-2,_xlpm.col) +
INDEX(_xlpm.rango,$BA$4-1,_xlpm.col) +
INDEX(_xlpm.rango,$BA$4, _xlpm.col)
)</f>
        <v/>
      </c>
      <c r="T81" s="95">
        <f t="array" ref="T81">_xlfn.LET(
_xlpm.rango, INDIRECT("S!$C$" &amp; $BA$8 &amp; ":$DR$" &amp; $BA$9),
_xlpm.col, T$72+$D80*10,
INDEX(_xlpm.rango,$BA$4-3,_xlpm.col) +
INDEX(_xlpm.rango,$BA$4-2,_xlpm.col) +
INDEX(_xlpm.rango,$BA$4-1,_xlpm.col) +
INDEX(_xlpm.rango,$BA$4, _xlpm.col)
)</f>
        <v/>
      </c>
      <c r="U81" s="95">
        <f t="array" ref="U81">_xlfn.LET(
_xlpm.rango, INDIRECT("S!$C$" &amp; $BA$8 &amp; ":$DR$" &amp; $BA$9),
_xlpm.col, U$72+$D80*10,
INDEX(_xlpm.rango,$BA$4-3,_xlpm.col) +
INDEX(_xlpm.rango,$BA$4-2,_xlpm.col) +
INDEX(_xlpm.rango,$BA$4-1,_xlpm.col) +
INDEX(_xlpm.rango,$BA$4, _xlpm.col)
)</f>
        <v/>
      </c>
      <c r="V81" s="95">
        <f t="array" ref="V81">_xlfn.LET(
_xlpm.rango, INDIRECT("S!$C$" &amp; $BA$8 &amp; ":$DR$" &amp; $BA$9),
_xlpm.col, V$72+$D80*10,
INDEX(_xlpm.rango,$BA$4-3,_xlpm.col) +
INDEX(_xlpm.rango,$BA$4-2,_xlpm.col) +
INDEX(_xlpm.rango,$BA$4-1,_xlpm.col) +
INDEX(_xlpm.rango,$BA$4, _xlpm.col)
)</f>
        <v/>
      </c>
      <c r="W81" s="95">
        <f t="array" ref="W81">_xlfn.LET(
_xlpm.rango, INDIRECT("S!$C$" &amp; $BA$8 &amp; ":$DR$" &amp; $BA$9),
_xlpm.col, W$72+$D80*10,
INDEX(_xlpm.rango,$BA$4-3,_xlpm.col) +
INDEX(_xlpm.rango,$BA$4-2,_xlpm.col) +
INDEX(_xlpm.rango,$BA$4-1,_xlpm.col) +
INDEX(_xlpm.rango,$BA$4, _xlpm.col)
)</f>
        <v/>
      </c>
      <c r="X81" s="95">
        <f t="array" ref="X81">_xlfn.LET(
_xlpm.rango, INDIRECT("S!$C$" &amp; $BA$8 &amp; ":$DR$" &amp; $BA$9),
_xlpm.col, X$72+$D80*10,
INDEX(_xlpm.rango,$BA$4-3,_xlpm.col) +
INDEX(_xlpm.rango,$BA$4-2,_xlpm.col) +
INDEX(_xlpm.rango,$BA$4-1,_xlpm.col) +
INDEX(_xlpm.rango,$BA$4, _xlpm.col)
)</f>
        <v/>
      </c>
      <c r="Y81" s="95">
        <f t="array" ref="Y81">_xlfn.LET(
_xlpm.rango, INDIRECT("S!$C$" &amp; $BA$8 &amp; ":$DR$" &amp; $BA$9),
_xlpm.col, Y$72+$D80*10,
INDEX(_xlpm.rango,$BA$4-3,_xlpm.col) +
INDEX(_xlpm.rango,$BA$4-2,_xlpm.col) +
INDEX(_xlpm.rango,$BA$4-1,_xlpm.col) +
INDEX(_xlpm.rango,$BA$4, _xlpm.col)
)</f>
        <v/>
      </c>
      <c r="Z81" s="100">
        <f t="array" ref="Z81">_xlfn.LET(
_xlpm.rango, INDIRECT("E!$C$" &amp; $BA$8 &amp; ":$DR$" &amp; $BA$9),
_xlpm.col, Z$72+$D80*10,
INDEX(_xlpm.rango,$BA$4-3,_xlpm.col) +
INDEX(_xlpm.rango,$BA$4-2,_xlpm.col) +
INDEX(_xlpm.rango,$BA$4-1,_xlpm.col) +
INDEX(_xlpm.rango,$BA$4, _xlpm.col)
)</f>
        <v/>
      </c>
      <c r="AA81" s="95">
        <f t="array" ref="AA81">_xlfn.LET(
_xlpm.rango, INDIRECT("E!$C$" &amp; $BA$8 &amp; ":$DR$" &amp; $BA$9),
_xlpm.col, AA$72+$D80*10,
INDEX(_xlpm.rango,$BA$4-3,_xlpm.col) +
INDEX(_xlpm.rango,$BA$4-2,_xlpm.col) +
INDEX(_xlpm.rango,$BA$4-1,_xlpm.col) +
INDEX(_xlpm.rango,$BA$4, _xlpm.col)
)</f>
        <v/>
      </c>
      <c r="AB81" s="95">
        <f t="array" ref="AB81">_xlfn.LET(
_xlpm.rango, INDIRECT("E!$C$" &amp; $BA$8 &amp; ":$DR$" &amp; $BA$9),
_xlpm.col, AB$72+$D80*10,
INDEX(_xlpm.rango,$BA$4-3,_xlpm.col) +
INDEX(_xlpm.rango,$BA$4-2,_xlpm.col) +
INDEX(_xlpm.rango,$BA$4-1,_xlpm.col) +
INDEX(_xlpm.rango,$BA$4, _xlpm.col)
)</f>
        <v/>
      </c>
      <c r="AC81" s="95">
        <f t="array" ref="AC81">_xlfn.LET(
_xlpm.rango, INDIRECT("E!$C$" &amp; $BA$8 &amp; ":$DR$" &amp; $BA$9),
_xlpm.col, AC$72+$D80*10,
INDEX(_xlpm.rango,$BA$4-3,_xlpm.col) +
INDEX(_xlpm.rango,$BA$4-2,_xlpm.col) +
INDEX(_xlpm.rango,$BA$4-1,_xlpm.col) +
INDEX(_xlpm.rango,$BA$4, _xlpm.col)
)</f>
        <v/>
      </c>
      <c r="AD81" s="95">
        <f t="array" ref="AD81">_xlfn.LET(
_xlpm.rango, INDIRECT("E!$C$" &amp; $BA$8 &amp; ":$DR$" &amp; $BA$9),
_xlpm.col, AD$72+$D80*10,
INDEX(_xlpm.rango,$BA$4-3,_xlpm.col) +
INDEX(_xlpm.rango,$BA$4-2,_xlpm.col) +
INDEX(_xlpm.rango,$BA$4-1,_xlpm.col) +
INDEX(_xlpm.rango,$BA$4, _xlpm.col)
)</f>
        <v/>
      </c>
      <c r="AE81" s="95">
        <f t="array" ref="AE81">_xlfn.LET(
_xlpm.rango, INDIRECT("E!$C$" &amp; $BA$8 &amp; ":$DR$" &amp; $BA$9),
_xlpm.col, AE$72+$D80*10,
INDEX(_xlpm.rango,$BA$4-3,_xlpm.col) +
INDEX(_xlpm.rango,$BA$4-2,_xlpm.col) +
INDEX(_xlpm.rango,$BA$4-1,_xlpm.col) +
INDEX(_xlpm.rango,$BA$4, _xlpm.col)
)</f>
        <v/>
      </c>
      <c r="AF81" s="95">
        <f t="array" ref="AF81">_xlfn.LET(
_xlpm.rango, INDIRECT("E!$C$" &amp; $BA$8 &amp; ":$DR$" &amp; $BA$9),
_xlpm.col, AF$72+$D80*10,
INDEX(_xlpm.rango,$BA$4-3,_xlpm.col) +
INDEX(_xlpm.rango,$BA$4-2,_xlpm.col) +
INDEX(_xlpm.rango,$BA$4-1,_xlpm.col) +
INDEX(_xlpm.rango,$BA$4, _xlpm.col)
)</f>
        <v/>
      </c>
      <c r="AG81" s="95">
        <f t="array" ref="AG81">_xlfn.LET(
_xlpm.rango, INDIRECT("E!$C$" &amp; $BA$8 &amp; ":$DR$" &amp; $BA$9),
_xlpm.col, AG$72+$D80*10,
INDEX(_xlpm.rango,$BA$4-3,_xlpm.col) +
INDEX(_xlpm.rango,$BA$4-2,_xlpm.col) +
INDEX(_xlpm.rango,$BA$4-1,_xlpm.col) +
INDEX(_xlpm.rango,$BA$4, _xlpm.col)
)</f>
        <v/>
      </c>
      <c r="AH81" s="95">
        <f t="array" ref="AH81">_xlfn.LET(
_xlpm.rango, INDIRECT("E!$C$" &amp; $BA$8 &amp; ":$DR$" &amp; $BA$9),
_xlpm.col, AH$72+$D80*10,
INDEX(_xlpm.rango,$BA$4-3,_xlpm.col) +
INDEX(_xlpm.rango,$BA$4-2,_xlpm.col) +
INDEX(_xlpm.rango,$BA$4-1,_xlpm.col) +
INDEX(_xlpm.rango,$BA$4, _xlpm.col)
)</f>
        <v/>
      </c>
      <c r="AI81" s="96">
        <f t="array" ref="AI81">_xlfn.LET(
_xlpm.rango, INDIRECT("E!$C$" &amp; $BA$8 &amp; ":$DR$" &amp; $BA$9),
_xlpm.col, AI$72+$D80*10,
INDEX(_xlpm.rango,$BA$4-3,_xlpm.col) +
INDEX(_xlpm.rango,$BA$4-2,_xlpm.col) +
INDEX(_xlpm.rango,$BA$4-1,_xlpm.col) +
INDEX(_xlpm.rango,$BA$4, _xlpm.col)
)</f>
        <v/>
      </c>
      <c r="AJ81" s="95">
        <f t="array" ref="AJ81">_xlfn.LET(
_xlpm.rango, INDIRECT("E!$C$" &amp; $BA$8 &amp; ":$DR$" &amp; $BA$9),
_xlpm.col, AJ$72+$D80*10,
INDEX(_xlpm.rango,$BA$4-3,_xlpm.col) +
INDEX(_xlpm.rango,$BA$4-2,_xlpm.col) +
INDEX(_xlpm.rango,$BA$4-1,_xlpm.col) +
INDEX(_xlpm.rango,$BA$4, _xlpm.col)
)</f>
        <v/>
      </c>
      <c r="AK81" s="95">
        <f t="array" ref="AK81">_xlfn.LET(
_xlpm.rango, INDIRECT("E!$C$" &amp; $BA$8 &amp; ":$DR$" &amp; $BA$9),
_xlpm.col, AK$72+$D80*10,
INDEX(_xlpm.rango,$BA$4-3,_xlpm.col) +
INDEX(_xlpm.rango,$BA$4-2,_xlpm.col) +
INDEX(_xlpm.rango,$BA$4-1,_xlpm.col) +
INDEX(_xlpm.rango,$BA$4, _xlpm.col)
)</f>
        <v/>
      </c>
      <c r="AL81" s="95">
        <f t="array" ref="AL81">_xlfn.LET(
_xlpm.rango, INDIRECT("E!$C$" &amp; $BA$8 &amp; ":$DR$" &amp; $BA$9),
_xlpm.col, AL$72+$D80*10,
INDEX(_xlpm.rango,$BA$4-3,_xlpm.col) +
INDEX(_xlpm.rango,$BA$4-2,_xlpm.col) +
INDEX(_xlpm.rango,$BA$4-1,_xlpm.col) +
INDEX(_xlpm.rango,$BA$4, _xlpm.col)
)</f>
        <v/>
      </c>
      <c r="AM81" s="95">
        <f t="array" ref="AM81">_xlfn.LET(
_xlpm.rango, INDIRECT("E!$C$" &amp; $BA$8 &amp; ":$DR$" &amp; $BA$9),
_xlpm.col, AM$72+$D80*10,
INDEX(_xlpm.rango,$BA$4-3,_xlpm.col) +
INDEX(_xlpm.rango,$BA$4-2,_xlpm.col) +
INDEX(_xlpm.rango,$BA$4-1,_xlpm.col) +
INDEX(_xlpm.rango,$BA$4, _xlpm.col)
)</f>
        <v/>
      </c>
      <c r="AN81" s="95">
        <f t="array" ref="AN81">_xlfn.LET(
_xlpm.rango, INDIRECT("E!$C$" &amp; $BA$8 &amp; ":$DR$" &amp; $BA$9),
_xlpm.col, AN$72+$D80*10,
INDEX(_xlpm.rango,$BA$4-3,_xlpm.col) +
INDEX(_xlpm.rango,$BA$4-2,_xlpm.col) +
INDEX(_xlpm.rango,$BA$4-1,_xlpm.col) +
INDEX(_xlpm.rango,$BA$4, _xlpm.col)
)</f>
        <v/>
      </c>
      <c r="AO81" s="95">
        <f t="array" ref="AO81">_xlfn.LET(
_xlpm.rango, INDIRECT("E!$C$" &amp; $BA$8 &amp; ":$DR$" &amp; $BA$9),
_xlpm.col, AO$72+$D80*10,
INDEX(_xlpm.rango,$BA$4-3,_xlpm.col) +
INDEX(_xlpm.rango,$BA$4-2,_xlpm.col) +
INDEX(_xlpm.rango,$BA$4-1,_xlpm.col) +
INDEX(_xlpm.rango,$BA$4, _xlpm.col)
)</f>
        <v/>
      </c>
      <c r="AP81" s="95">
        <f t="array" ref="AP81">_xlfn.LET(
_xlpm.rango, INDIRECT("E!$C$" &amp; $BA$8 &amp; ":$DR$" &amp; $BA$9),
_xlpm.col, AP$72+$D80*10,
INDEX(_xlpm.rango,$BA$4-3,_xlpm.col) +
INDEX(_xlpm.rango,$BA$4-2,_xlpm.col) +
INDEX(_xlpm.rango,$BA$4-1,_xlpm.col) +
INDEX(_xlpm.rango,$BA$4, _xlpm.col)
)</f>
        <v/>
      </c>
      <c r="AQ81" s="95">
        <f t="array" ref="AQ81">_xlfn.LET(
_xlpm.rango, INDIRECT("E!$C$" &amp; $BA$8 &amp; ":$DR$" &amp; $BA$9),
_xlpm.col, AQ$72+$D80*10,
INDEX(_xlpm.rango,$BA$4-3,_xlpm.col) +
INDEX(_xlpm.rango,$BA$4-2,_xlpm.col) +
INDEX(_xlpm.rango,$BA$4-1,_xlpm.col) +
INDEX(_xlpm.rango,$BA$4, _xlpm.col)
)</f>
        <v/>
      </c>
      <c r="AR81" s="95">
        <f t="array" ref="AR81">_xlfn.LET(
_xlpm.rango, INDIRECT("E!$C$" &amp; $BA$8 &amp; ":$DR$" &amp; $BA$9),
_xlpm.col, AR$72+$D80*10,
INDEX(_xlpm.rango,$BA$4-3,_xlpm.col) +
INDEX(_xlpm.rango,$BA$4-2,_xlpm.col) +
INDEX(_xlpm.rango,$BA$4-1,_xlpm.col) +
INDEX(_xlpm.rango,$BA$4, _xlpm.col)
)</f>
        <v/>
      </c>
      <c r="AS81" s="112">
        <f t="array" ref="AS81">_xlfn.LET(
_xlpm.rango, INDIRECT("E!$C$" &amp; $BA$8 &amp; ":$DR$" &amp; $BA$9),
_xlpm.col, AS$72+$D80*10,
INDEX(_xlpm.rango,$BA$4-3,_xlpm.col) +
INDEX(_xlpm.rango,$BA$4-2,_xlpm.col) +
INDEX(_xlpm.rango,$BA$4-1,_xlpm.col) +
INDEX(_xlpm.rango,$BA$4, _xlpm.col)
)</f>
        <v/>
      </c>
      <c r="AT81" s="118">
        <f>SUM(F81:AS81)</f>
        <v/>
      </c>
      <c r="AU81" s="120">
        <f>AT81/$AT$88</f>
        <v/>
      </c>
    </row>
    <row r="82">
      <c r="D82" t="n">
        <v>7</v>
      </c>
      <c r="E82" s="106">
        <f>Inicio!V10</f>
        <v/>
      </c>
      <c r="F82" s="100">
        <f t="array" ref="F82">_xlfn.LET(
_xlpm.rango, INDIRECT("N!$C$" &amp; $BA$8 &amp; ":$DR$" &amp; $BA$9),
_xlpm.col, F$72+$D81*10,
INDEX(_xlpm.rango,$BA$4-3,_xlpm.col) +
INDEX(_xlpm.rango,$BA$4-2,_xlpm.col) +
INDEX(_xlpm.rango,$BA$4-1,_xlpm.col) +
INDEX(_xlpm.rango,$BA$4, _xlpm.col)
)</f>
        <v/>
      </c>
      <c r="G82" s="95">
        <f t="array" ref="G82">_xlfn.LET(
_xlpm.rango, INDIRECT("N!$C$" &amp; $BA$8 &amp; ":$DR$" &amp; $BA$9),
_xlpm.col, G$72+$D81*10,
INDEX(_xlpm.rango,$BA$4-3,_xlpm.col) +
INDEX(_xlpm.rango,$BA$4-2,_xlpm.col) +
INDEX(_xlpm.rango,$BA$4-1,_xlpm.col) +
INDEX(_xlpm.rango,$BA$4, _xlpm.col)
)</f>
        <v/>
      </c>
      <c r="H82" s="95">
        <f t="array" ref="H82">_xlfn.LET(
_xlpm.rango, INDIRECT("N!$C$" &amp; $BA$8 &amp; ":$DR$" &amp; $BA$9),
_xlpm.col, H$72+$D81*10,
INDEX(_xlpm.rango,$BA$4-3,_xlpm.col) +
INDEX(_xlpm.rango,$BA$4-2,_xlpm.col) +
INDEX(_xlpm.rango,$BA$4-1,_xlpm.col) +
INDEX(_xlpm.rango,$BA$4, _xlpm.col)
)</f>
        <v/>
      </c>
      <c r="I82" s="95">
        <f t="array" ref="I82">_xlfn.LET(
_xlpm.rango, INDIRECT("N!$C$" &amp; $BA$8 &amp; ":$DR$" &amp; $BA$9),
_xlpm.col, I$72+$D81*10,
INDEX(_xlpm.rango,$BA$4-3,_xlpm.col) +
INDEX(_xlpm.rango,$BA$4-2,_xlpm.col) +
INDEX(_xlpm.rango,$BA$4-1,_xlpm.col) +
INDEX(_xlpm.rango,$BA$4, _xlpm.col)
)</f>
        <v/>
      </c>
      <c r="J82" s="95">
        <f t="array" ref="J82">_xlfn.LET(
_xlpm.rango, INDIRECT("N!$C$" &amp; $BA$8 &amp; ":$DR$" &amp; $BA$9),
_xlpm.col, J$72+$D81*10,
INDEX(_xlpm.rango,$BA$4-3,_xlpm.col) +
INDEX(_xlpm.rango,$BA$4-2,_xlpm.col) +
INDEX(_xlpm.rango,$BA$4-1,_xlpm.col) +
INDEX(_xlpm.rango,$BA$4, _xlpm.col)
)</f>
        <v/>
      </c>
      <c r="K82" s="95">
        <f t="array" ref="K82">_xlfn.LET(
_xlpm.rango, INDIRECT("N!$C$" &amp; $BA$8 &amp; ":$DR$" &amp; $BA$9),
_xlpm.col, K$72+$D81*10,
INDEX(_xlpm.rango,$BA$4-3,_xlpm.col) +
INDEX(_xlpm.rango,$BA$4-2,_xlpm.col) +
INDEX(_xlpm.rango,$BA$4-1,_xlpm.col) +
INDEX(_xlpm.rango,$BA$4, _xlpm.col)
)</f>
        <v/>
      </c>
      <c r="L82" s="95">
        <f t="array" ref="L82">_xlfn.LET(
_xlpm.rango, INDIRECT("N!$C$" &amp; $BA$8 &amp; ":$DR$" &amp; $BA$9),
_xlpm.col, L$72+$D81*10,
INDEX(_xlpm.rango,$BA$4-3,_xlpm.col) +
INDEX(_xlpm.rango,$BA$4-2,_xlpm.col) +
INDEX(_xlpm.rango,$BA$4-1,_xlpm.col) +
INDEX(_xlpm.rango,$BA$4, _xlpm.col)
)</f>
        <v/>
      </c>
      <c r="M82" s="95">
        <f t="array" ref="M82">_xlfn.LET(
_xlpm.rango, INDIRECT("N!$C$" &amp; $BA$8 &amp; ":$DR$" &amp; $BA$9),
_xlpm.col, M$72+$D81*10,
INDEX(_xlpm.rango,$BA$4-3,_xlpm.col) +
INDEX(_xlpm.rango,$BA$4-2,_xlpm.col) +
INDEX(_xlpm.rango,$BA$4-1,_xlpm.col) +
INDEX(_xlpm.rango,$BA$4, _xlpm.col)
)</f>
        <v/>
      </c>
      <c r="N82" s="95">
        <f t="array" ref="N82">_xlfn.LET(
_xlpm.rango, INDIRECT("N!$C$" &amp; $BA$8 &amp; ":$DR$" &amp; $BA$9),
_xlpm.col, N$72+$D81*10,
INDEX(_xlpm.rango,$BA$4-3,_xlpm.col) +
INDEX(_xlpm.rango,$BA$4-2,_xlpm.col) +
INDEX(_xlpm.rango,$BA$4-1,_xlpm.col) +
INDEX(_xlpm.rango,$BA$4, _xlpm.col)
)</f>
        <v/>
      </c>
      <c r="O82" s="96">
        <f t="array" ref="O82">_xlfn.LET(
_xlpm.rango, INDIRECT("N!$C$" &amp; $BA$8 &amp; ":$DR$" &amp; $BA$9),
_xlpm.col, O$72+$D81*10,
INDEX(_xlpm.rango,$BA$4-3,_xlpm.col) +
INDEX(_xlpm.rango,$BA$4-2,_xlpm.col) +
INDEX(_xlpm.rango,$BA$4-1,_xlpm.col) +
INDEX(_xlpm.rango,$BA$4, _xlpm.col)
)</f>
        <v/>
      </c>
      <c r="P82" s="95">
        <f t="array" ref="P82">_xlfn.LET(
_xlpm.rango, INDIRECT("S!$C$" &amp; $BA$8 &amp; ":$DR$" &amp; $BA$9),
_xlpm.col, P$72+$D81*10,
INDEX(_xlpm.rango,$BA$4-3,_xlpm.col) +
INDEX(_xlpm.rango,$BA$4-2,_xlpm.col) +
INDEX(_xlpm.rango,$BA$4-1,_xlpm.col) +
INDEX(_xlpm.rango,$BA$4, _xlpm.col)
)</f>
        <v/>
      </c>
      <c r="Q82" s="95">
        <f t="array" ref="Q82">_xlfn.LET(
_xlpm.rango, INDIRECT("S!$C$" &amp; $BA$8 &amp; ":$DR$" &amp; $BA$9),
_xlpm.col, Q$72+$D81*10,
INDEX(_xlpm.rango,$BA$4-3,_xlpm.col) +
INDEX(_xlpm.rango,$BA$4-2,_xlpm.col) +
INDEX(_xlpm.rango,$BA$4-1,_xlpm.col) +
INDEX(_xlpm.rango,$BA$4, _xlpm.col)
)</f>
        <v/>
      </c>
      <c r="R82" s="95">
        <f t="array" ref="R82">_xlfn.LET(
_xlpm.rango, INDIRECT("S!$C$" &amp; $BA$8 &amp; ":$DR$" &amp; $BA$9),
_xlpm.col, R$72+$D81*10,
INDEX(_xlpm.rango,$BA$4-3,_xlpm.col) +
INDEX(_xlpm.rango,$BA$4-2,_xlpm.col) +
INDEX(_xlpm.rango,$BA$4-1,_xlpm.col) +
INDEX(_xlpm.rango,$BA$4, _xlpm.col)
)</f>
        <v/>
      </c>
      <c r="S82" s="95">
        <f t="array" ref="S82">_xlfn.LET(
_xlpm.rango, INDIRECT("S!$C$" &amp; $BA$8 &amp; ":$DR$" &amp; $BA$9),
_xlpm.col, S$72+$D81*10,
INDEX(_xlpm.rango,$BA$4-3,_xlpm.col) +
INDEX(_xlpm.rango,$BA$4-2,_xlpm.col) +
INDEX(_xlpm.rango,$BA$4-1,_xlpm.col) +
INDEX(_xlpm.rango,$BA$4, _xlpm.col)
)</f>
        <v/>
      </c>
      <c r="T82" s="95">
        <f t="array" ref="T82">_xlfn.LET(
_xlpm.rango, INDIRECT("S!$C$" &amp; $BA$8 &amp; ":$DR$" &amp; $BA$9),
_xlpm.col, T$72+$D81*10,
INDEX(_xlpm.rango,$BA$4-3,_xlpm.col) +
INDEX(_xlpm.rango,$BA$4-2,_xlpm.col) +
INDEX(_xlpm.rango,$BA$4-1,_xlpm.col) +
INDEX(_xlpm.rango,$BA$4, _xlpm.col)
)</f>
        <v/>
      </c>
      <c r="U82" s="95">
        <f t="array" ref="U82">_xlfn.LET(
_xlpm.rango, INDIRECT("S!$C$" &amp; $BA$8 &amp; ":$DR$" &amp; $BA$9),
_xlpm.col, U$72+$D81*10,
INDEX(_xlpm.rango,$BA$4-3,_xlpm.col) +
INDEX(_xlpm.rango,$BA$4-2,_xlpm.col) +
INDEX(_xlpm.rango,$BA$4-1,_xlpm.col) +
INDEX(_xlpm.rango,$BA$4, _xlpm.col)
)</f>
        <v/>
      </c>
      <c r="V82" s="95">
        <f t="array" ref="V82">_xlfn.LET(
_xlpm.rango, INDIRECT("S!$C$" &amp; $BA$8 &amp; ":$DR$" &amp; $BA$9),
_xlpm.col, V$72+$D81*10,
INDEX(_xlpm.rango,$BA$4-3,_xlpm.col) +
INDEX(_xlpm.rango,$BA$4-2,_xlpm.col) +
INDEX(_xlpm.rango,$BA$4-1,_xlpm.col) +
INDEX(_xlpm.rango,$BA$4, _xlpm.col)
)</f>
        <v/>
      </c>
      <c r="W82" s="95">
        <f t="array" ref="W82">_xlfn.LET(
_xlpm.rango, INDIRECT("S!$C$" &amp; $BA$8 &amp; ":$DR$" &amp; $BA$9),
_xlpm.col, W$72+$D81*10,
INDEX(_xlpm.rango,$BA$4-3,_xlpm.col) +
INDEX(_xlpm.rango,$BA$4-2,_xlpm.col) +
INDEX(_xlpm.rango,$BA$4-1,_xlpm.col) +
INDEX(_xlpm.rango,$BA$4, _xlpm.col)
)</f>
        <v/>
      </c>
      <c r="X82" s="95">
        <f t="array" ref="X82">_xlfn.LET(
_xlpm.rango, INDIRECT("S!$C$" &amp; $BA$8 &amp; ":$DR$" &amp; $BA$9),
_xlpm.col, X$72+$D81*10,
INDEX(_xlpm.rango,$BA$4-3,_xlpm.col) +
INDEX(_xlpm.rango,$BA$4-2,_xlpm.col) +
INDEX(_xlpm.rango,$BA$4-1,_xlpm.col) +
INDEX(_xlpm.rango,$BA$4, _xlpm.col)
)</f>
        <v/>
      </c>
      <c r="Y82" s="95">
        <f t="array" ref="Y82">_xlfn.LET(
_xlpm.rango, INDIRECT("S!$C$" &amp; $BA$8 &amp; ":$DR$" &amp; $BA$9),
_xlpm.col, Y$72+$D81*10,
INDEX(_xlpm.rango,$BA$4-3,_xlpm.col) +
INDEX(_xlpm.rango,$BA$4-2,_xlpm.col) +
INDEX(_xlpm.rango,$BA$4-1,_xlpm.col) +
INDEX(_xlpm.rango,$BA$4, _xlpm.col)
)</f>
        <v/>
      </c>
      <c r="Z82" s="100">
        <f t="array" ref="Z82">_xlfn.LET(
_xlpm.rango, INDIRECT("E!$C$" &amp; $BA$8 &amp; ":$DR$" &amp; $BA$9),
_xlpm.col, Z$72+$D81*10,
INDEX(_xlpm.rango,$BA$4-3,_xlpm.col) +
INDEX(_xlpm.rango,$BA$4-2,_xlpm.col) +
INDEX(_xlpm.rango,$BA$4-1,_xlpm.col) +
INDEX(_xlpm.rango,$BA$4, _xlpm.col)
)</f>
        <v/>
      </c>
      <c r="AA82" s="95">
        <f t="array" ref="AA82">_xlfn.LET(
_xlpm.rango, INDIRECT("E!$C$" &amp; $BA$8 &amp; ":$DR$" &amp; $BA$9),
_xlpm.col, AA$72+$D81*10,
INDEX(_xlpm.rango,$BA$4-3,_xlpm.col) +
INDEX(_xlpm.rango,$BA$4-2,_xlpm.col) +
INDEX(_xlpm.rango,$BA$4-1,_xlpm.col) +
INDEX(_xlpm.rango,$BA$4, _xlpm.col)
)</f>
        <v/>
      </c>
      <c r="AB82" s="95">
        <f t="array" ref="AB82">_xlfn.LET(
_xlpm.rango, INDIRECT("E!$C$" &amp; $BA$8 &amp; ":$DR$" &amp; $BA$9),
_xlpm.col, AB$72+$D81*10,
INDEX(_xlpm.rango,$BA$4-3,_xlpm.col) +
INDEX(_xlpm.rango,$BA$4-2,_xlpm.col) +
INDEX(_xlpm.rango,$BA$4-1,_xlpm.col) +
INDEX(_xlpm.rango,$BA$4, _xlpm.col)
)</f>
        <v/>
      </c>
      <c r="AC82" s="95">
        <f t="array" ref="AC82">_xlfn.LET(
_xlpm.rango, INDIRECT("E!$C$" &amp; $BA$8 &amp; ":$DR$" &amp; $BA$9),
_xlpm.col, AC$72+$D81*10,
INDEX(_xlpm.rango,$BA$4-3,_xlpm.col) +
INDEX(_xlpm.rango,$BA$4-2,_xlpm.col) +
INDEX(_xlpm.rango,$BA$4-1,_xlpm.col) +
INDEX(_xlpm.rango,$BA$4, _xlpm.col)
)</f>
        <v/>
      </c>
      <c r="AD82" s="95">
        <f t="array" ref="AD82">_xlfn.LET(
_xlpm.rango, INDIRECT("E!$C$" &amp; $BA$8 &amp; ":$DR$" &amp; $BA$9),
_xlpm.col, AD$72+$D81*10,
INDEX(_xlpm.rango,$BA$4-3,_xlpm.col) +
INDEX(_xlpm.rango,$BA$4-2,_xlpm.col) +
INDEX(_xlpm.rango,$BA$4-1,_xlpm.col) +
INDEX(_xlpm.rango,$BA$4, _xlpm.col)
)</f>
        <v/>
      </c>
      <c r="AE82" s="95">
        <f t="array" ref="AE82">_xlfn.LET(
_xlpm.rango, INDIRECT("E!$C$" &amp; $BA$8 &amp; ":$DR$" &amp; $BA$9),
_xlpm.col, AE$72+$D81*10,
INDEX(_xlpm.rango,$BA$4-3,_xlpm.col) +
INDEX(_xlpm.rango,$BA$4-2,_xlpm.col) +
INDEX(_xlpm.rango,$BA$4-1,_xlpm.col) +
INDEX(_xlpm.rango,$BA$4, _xlpm.col)
)</f>
        <v/>
      </c>
      <c r="AF82" s="95">
        <f t="array" ref="AF82">_xlfn.LET(
_xlpm.rango, INDIRECT("E!$C$" &amp; $BA$8 &amp; ":$DR$" &amp; $BA$9),
_xlpm.col, AF$72+$D81*10,
INDEX(_xlpm.rango,$BA$4-3,_xlpm.col) +
INDEX(_xlpm.rango,$BA$4-2,_xlpm.col) +
INDEX(_xlpm.rango,$BA$4-1,_xlpm.col) +
INDEX(_xlpm.rango,$BA$4, _xlpm.col)
)</f>
        <v/>
      </c>
      <c r="AG82" s="95">
        <f t="array" ref="AG82">_xlfn.LET(
_xlpm.rango, INDIRECT("E!$C$" &amp; $BA$8 &amp; ":$DR$" &amp; $BA$9),
_xlpm.col, AG$72+$D81*10,
INDEX(_xlpm.rango,$BA$4-3,_xlpm.col) +
INDEX(_xlpm.rango,$BA$4-2,_xlpm.col) +
INDEX(_xlpm.rango,$BA$4-1,_xlpm.col) +
INDEX(_xlpm.rango,$BA$4, _xlpm.col)
)</f>
        <v/>
      </c>
      <c r="AH82" s="95">
        <f t="array" ref="AH82">_xlfn.LET(
_xlpm.rango, INDIRECT("E!$C$" &amp; $BA$8 &amp; ":$DR$" &amp; $BA$9),
_xlpm.col, AH$72+$D81*10,
INDEX(_xlpm.rango,$BA$4-3,_xlpm.col) +
INDEX(_xlpm.rango,$BA$4-2,_xlpm.col) +
INDEX(_xlpm.rango,$BA$4-1,_xlpm.col) +
INDEX(_xlpm.rango,$BA$4, _xlpm.col)
)</f>
        <v/>
      </c>
      <c r="AI82" s="96">
        <f t="array" ref="AI82">_xlfn.LET(
_xlpm.rango, INDIRECT("E!$C$" &amp; $BA$8 &amp; ":$DR$" &amp; $BA$9),
_xlpm.col, AI$72+$D81*10,
INDEX(_xlpm.rango,$BA$4-3,_xlpm.col) +
INDEX(_xlpm.rango,$BA$4-2,_xlpm.col) +
INDEX(_xlpm.rango,$BA$4-1,_xlpm.col) +
INDEX(_xlpm.rango,$BA$4, _xlpm.col)
)</f>
        <v/>
      </c>
      <c r="AJ82" s="95">
        <f t="array" ref="AJ82">_xlfn.LET(
_xlpm.rango, INDIRECT("E!$C$" &amp; $BA$8 &amp; ":$DR$" &amp; $BA$9),
_xlpm.col, AJ$72+$D81*10,
INDEX(_xlpm.rango,$BA$4-3,_xlpm.col) +
INDEX(_xlpm.rango,$BA$4-2,_xlpm.col) +
INDEX(_xlpm.rango,$BA$4-1,_xlpm.col) +
INDEX(_xlpm.rango,$BA$4, _xlpm.col)
)</f>
        <v/>
      </c>
      <c r="AK82" s="95">
        <f t="array" ref="AK82">_xlfn.LET(
_xlpm.rango, INDIRECT("E!$C$" &amp; $BA$8 &amp; ":$DR$" &amp; $BA$9),
_xlpm.col, AK$72+$D81*10,
INDEX(_xlpm.rango,$BA$4-3,_xlpm.col) +
INDEX(_xlpm.rango,$BA$4-2,_xlpm.col) +
INDEX(_xlpm.rango,$BA$4-1,_xlpm.col) +
INDEX(_xlpm.rango,$BA$4, _xlpm.col)
)</f>
        <v/>
      </c>
      <c r="AL82" s="95">
        <f t="array" ref="AL82">_xlfn.LET(
_xlpm.rango, INDIRECT("E!$C$" &amp; $BA$8 &amp; ":$DR$" &amp; $BA$9),
_xlpm.col, AL$72+$D81*10,
INDEX(_xlpm.rango,$BA$4-3,_xlpm.col) +
INDEX(_xlpm.rango,$BA$4-2,_xlpm.col) +
INDEX(_xlpm.rango,$BA$4-1,_xlpm.col) +
INDEX(_xlpm.rango,$BA$4, _xlpm.col)
)</f>
        <v/>
      </c>
      <c r="AM82" s="95">
        <f t="array" ref="AM82">_xlfn.LET(
_xlpm.rango, INDIRECT("E!$C$" &amp; $BA$8 &amp; ":$DR$" &amp; $BA$9),
_xlpm.col, AM$72+$D81*10,
INDEX(_xlpm.rango,$BA$4-3,_xlpm.col) +
INDEX(_xlpm.rango,$BA$4-2,_xlpm.col) +
INDEX(_xlpm.rango,$BA$4-1,_xlpm.col) +
INDEX(_xlpm.rango,$BA$4, _xlpm.col)
)</f>
        <v/>
      </c>
      <c r="AN82" s="95">
        <f t="array" ref="AN82">_xlfn.LET(
_xlpm.rango, INDIRECT("E!$C$" &amp; $BA$8 &amp; ":$DR$" &amp; $BA$9),
_xlpm.col, AN$72+$D81*10,
INDEX(_xlpm.rango,$BA$4-3,_xlpm.col) +
INDEX(_xlpm.rango,$BA$4-2,_xlpm.col) +
INDEX(_xlpm.rango,$BA$4-1,_xlpm.col) +
INDEX(_xlpm.rango,$BA$4, _xlpm.col)
)</f>
        <v/>
      </c>
      <c r="AO82" s="95">
        <f t="array" ref="AO82">_xlfn.LET(
_xlpm.rango, INDIRECT("E!$C$" &amp; $BA$8 &amp; ":$DR$" &amp; $BA$9),
_xlpm.col, AO$72+$D81*10,
INDEX(_xlpm.rango,$BA$4-3,_xlpm.col) +
INDEX(_xlpm.rango,$BA$4-2,_xlpm.col) +
INDEX(_xlpm.rango,$BA$4-1,_xlpm.col) +
INDEX(_xlpm.rango,$BA$4, _xlpm.col)
)</f>
        <v/>
      </c>
      <c r="AP82" s="95">
        <f t="array" ref="AP82">_xlfn.LET(
_xlpm.rango, INDIRECT("E!$C$" &amp; $BA$8 &amp; ":$DR$" &amp; $BA$9),
_xlpm.col, AP$72+$D81*10,
INDEX(_xlpm.rango,$BA$4-3,_xlpm.col) +
INDEX(_xlpm.rango,$BA$4-2,_xlpm.col) +
INDEX(_xlpm.rango,$BA$4-1,_xlpm.col) +
INDEX(_xlpm.rango,$BA$4, _xlpm.col)
)</f>
        <v/>
      </c>
      <c r="AQ82" s="95">
        <f t="array" ref="AQ82">_xlfn.LET(
_xlpm.rango, INDIRECT("E!$C$" &amp; $BA$8 &amp; ":$DR$" &amp; $BA$9),
_xlpm.col, AQ$72+$D81*10,
INDEX(_xlpm.rango,$BA$4-3,_xlpm.col) +
INDEX(_xlpm.rango,$BA$4-2,_xlpm.col) +
INDEX(_xlpm.rango,$BA$4-1,_xlpm.col) +
INDEX(_xlpm.rango,$BA$4, _xlpm.col)
)</f>
        <v/>
      </c>
      <c r="AR82" s="95">
        <f t="array" ref="AR82">_xlfn.LET(
_xlpm.rango, INDIRECT("E!$C$" &amp; $BA$8 &amp; ":$DR$" &amp; $BA$9),
_xlpm.col, AR$72+$D81*10,
INDEX(_xlpm.rango,$BA$4-3,_xlpm.col) +
INDEX(_xlpm.rango,$BA$4-2,_xlpm.col) +
INDEX(_xlpm.rango,$BA$4-1,_xlpm.col) +
INDEX(_xlpm.rango,$BA$4, _xlpm.col)
)</f>
        <v/>
      </c>
      <c r="AS82" s="112">
        <f t="array" ref="AS82">_xlfn.LET(
_xlpm.rango, INDIRECT("E!$C$" &amp; $BA$8 &amp; ":$DR$" &amp; $BA$9),
_xlpm.col, AS$72+$D81*10,
INDEX(_xlpm.rango,$BA$4-3,_xlpm.col) +
INDEX(_xlpm.rango,$BA$4-2,_xlpm.col) +
INDEX(_xlpm.rango,$BA$4-1,_xlpm.col) +
INDEX(_xlpm.rango,$BA$4, _xlpm.col)
)</f>
        <v/>
      </c>
      <c r="AT82" s="118">
        <f>SUM(F82:AS82)</f>
        <v/>
      </c>
      <c r="AU82" s="120">
        <f>AT82/$AT$88</f>
        <v/>
      </c>
    </row>
    <row r="83">
      <c r="D83" t="n">
        <v>8</v>
      </c>
      <c r="E83" s="106">
        <f>Inicio!V11</f>
        <v/>
      </c>
      <c r="F83" s="100">
        <f t="array" ref="F83">_xlfn.LET(
_xlpm.rango, INDIRECT("N!$C$" &amp; $BA$8 &amp; ":$DR$" &amp; $BA$9),
_xlpm.col, F$72+$D82*10,
INDEX(_xlpm.rango,$BA$4-3,_xlpm.col) +
INDEX(_xlpm.rango,$BA$4-2,_xlpm.col) +
INDEX(_xlpm.rango,$BA$4-1,_xlpm.col) +
INDEX(_xlpm.rango,$BA$4, _xlpm.col)
)</f>
        <v/>
      </c>
      <c r="G83" s="95">
        <f t="array" ref="G83">_xlfn.LET(
_xlpm.rango, INDIRECT("N!$C$" &amp; $BA$8 &amp; ":$DR$" &amp; $BA$9),
_xlpm.col, G$72+$D82*10,
INDEX(_xlpm.rango,$BA$4-3,_xlpm.col) +
INDEX(_xlpm.rango,$BA$4-2,_xlpm.col) +
INDEX(_xlpm.rango,$BA$4-1,_xlpm.col) +
INDEX(_xlpm.rango,$BA$4, _xlpm.col)
)</f>
        <v/>
      </c>
      <c r="H83" s="95">
        <f t="array" ref="H83">_xlfn.LET(
_xlpm.rango, INDIRECT("N!$C$" &amp; $BA$8 &amp; ":$DR$" &amp; $BA$9),
_xlpm.col, H$72+$D82*10,
INDEX(_xlpm.rango,$BA$4-3,_xlpm.col) +
INDEX(_xlpm.rango,$BA$4-2,_xlpm.col) +
INDEX(_xlpm.rango,$BA$4-1,_xlpm.col) +
INDEX(_xlpm.rango,$BA$4, _xlpm.col)
)</f>
        <v/>
      </c>
      <c r="I83" s="95">
        <f t="array" ref="I83">_xlfn.LET(
_xlpm.rango, INDIRECT("N!$C$" &amp; $BA$8 &amp; ":$DR$" &amp; $BA$9),
_xlpm.col, I$72+$D82*10,
INDEX(_xlpm.rango,$BA$4-3,_xlpm.col) +
INDEX(_xlpm.rango,$BA$4-2,_xlpm.col) +
INDEX(_xlpm.rango,$BA$4-1,_xlpm.col) +
INDEX(_xlpm.rango,$BA$4, _xlpm.col)
)</f>
        <v/>
      </c>
      <c r="J83" s="95">
        <f t="array" ref="J83">_xlfn.LET(
_xlpm.rango, INDIRECT("N!$C$" &amp; $BA$8 &amp; ":$DR$" &amp; $BA$9),
_xlpm.col, J$72+$D82*10,
INDEX(_xlpm.rango,$BA$4-3,_xlpm.col) +
INDEX(_xlpm.rango,$BA$4-2,_xlpm.col) +
INDEX(_xlpm.rango,$BA$4-1,_xlpm.col) +
INDEX(_xlpm.rango,$BA$4, _xlpm.col)
)</f>
        <v/>
      </c>
      <c r="K83" s="95">
        <f t="array" ref="K83">_xlfn.LET(
_xlpm.rango, INDIRECT("N!$C$" &amp; $BA$8 &amp; ":$DR$" &amp; $BA$9),
_xlpm.col, K$72+$D82*10,
INDEX(_xlpm.rango,$BA$4-3,_xlpm.col) +
INDEX(_xlpm.rango,$BA$4-2,_xlpm.col) +
INDEX(_xlpm.rango,$BA$4-1,_xlpm.col) +
INDEX(_xlpm.rango,$BA$4, _xlpm.col)
)</f>
        <v/>
      </c>
      <c r="L83" s="95">
        <f t="array" ref="L83">_xlfn.LET(
_xlpm.rango, INDIRECT("N!$C$" &amp; $BA$8 &amp; ":$DR$" &amp; $BA$9),
_xlpm.col, L$72+$D82*10,
INDEX(_xlpm.rango,$BA$4-3,_xlpm.col) +
INDEX(_xlpm.rango,$BA$4-2,_xlpm.col) +
INDEX(_xlpm.rango,$BA$4-1,_xlpm.col) +
INDEX(_xlpm.rango,$BA$4, _xlpm.col)
)</f>
        <v/>
      </c>
      <c r="M83" s="95">
        <f t="array" ref="M83">_xlfn.LET(
_xlpm.rango, INDIRECT("N!$C$" &amp; $BA$8 &amp; ":$DR$" &amp; $BA$9),
_xlpm.col, M$72+$D82*10,
INDEX(_xlpm.rango,$BA$4-3,_xlpm.col) +
INDEX(_xlpm.rango,$BA$4-2,_xlpm.col) +
INDEX(_xlpm.rango,$BA$4-1,_xlpm.col) +
INDEX(_xlpm.rango,$BA$4, _xlpm.col)
)</f>
        <v/>
      </c>
      <c r="N83" s="95">
        <f t="array" ref="N83">_xlfn.LET(
_xlpm.rango, INDIRECT("N!$C$" &amp; $BA$8 &amp; ":$DR$" &amp; $BA$9),
_xlpm.col, N$72+$D82*10,
INDEX(_xlpm.rango,$BA$4-3,_xlpm.col) +
INDEX(_xlpm.rango,$BA$4-2,_xlpm.col) +
INDEX(_xlpm.rango,$BA$4-1,_xlpm.col) +
INDEX(_xlpm.rango,$BA$4, _xlpm.col)
)</f>
        <v/>
      </c>
      <c r="O83" s="96">
        <f t="array" ref="O83">_xlfn.LET(
_xlpm.rango, INDIRECT("N!$C$" &amp; $BA$8 &amp; ":$DR$" &amp; $BA$9),
_xlpm.col, O$72+$D82*10,
INDEX(_xlpm.rango,$BA$4-3,_xlpm.col) +
INDEX(_xlpm.rango,$BA$4-2,_xlpm.col) +
INDEX(_xlpm.rango,$BA$4-1,_xlpm.col) +
INDEX(_xlpm.rango,$BA$4, _xlpm.col)
)</f>
        <v/>
      </c>
      <c r="P83" s="95">
        <f t="array" ref="P83">_xlfn.LET(
_xlpm.rango, INDIRECT("S!$C$" &amp; $BA$8 &amp; ":$DR$" &amp; $BA$9),
_xlpm.col, P$72+$D82*10,
INDEX(_xlpm.rango,$BA$4-3,_xlpm.col) +
INDEX(_xlpm.rango,$BA$4-2,_xlpm.col) +
INDEX(_xlpm.rango,$BA$4-1,_xlpm.col) +
INDEX(_xlpm.rango,$BA$4, _xlpm.col)
)</f>
        <v/>
      </c>
      <c r="Q83" s="95">
        <f t="array" ref="Q83">_xlfn.LET(
_xlpm.rango, INDIRECT("S!$C$" &amp; $BA$8 &amp; ":$DR$" &amp; $BA$9),
_xlpm.col, Q$72+$D82*10,
INDEX(_xlpm.rango,$BA$4-3,_xlpm.col) +
INDEX(_xlpm.rango,$BA$4-2,_xlpm.col) +
INDEX(_xlpm.rango,$BA$4-1,_xlpm.col) +
INDEX(_xlpm.rango,$BA$4, _xlpm.col)
)</f>
        <v/>
      </c>
      <c r="R83" s="95">
        <f t="array" ref="R83">_xlfn.LET(
_xlpm.rango, INDIRECT("S!$C$" &amp; $BA$8 &amp; ":$DR$" &amp; $BA$9),
_xlpm.col, R$72+$D82*10,
INDEX(_xlpm.rango,$BA$4-3,_xlpm.col) +
INDEX(_xlpm.rango,$BA$4-2,_xlpm.col) +
INDEX(_xlpm.rango,$BA$4-1,_xlpm.col) +
INDEX(_xlpm.rango,$BA$4, _xlpm.col)
)</f>
        <v/>
      </c>
      <c r="S83" s="95">
        <f t="array" ref="S83">_xlfn.LET(
_xlpm.rango, INDIRECT("S!$C$" &amp; $BA$8 &amp; ":$DR$" &amp; $BA$9),
_xlpm.col, S$72+$D82*10,
INDEX(_xlpm.rango,$BA$4-3,_xlpm.col) +
INDEX(_xlpm.rango,$BA$4-2,_xlpm.col) +
INDEX(_xlpm.rango,$BA$4-1,_xlpm.col) +
INDEX(_xlpm.rango,$BA$4, _xlpm.col)
)</f>
        <v/>
      </c>
      <c r="T83" s="95">
        <f t="array" ref="T83">_xlfn.LET(
_xlpm.rango, INDIRECT("S!$C$" &amp; $BA$8 &amp; ":$DR$" &amp; $BA$9),
_xlpm.col, T$72+$D82*10,
INDEX(_xlpm.rango,$BA$4-3,_xlpm.col) +
INDEX(_xlpm.rango,$BA$4-2,_xlpm.col) +
INDEX(_xlpm.rango,$BA$4-1,_xlpm.col) +
INDEX(_xlpm.rango,$BA$4, _xlpm.col)
)</f>
        <v/>
      </c>
      <c r="U83" s="95">
        <f t="array" ref="U83">_xlfn.LET(
_xlpm.rango, INDIRECT("S!$C$" &amp; $BA$8 &amp; ":$DR$" &amp; $BA$9),
_xlpm.col, U$72+$D82*10,
INDEX(_xlpm.rango,$BA$4-3,_xlpm.col) +
INDEX(_xlpm.rango,$BA$4-2,_xlpm.col) +
INDEX(_xlpm.rango,$BA$4-1,_xlpm.col) +
INDEX(_xlpm.rango,$BA$4, _xlpm.col)
)</f>
        <v/>
      </c>
      <c r="V83" s="95">
        <f t="array" ref="V83">_xlfn.LET(
_xlpm.rango, INDIRECT("S!$C$" &amp; $BA$8 &amp; ":$DR$" &amp; $BA$9),
_xlpm.col, V$72+$D82*10,
INDEX(_xlpm.rango,$BA$4-3,_xlpm.col) +
INDEX(_xlpm.rango,$BA$4-2,_xlpm.col) +
INDEX(_xlpm.rango,$BA$4-1,_xlpm.col) +
INDEX(_xlpm.rango,$BA$4, _xlpm.col)
)</f>
        <v/>
      </c>
      <c r="W83" s="95">
        <f t="array" ref="W83">_xlfn.LET(
_xlpm.rango, INDIRECT("S!$C$" &amp; $BA$8 &amp; ":$DR$" &amp; $BA$9),
_xlpm.col, W$72+$D82*10,
INDEX(_xlpm.rango,$BA$4-3,_xlpm.col) +
INDEX(_xlpm.rango,$BA$4-2,_xlpm.col) +
INDEX(_xlpm.rango,$BA$4-1,_xlpm.col) +
INDEX(_xlpm.rango,$BA$4, _xlpm.col)
)</f>
        <v/>
      </c>
      <c r="X83" s="95">
        <f t="array" ref="X83">_xlfn.LET(
_xlpm.rango, INDIRECT("S!$C$" &amp; $BA$8 &amp; ":$DR$" &amp; $BA$9),
_xlpm.col, X$72+$D82*10,
INDEX(_xlpm.rango,$BA$4-3,_xlpm.col) +
INDEX(_xlpm.rango,$BA$4-2,_xlpm.col) +
INDEX(_xlpm.rango,$BA$4-1,_xlpm.col) +
INDEX(_xlpm.rango,$BA$4, _xlpm.col)
)</f>
        <v/>
      </c>
      <c r="Y83" s="95">
        <f t="array" ref="Y83">_xlfn.LET(
_xlpm.rango, INDIRECT("S!$C$" &amp; $BA$8 &amp; ":$DR$" &amp; $BA$9),
_xlpm.col, Y$72+$D82*10,
INDEX(_xlpm.rango,$BA$4-3,_xlpm.col) +
INDEX(_xlpm.rango,$BA$4-2,_xlpm.col) +
INDEX(_xlpm.rango,$BA$4-1,_xlpm.col) +
INDEX(_xlpm.rango,$BA$4, _xlpm.col)
)</f>
        <v/>
      </c>
      <c r="Z83" s="100">
        <f t="array" ref="Z83">_xlfn.LET(
_xlpm.rango, INDIRECT("E!$C$" &amp; $BA$8 &amp; ":$DR$" &amp; $BA$9),
_xlpm.col, Z$72+$D82*10,
INDEX(_xlpm.rango,$BA$4-3,_xlpm.col) +
INDEX(_xlpm.rango,$BA$4-2,_xlpm.col) +
INDEX(_xlpm.rango,$BA$4-1,_xlpm.col) +
INDEX(_xlpm.rango,$BA$4, _xlpm.col)
)</f>
        <v/>
      </c>
      <c r="AA83" s="95">
        <f t="array" ref="AA83">_xlfn.LET(
_xlpm.rango, INDIRECT("E!$C$" &amp; $BA$8 &amp; ":$DR$" &amp; $BA$9),
_xlpm.col, AA$72+$D82*10,
INDEX(_xlpm.rango,$BA$4-3,_xlpm.col) +
INDEX(_xlpm.rango,$BA$4-2,_xlpm.col) +
INDEX(_xlpm.rango,$BA$4-1,_xlpm.col) +
INDEX(_xlpm.rango,$BA$4, _xlpm.col)
)</f>
        <v/>
      </c>
      <c r="AB83" s="95">
        <f t="array" ref="AB83">_xlfn.LET(
_xlpm.rango, INDIRECT("E!$C$" &amp; $BA$8 &amp; ":$DR$" &amp; $BA$9),
_xlpm.col, AB$72+$D82*10,
INDEX(_xlpm.rango,$BA$4-3,_xlpm.col) +
INDEX(_xlpm.rango,$BA$4-2,_xlpm.col) +
INDEX(_xlpm.rango,$BA$4-1,_xlpm.col) +
INDEX(_xlpm.rango,$BA$4, _xlpm.col)
)</f>
        <v/>
      </c>
      <c r="AC83" s="95">
        <f t="array" ref="AC83">_xlfn.LET(
_xlpm.rango, INDIRECT("E!$C$" &amp; $BA$8 &amp; ":$DR$" &amp; $BA$9),
_xlpm.col, AC$72+$D82*10,
INDEX(_xlpm.rango,$BA$4-3,_xlpm.col) +
INDEX(_xlpm.rango,$BA$4-2,_xlpm.col) +
INDEX(_xlpm.rango,$BA$4-1,_xlpm.col) +
INDEX(_xlpm.rango,$BA$4, _xlpm.col)
)</f>
        <v/>
      </c>
      <c r="AD83" s="95">
        <f t="array" ref="AD83">_xlfn.LET(
_xlpm.rango, INDIRECT("E!$C$" &amp; $BA$8 &amp; ":$DR$" &amp; $BA$9),
_xlpm.col, AD$72+$D82*10,
INDEX(_xlpm.rango,$BA$4-3,_xlpm.col) +
INDEX(_xlpm.rango,$BA$4-2,_xlpm.col) +
INDEX(_xlpm.rango,$BA$4-1,_xlpm.col) +
INDEX(_xlpm.rango,$BA$4, _xlpm.col)
)</f>
        <v/>
      </c>
      <c r="AE83" s="95">
        <f t="array" ref="AE83">_xlfn.LET(
_xlpm.rango, INDIRECT("E!$C$" &amp; $BA$8 &amp; ":$DR$" &amp; $BA$9),
_xlpm.col, AE$72+$D82*10,
INDEX(_xlpm.rango,$BA$4-3,_xlpm.col) +
INDEX(_xlpm.rango,$BA$4-2,_xlpm.col) +
INDEX(_xlpm.rango,$BA$4-1,_xlpm.col) +
INDEX(_xlpm.rango,$BA$4, _xlpm.col)
)</f>
        <v/>
      </c>
      <c r="AF83" s="95">
        <f t="array" ref="AF83">_xlfn.LET(
_xlpm.rango, INDIRECT("E!$C$" &amp; $BA$8 &amp; ":$DR$" &amp; $BA$9),
_xlpm.col, AF$72+$D82*10,
INDEX(_xlpm.rango,$BA$4-3,_xlpm.col) +
INDEX(_xlpm.rango,$BA$4-2,_xlpm.col) +
INDEX(_xlpm.rango,$BA$4-1,_xlpm.col) +
INDEX(_xlpm.rango,$BA$4, _xlpm.col)
)</f>
        <v/>
      </c>
      <c r="AG83" s="95">
        <f t="array" ref="AG83">_xlfn.LET(
_xlpm.rango, INDIRECT("E!$C$" &amp; $BA$8 &amp; ":$DR$" &amp; $BA$9),
_xlpm.col, AG$72+$D82*10,
INDEX(_xlpm.rango,$BA$4-3,_xlpm.col) +
INDEX(_xlpm.rango,$BA$4-2,_xlpm.col) +
INDEX(_xlpm.rango,$BA$4-1,_xlpm.col) +
INDEX(_xlpm.rango,$BA$4, _xlpm.col)
)</f>
        <v/>
      </c>
      <c r="AH83" s="95">
        <f t="array" ref="AH83">_xlfn.LET(
_xlpm.rango, INDIRECT("E!$C$" &amp; $BA$8 &amp; ":$DR$" &amp; $BA$9),
_xlpm.col, AH$72+$D82*10,
INDEX(_xlpm.rango,$BA$4-3,_xlpm.col) +
INDEX(_xlpm.rango,$BA$4-2,_xlpm.col) +
INDEX(_xlpm.rango,$BA$4-1,_xlpm.col) +
INDEX(_xlpm.rango,$BA$4, _xlpm.col)
)</f>
        <v/>
      </c>
      <c r="AI83" s="96">
        <f t="array" ref="AI83">_xlfn.LET(
_xlpm.rango, INDIRECT("E!$C$" &amp; $BA$8 &amp; ":$DR$" &amp; $BA$9),
_xlpm.col, AI$72+$D82*10,
INDEX(_xlpm.rango,$BA$4-3,_xlpm.col) +
INDEX(_xlpm.rango,$BA$4-2,_xlpm.col) +
INDEX(_xlpm.rango,$BA$4-1,_xlpm.col) +
INDEX(_xlpm.rango,$BA$4, _xlpm.col)
)</f>
        <v/>
      </c>
      <c r="AJ83" s="95">
        <f t="array" ref="AJ83">_xlfn.LET(
_xlpm.rango, INDIRECT("E!$C$" &amp; $BA$8 &amp; ":$DR$" &amp; $BA$9),
_xlpm.col, AJ$72+$D82*10,
INDEX(_xlpm.rango,$BA$4-3,_xlpm.col) +
INDEX(_xlpm.rango,$BA$4-2,_xlpm.col) +
INDEX(_xlpm.rango,$BA$4-1,_xlpm.col) +
INDEX(_xlpm.rango,$BA$4, _xlpm.col)
)</f>
        <v/>
      </c>
      <c r="AK83" s="95">
        <f t="array" ref="AK83">_xlfn.LET(
_xlpm.rango, INDIRECT("E!$C$" &amp; $BA$8 &amp; ":$DR$" &amp; $BA$9),
_xlpm.col, AK$72+$D82*10,
INDEX(_xlpm.rango,$BA$4-3,_xlpm.col) +
INDEX(_xlpm.rango,$BA$4-2,_xlpm.col) +
INDEX(_xlpm.rango,$BA$4-1,_xlpm.col) +
INDEX(_xlpm.rango,$BA$4, _xlpm.col)
)</f>
        <v/>
      </c>
      <c r="AL83" s="95">
        <f t="array" ref="AL83">_xlfn.LET(
_xlpm.rango, INDIRECT("E!$C$" &amp; $BA$8 &amp; ":$DR$" &amp; $BA$9),
_xlpm.col, AL$72+$D82*10,
INDEX(_xlpm.rango,$BA$4-3,_xlpm.col) +
INDEX(_xlpm.rango,$BA$4-2,_xlpm.col) +
INDEX(_xlpm.rango,$BA$4-1,_xlpm.col) +
INDEX(_xlpm.rango,$BA$4, _xlpm.col)
)</f>
        <v/>
      </c>
      <c r="AM83" s="95">
        <f t="array" ref="AM83">_xlfn.LET(
_xlpm.rango, INDIRECT("E!$C$" &amp; $BA$8 &amp; ":$DR$" &amp; $BA$9),
_xlpm.col, AM$72+$D82*10,
INDEX(_xlpm.rango,$BA$4-3,_xlpm.col) +
INDEX(_xlpm.rango,$BA$4-2,_xlpm.col) +
INDEX(_xlpm.rango,$BA$4-1,_xlpm.col) +
INDEX(_xlpm.rango,$BA$4, _xlpm.col)
)</f>
        <v/>
      </c>
      <c r="AN83" s="95">
        <f t="array" ref="AN83">_xlfn.LET(
_xlpm.rango, INDIRECT("E!$C$" &amp; $BA$8 &amp; ":$DR$" &amp; $BA$9),
_xlpm.col, AN$72+$D82*10,
INDEX(_xlpm.rango,$BA$4-3,_xlpm.col) +
INDEX(_xlpm.rango,$BA$4-2,_xlpm.col) +
INDEX(_xlpm.rango,$BA$4-1,_xlpm.col) +
INDEX(_xlpm.rango,$BA$4, _xlpm.col)
)</f>
        <v/>
      </c>
      <c r="AO83" s="95">
        <f t="array" ref="AO83">_xlfn.LET(
_xlpm.rango, INDIRECT("E!$C$" &amp; $BA$8 &amp; ":$DR$" &amp; $BA$9),
_xlpm.col, AO$72+$D82*10,
INDEX(_xlpm.rango,$BA$4-3,_xlpm.col) +
INDEX(_xlpm.rango,$BA$4-2,_xlpm.col) +
INDEX(_xlpm.rango,$BA$4-1,_xlpm.col) +
INDEX(_xlpm.rango,$BA$4, _xlpm.col)
)</f>
        <v/>
      </c>
      <c r="AP83" s="95">
        <f t="array" ref="AP83">_xlfn.LET(
_xlpm.rango, INDIRECT("E!$C$" &amp; $BA$8 &amp; ":$DR$" &amp; $BA$9),
_xlpm.col, AP$72+$D82*10,
INDEX(_xlpm.rango,$BA$4-3,_xlpm.col) +
INDEX(_xlpm.rango,$BA$4-2,_xlpm.col) +
INDEX(_xlpm.rango,$BA$4-1,_xlpm.col) +
INDEX(_xlpm.rango,$BA$4, _xlpm.col)
)</f>
        <v/>
      </c>
      <c r="AQ83" s="95">
        <f t="array" ref="AQ83">_xlfn.LET(
_xlpm.rango, INDIRECT("E!$C$" &amp; $BA$8 &amp; ":$DR$" &amp; $BA$9),
_xlpm.col, AQ$72+$D82*10,
INDEX(_xlpm.rango,$BA$4-3,_xlpm.col) +
INDEX(_xlpm.rango,$BA$4-2,_xlpm.col) +
INDEX(_xlpm.rango,$BA$4-1,_xlpm.col) +
INDEX(_xlpm.rango,$BA$4, _xlpm.col)
)</f>
        <v/>
      </c>
      <c r="AR83" s="95">
        <f t="array" ref="AR83">_xlfn.LET(
_xlpm.rango, INDIRECT("E!$C$" &amp; $BA$8 &amp; ":$DR$" &amp; $BA$9),
_xlpm.col, AR$72+$D82*10,
INDEX(_xlpm.rango,$BA$4-3,_xlpm.col) +
INDEX(_xlpm.rango,$BA$4-2,_xlpm.col) +
INDEX(_xlpm.rango,$BA$4-1,_xlpm.col) +
INDEX(_xlpm.rango,$BA$4, _xlpm.col)
)</f>
        <v/>
      </c>
      <c r="AS83" s="112">
        <f t="array" ref="AS83">_xlfn.LET(
_xlpm.rango, INDIRECT("E!$C$" &amp; $BA$8 &amp; ":$DR$" &amp; $BA$9),
_xlpm.col, AS$72+$D82*10,
INDEX(_xlpm.rango,$BA$4-3,_xlpm.col) +
INDEX(_xlpm.rango,$BA$4-2,_xlpm.col) +
INDEX(_xlpm.rango,$BA$4-1,_xlpm.col) +
INDEX(_xlpm.rango,$BA$4, _xlpm.col)
)</f>
        <v/>
      </c>
      <c r="AT83" s="118">
        <f>SUM(F83:AS83)</f>
        <v/>
      </c>
      <c r="AU83" s="120">
        <f>AT83/$AT$88</f>
        <v/>
      </c>
    </row>
    <row r="84">
      <c r="D84" t="n">
        <v>9</v>
      </c>
      <c r="E84" s="106">
        <f>Inicio!V12</f>
        <v/>
      </c>
      <c r="F84" s="100">
        <f t="array" ref="F84">_xlfn.LET(
_xlpm.rango, INDIRECT("N!$C$" &amp; $BA$8 &amp; ":$DR$" &amp; $BA$9),
_xlpm.col, F$72+$D83*10,
INDEX(_xlpm.rango,$BA$4-3,_xlpm.col) +
INDEX(_xlpm.rango,$BA$4-2,_xlpm.col) +
INDEX(_xlpm.rango,$BA$4-1,_xlpm.col) +
INDEX(_xlpm.rango,$BA$4, _xlpm.col)
)</f>
        <v/>
      </c>
      <c r="G84" s="95">
        <f t="array" ref="G84">_xlfn.LET(
_xlpm.rango, INDIRECT("N!$C$" &amp; $BA$8 &amp; ":$DR$" &amp; $BA$9),
_xlpm.col, G$72+$D83*10,
INDEX(_xlpm.rango,$BA$4-3,_xlpm.col) +
INDEX(_xlpm.rango,$BA$4-2,_xlpm.col) +
INDEX(_xlpm.rango,$BA$4-1,_xlpm.col) +
INDEX(_xlpm.rango,$BA$4, _xlpm.col)
)</f>
        <v/>
      </c>
      <c r="H84" s="95">
        <f t="array" ref="H84">_xlfn.LET(
_xlpm.rango, INDIRECT("N!$C$" &amp; $BA$8 &amp; ":$DR$" &amp; $BA$9),
_xlpm.col, H$72+$D83*10,
INDEX(_xlpm.rango,$BA$4-3,_xlpm.col) +
INDEX(_xlpm.rango,$BA$4-2,_xlpm.col) +
INDEX(_xlpm.rango,$BA$4-1,_xlpm.col) +
INDEX(_xlpm.rango,$BA$4, _xlpm.col)
)</f>
        <v/>
      </c>
      <c r="I84" s="95">
        <f t="array" ref="I84">_xlfn.LET(
_xlpm.rango, INDIRECT("N!$C$" &amp; $BA$8 &amp; ":$DR$" &amp; $BA$9),
_xlpm.col, I$72+$D83*10,
INDEX(_xlpm.rango,$BA$4-3,_xlpm.col) +
INDEX(_xlpm.rango,$BA$4-2,_xlpm.col) +
INDEX(_xlpm.rango,$BA$4-1,_xlpm.col) +
INDEX(_xlpm.rango,$BA$4, _xlpm.col)
)</f>
        <v/>
      </c>
      <c r="J84" s="95">
        <f t="array" ref="J84">_xlfn.LET(
_xlpm.rango, INDIRECT("N!$C$" &amp; $BA$8 &amp; ":$DR$" &amp; $BA$9),
_xlpm.col, J$72+$D83*10,
INDEX(_xlpm.rango,$BA$4-3,_xlpm.col) +
INDEX(_xlpm.rango,$BA$4-2,_xlpm.col) +
INDEX(_xlpm.rango,$BA$4-1,_xlpm.col) +
INDEX(_xlpm.rango,$BA$4, _xlpm.col)
)</f>
        <v/>
      </c>
      <c r="K84" s="95">
        <f t="array" ref="K84">_xlfn.LET(
_xlpm.rango, INDIRECT("N!$C$" &amp; $BA$8 &amp; ":$DR$" &amp; $BA$9),
_xlpm.col, K$72+$D83*10,
INDEX(_xlpm.rango,$BA$4-3,_xlpm.col) +
INDEX(_xlpm.rango,$BA$4-2,_xlpm.col) +
INDEX(_xlpm.rango,$BA$4-1,_xlpm.col) +
INDEX(_xlpm.rango,$BA$4, _xlpm.col)
)</f>
        <v/>
      </c>
      <c r="L84" s="95">
        <f t="array" ref="L84">_xlfn.LET(
_xlpm.rango, INDIRECT("N!$C$" &amp; $BA$8 &amp; ":$DR$" &amp; $BA$9),
_xlpm.col, L$72+$D83*10,
INDEX(_xlpm.rango,$BA$4-3,_xlpm.col) +
INDEX(_xlpm.rango,$BA$4-2,_xlpm.col) +
INDEX(_xlpm.rango,$BA$4-1,_xlpm.col) +
INDEX(_xlpm.rango,$BA$4, _xlpm.col)
)</f>
        <v/>
      </c>
      <c r="M84" s="95">
        <f t="array" ref="M84">_xlfn.LET(
_xlpm.rango, INDIRECT("N!$C$" &amp; $BA$8 &amp; ":$DR$" &amp; $BA$9),
_xlpm.col, M$72+$D83*10,
INDEX(_xlpm.rango,$BA$4-3,_xlpm.col) +
INDEX(_xlpm.rango,$BA$4-2,_xlpm.col) +
INDEX(_xlpm.rango,$BA$4-1,_xlpm.col) +
INDEX(_xlpm.rango,$BA$4, _xlpm.col)
)</f>
        <v/>
      </c>
      <c r="N84" s="95">
        <f t="array" ref="N84">_xlfn.LET(
_xlpm.rango, INDIRECT("N!$C$" &amp; $BA$8 &amp; ":$DR$" &amp; $BA$9),
_xlpm.col, N$72+$D83*10,
INDEX(_xlpm.rango,$BA$4-3,_xlpm.col) +
INDEX(_xlpm.rango,$BA$4-2,_xlpm.col) +
INDEX(_xlpm.rango,$BA$4-1,_xlpm.col) +
INDEX(_xlpm.rango,$BA$4, _xlpm.col)
)</f>
        <v/>
      </c>
      <c r="O84" s="96">
        <f t="array" ref="O84">_xlfn.LET(
_xlpm.rango, INDIRECT("N!$C$" &amp; $BA$8 &amp; ":$DR$" &amp; $BA$9),
_xlpm.col, O$72+$D83*10,
INDEX(_xlpm.rango,$BA$4-3,_xlpm.col) +
INDEX(_xlpm.rango,$BA$4-2,_xlpm.col) +
INDEX(_xlpm.rango,$BA$4-1,_xlpm.col) +
INDEX(_xlpm.rango,$BA$4, _xlpm.col)
)</f>
        <v/>
      </c>
      <c r="P84" s="95">
        <f t="array" ref="P84">_xlfn.LET(
_xlpm.rango, INDIRECT("S!$C$" &amp; $BA$8 &amp; ":$DR$" &amp; $BA$9),
_xlpm.col, P$72+$D83*10,
INDEX(_xlpm.rango,$BA$4-3,_xlpm.col) +
INDEX(_xlpm.rango,$BA$4-2,_xlpm.col) +
INDEX(_xlpm.rango,$BA$4-1,_xlpm.col) +
INDEX(_xlpm.rango,$BA$4, _xlpm.col)
)</f>
        <v/>
      </c>
      <c r="Q84" s="95">
        <f t="array" ref="Q84">_xlfn.LET(
_xlpm.rango, INDIRECT("S!$C$" &amp; $BA$8 &amp; ":$DR$" &amp; $BA$9),
_xlpm.col, Q$72+$D83*10,
INDEX(_xlpm.rango,$BA$4-3,_xlpm.col) +
INDEX(_xlpm.rango,$BA$4-2,_xlpm.col) +
INDEX(_xlpm.rango,$BA$4-1,_xlpm.col) +
INDEX(_xlpm.rango,$BA$4, _xlpm.col)
)</f>
        <v/>
      </c>
      <c r="R84" s="95">
        <f t="array" ref="R84">_xlfn.LET(
_xlpm.rango, INDIRECT("S!$C$" &amp; $BA$8 &amp; ":$DR$" &amp; $BA$9),
_xlpm.col, R$72+$D83*10,
INDEX(_xlpm.rango,$BA$4-3,_xlpm.col) +
INDEX(_xlpm.rango,$BA$4-2,_xlpm.col) +
INDEX(_xlpm.rango,$BA$4-1,_xlpm.col) +
INDEX(_xlpm.rango,$BA$4, _xlpm.col)
)</f>
        <v/>
      </c>
      <c r="S84" s="95">
        <f t="array" ref="S84">_xlfn.LET(
_xlpm.rango, INDIRECT("S!$C$" &amp; $BA$8 &amp; ":$DR$" &amp; $BA$9),
_xlpm.col, S$72+$D83*10,
INDEX(_xlpm.rango,$BA$4-3,_xlpm.col) +
INDEX(_xlpm.rango,$BA$4-2,_xlpm.col) +
INDEX(_xlpm.rango,$BA$4-1,_xlpm.col) +
INDEX(_xlpm.rango,$BA$4, _xlpm.col)
)</f>
        <v/>
      </c>
      <c r="T84" s="95">
        <f t="array" ref="T84">_xlfn.LET(
_xlpm.rango, INDIRECT("S!$C$" &amp; $BA$8 &amp; ":$DR$" &amp; $BA$9),
_xlpm.col, T$72+$D83*10,
INDEX(_xlpm.rango,$BA$4-3,_xlpm.col) +
INDEX(_xlpm.rango,$BA$4-2,_xlpm.col) +
INDEX(_xlpm.rango,$BA$4-1,_xlpm.col) +
INDEX(_xlpm.rango,$BA$4, _xlpm.col)
)</f>
        <v/>
      </c>
      <c r="U84" s="95">
        <f t="array" ref="U84">_xlfn.LET(
_xlpm.rango, INDIRECT("S!$C$" &amp; $BA$8 &amp; ":$DR$" &amp; $BA$9),
_xlpm.col, U$72+$D83*10,
INDEX(_xlpm.rango,$BA$4-3,_xlpm.col) +
INDEX(_xlpm.rango,$BA$4-2,_xlpm.col) +
INDEX(_xlpm.rango,$BA$4-1,_xlpm.col) +
INDEX(_xlpm.rango,$BA$4, _xlpm.col)
)</f>
        <v/>
      </c>
      <c r="V84" s="95">
        <f t="array" ref="V84">_xlfn.LET(
_xlpm.rango, INDIRECT("S!$C$" &amp; $BA$8 &amp; ":$DR$" &amp; $BA$9),
_xlpm.col, V$72+$D83*10,
INDEX(_xlpm.rango,$BA$4-3,_xlpm.col) +
INDEX(_xlpm.rango,$BA$4-2,_xlpm.col) +
INDEX(_xlpm.rango,$BA$4-1,_xlpm.col) +
INDEX(_xlpm.rango,$BA$4, _xlpm.col)
)</f>
        <v/>
      </c>
      <c r="W84" s="95">
        <f t="array" ref="W84">_xlfn.LET(
_xlpm.rango, INDIRECT("S!$C$" &amp; $BA$8 &amp; ":$DR$" &amp; $BA$9),
_xlpm.col, W$72+$D83*10,
INDEX(_xlpm.rango,$BA$4-3,_xlpm.col) +
INDEX(_xlpm.rango,$BA$4-2,_xlpm.col) +
INDEX(_xlpm.rango,$BA$4-1,_xlpm.col) +
INDEX(_xlpm.rango,$BA$4, _xlpm.col)
)</f>
        <v/>
      </c>
      <c r="X84" s="95">
        <f t="array" ref="X84">_xlfn.LET(
_xlpm.rango, INDIRECT("S!$C$" &amp; $BA$8 &amp; ":$DR$" &amp; $BA$9),
_xlpm.col, X$72+$D83*10,
INDEX(_xlpm.rango,$BA$4-3,_xlpm.col) +
INDEX(_xlpm.rango,$BA$4-2,_xlpm.col) +
INDEX(_xlpm.rango,$BA$4-1,_xlpm.col) +
INDEX(_xlpm.rango,$BA$4, _xlpm.col)
)</f>
        <v/>
      </c>
      <c r="Y84" s="95">
        <f t="array" ref="Y84">_xlfn.LET(
_xlpm.rango, INDIRECT("S!$C$" &amp; $BA$8 &amp; ":$DR$" &amp; $BA$9),
_xlpm.col, Y$72+$D83*10,
INDEX(_xlpm.rango,$BA$4-3,_xlpm.col) +
INDEX(_xlpm.rango,$BA$4-2,_xlpm.col) +
INDEX(_xlpm.rango,$BA$4-1,_xlpm.col) +
INDEX(_xlpm.rango,$BA$4, _xlpm.col)
)</f>
        <v/>
      </c>
      <c r="Z84" s="100">
        <f t="array" ref="Z84">_xlfn.LET(
_xlpm.rango, INDIRECT("E!$C$" &amp; $BA$8 &amp; ":$DR$" &amp; $BA$9),
_xlpm.col, Z$72+$D83*10,
INDEX(_xlpm.rango,$BA$4-3,_xlpm.col) +
INDEX(_xlpm.rango,$BA$4-2,_xlpm.col) +
INDEX(_xlpm.rango,$BA$4-1,_xlpm.col) +
INDEX(_xlpm.rango,$BA$4, _xlpm.col)
)</f>
        <v/>
      </c>
      <c r="AA84" s="95">
        <f t="array" ref="AA84">_xlfn.LET(
_xlpm.rango, INDIRECT("E!$C$" &amp; $BA$8 &amp; ":$DR$" &amp; $BA$9),
_xlpm.col, AA$72+$D83*10,
INDEX(_xlpm.rango,$BA$4-3,_xlpm.col) +
INDEX(_xlpm.rango,$BA$4-2,_xlpm.col) +
INDEX(_xlpm.rango,$BA$4-1,_xlpm.col) +
INDEX(_xlpm.rango,$BA$4, _xlpm.col)
)</f>
        <v/>
      </c>
      <c r="AB84" s="95">
        <f t="array" ref="AB84">_xlfn.LET(
_xlpm.rango, INDIRECT("E!$C$" &amp; $BA$8 &amp; ":$DR$" &amp; $BA$9),
_xlpm.col, AB$72+$D83*10,
INDEX(_xlpm.rango,$BA$4-3,_xlpm.col) +
INDEX(_xlpm.rango,$BA$4-2,_xlpm.col) +
INDEX(_xlpm.rango,$BA$4-1,_xlpm.col) +
INDEX(_xlpm.rango,$BA$4, _xlpm.col)
)</f>
        <v/>
      </c>
      <c r="AC84" s="95">
        <f t="array" ref="AC84">_xlfn.LET(
_xlpm.rango, INDIRECT("E!$C$" &amp; $BA$8 &amp; ":$DR$" &amp; $BA$9),
_xlpm.col, AC$72+$D83*10,
INDEX(_xlpm.rango,$BA$4-3,_xlpm.col) +
INDEX(_xlpm.rango,$BA$4-2,_xlpm.col) +
INDEX(_xlpm.rango,$BA$4-1,_xlpm.col) +
INDEX(_xlpm.rango,$BA$4, _xlpm.col)
)</f>
        <v/>
      </c>
      <c r="AD84" s="95">
        <f t="array" ref="AD84">_xlfn.LET(
_xlpm.rango, INDIRECT("E!$C$" &amp; $BA$8 &amp; ":$DR$" &amp; $BA$9),
_xlpm.col, AD$72+$D83*10,
INDEX(_xlpm.rango,$BA$4-3,_xlpm.col) +
INDEX(_xlpm.rango,$BA$4-2,_xlpm.col) +
INDEX(_xlpm.rango,$BA$4-1,_xlpm.col) +
INDEX(_xlpm.rango,$BA$4, _xlpm.col)
)</f>
        <v/>
      </c>
      <c r="AE84" s="95">
        <f t="array" ref="AE84">_xlfn.LET(
_xlpm.rango, INDIRECT("E!$C$" &amp; $BA$8 &amp; ":$DR$" &amp; $BA$9),
_xlpm.col, AE$72+$D83*10,
INDEX(_xlpm.rango,$BA$4-3,_xlpm.col) +
INDEX(_xlpm.rango,$BA$4-2,_xlpm.col) +
INDEX(_xlpm.rango,$BA$4-1,_xlpm.col) +
INDEX(_xlpm.rango,$BA$4, _xlpm.col)
)</f>
        <v/>
      </c>
      <c r="AF84" s="95">
        <f t="array" ref="AF84">_xlfn.LET(
_xlpm.rango, INDIRECT("E!$C$" &amp; $BA$8 &amp; ":$DR$" &amp; $BA$9),
_xlpm.col, AF$72+$D83*10,
INDEX(_xlpm.rango,$BA$4-3,_xlpm.col) +
INDEX(_xlpm.rango,$BA$4-2,_xlpm.col) +
INDEX(_xlpm.rango,$BA$4-1,_xlpm.col) +
INDEX(_xlpm.rango,$BA$4, _xlpm.col)
)</f>
        <v/>
      </c>
      <c r="AG84" s="95">
        <f t="array" ref="AG84">_xlfn.LET(
_xlpm.rango, INDIRECT("E!$C$" &amp; $BA$8 &amp; ":$DR$" &amp; $BA$9),
_xlpm.col, AG$72+$D83*10,
INDEX(_xlpm.rango,$BA$4-3,_xlpm.col) +
INDEX(_xlpm.rango,$BA$4-2,_xlpm.col) +
INDEX(_xlpm.rango,$BA$4-1,_xlpm.col) +
INDEX(_xlpm.rango,$BA$4, _xlpm.col)
)</f>
        <v/>
      </c>
      <c r="AH84" s="95">
        <f t="array" ref="AH84">_xlfn.LET(
_xlpm.rango, INDIRECT("E!$C$" &amp; $BA$8 &amp; ":$DR$" &amp; $BA$9),
_xlpm.col, AH$72+$D83*10,
INDEX(_xlpm.rango,$BA$4-3,_xlpm.col) +
INDEX(_xlpm.rango,$BA$4-2,_xlpm.col) +
INDEX(_xlpm.rango,$BA$4-1,_xlpm.col) +
INDEX(_xlpm.rango,$BA$4, _xlpm.col)
)</f>
        <v/>
      </c>
      <c r="AI84" s="96">
        <f t="array" ref="AI84">_xlfn.LET(
_xlpm.rango, INDIRECT("E!$C$" &amp; $BA$8 &amp; ":$DR$" &amp; $BA$9),
_xlpm.col, AI$72+$D83*10,
INDEX(_xlpm.rango,$BA$4-3,_xlpm.col) +
INDEX(_xlpm.rango,$BA$4-2,_xlpm.col) +
INDEX(_xlpm.rango,$BA$4-1,_xlpm.col) +
INDEX(_xlpm.rango,$BA$4, _xlpm.col)
)</f>
        <v/>
      </c>
      <c r="AJ84" s="95">
        <f t="array" ref="AJ84">_xlfn.LET(
_xlpm.rango, INDIRECT("E!$C$" &amp; $BA$8 &amp; ":$DR$" &amp; $BA$9),
_xlpm.col, AJ$72+$D83*10,
INDEX(_xlpm.rango,$BA$4-3,_xlpm.col) +
INDEX(_xlpm.rango,$BA$4-2,_xlpm.col) +
INDEX(_xlpm.rango,$BA$4-1,_xlpm.col) +
INDEX(_xlpm.rango,$BA$4, _xlpm.col)
)</f>
        <v/>
      </c>
      <c r="AK84" s="95">
        <f t="array" ref="AK84">_xlfn.LET(
_xlpm.rango, INDIRECT("E!$C$" &amp; $BA$8 &amp; ":$DR$" &amp; $BA$9),
_xlpm.col, AK$72+$D83*10,
INDEX(_xlpm.rango,$BA$4-3,_xlpm.col) +
INDEX(_xlpm.rango,$BA$4-2,_xlpm.col) +
INDEX(_xlpm.rango,$BA$4-1,_xlpm.col) +
INDEX(_xlpm.rango,$BA$4, _xlpm.col)
)</f>
        <v/>
      </c>
      <c r="AL84" s="95">
        <f t="array" ref="AL84">_xlfn.LET(
_xlpm.rango, INDIRECT("E!$C$" &amp; $BA$8 &amp; ":$DR$" &amp; $BA$9),
_xlpm.col, AL$72+$D83*10,
INDEX(_xlpm.rango,$BA$4-3,_xlpm.col) +
INDEX(_xlpm.rango,$BA$4-2,_xlpm.col) +
INDEX(_xlpm.rango,$BA$4-1,_xlpm.col) +
INDEX(_xlpm.rango,$BA$4, _xlpm.col)
)</f>
        <v/>
      </c>
      <c r="AM84" s="95">
        <f t="array" ref="AM84">_xlfn.LET(
_xlpm.rango, INDIRECT("E!$C$" &amp; $BA$8 &amp; ":$DR$" &amp; $BA$9),
_xlpm.col, AM$72+$D83*10,
INDEX(_xlpm.rango,$BA$4-3,_xlpm.col) +
INDEX(_xlpm.rango,$BA$4-2,_xlpm.col) +
INDEX(_xlpm.rango,$BA$4-1,_xlpm.col) +
INDEX(_xlpm.rango,$BA$4, _xlpm.col)
)</f>
        <v/>
      </c>
      <c r="AN84" s="95">
        <f t="array" ref="AN84">_xlfn.LET(
_xlpm.rango, INDIRECT("E!$C$" &amp; $BA$8 &amp; ":$DR$" &amp; $BA$9),
_xlpm.col, AN$72+$D83*10,
INDEX(_xlpm.rango,$BA$4-3,_xlpm.col) +
INDEX(_xlpm.rango,$BA$4-2,_xlpm.col) +
INDEX(_xlpm.rango,$BA$4-1,_xlpm.col) +
INDEX(_xlpm.rango,$BA$4, _xlpm.col)
)</f>
        <v/>
      </c>
      <c r="AO84" s="95">
        <f t="array" ref="AO84">_xlfn.LET(
_xlpm.rango, INDIRECT("E!$C$" &amp; $BA$8 &amp; ":$DR$" &amp; $BA$9),
_xlpm.col, AO$72+$D83*10,
INDEX(_xlpm.rango,$BA$4-3,_xlpm.col) +
INDEX(_xlpm.rango,$BA$4-2,_xlpm.col) +
INDEX(_xlpm.rango,$BA$4-1,_xlpm.col) +
INDEX(_xlpm.rango,$BA$4, _xlpm.col)
)</f>
        <v/>
      </c>
      <c r="AP84" s="95">
        <f t="array" ref="AP84">_xlfn.LET(
_xlpm.rango, INDIRECT("E!$C$" &amp; $BA$8 &amp; ":$DR$" &amp; $BA$9),
_xlpm.col, AP$72+$D83*10,
INDEX(_xlpm.rango,$BA$4-3,_xlpm.col) +
INDEX(_xlpm.rango,$BA$4-2,_xlpm.col) +
INDEX(_xlpm.rango,$BA$4-1,_xlpm.col) +
INDEX(_xlpm.rango,$BA$4, _xlpm.col)
)</f>
        <v/>
      </c>
      <c r="AQ84" s="95">
        <f t="array" ref="AQ84">_xlfn.LET(
_xlpm.rango, INDIRECT("E!$C$" &amp; $BA$8 &amp; ":$DR$" &amp; $BA$9),
_xlpm.col, AQ$72+$D83*10,
INDEX(_xlpm.rango,$BA$4-3,_xlpm.col) +
INDEX(_xlpm.rango,$BA$4-2,_xlpm.col) +
INDEX(_xlpm.rango,$BA$4-1,_xlpm.col) +
INDEX(_xlpm.rango,$BA$4, _xlpm.col)
)</f>
        <v/>
      </c>
      <c r="AR84" s="95">
        <f t="array" ref="AR84">_xlfn.LET(
_xlpm.rango, INDIRECT("E!$C$" &amp; $BA$8 &amp; ":$DR$" &amp; $BA$9),
_xlpm.col, AR$72+$D83*10,
INDEX(_xlpm.rango,$BA$4-3,_xlpm.col) +
INDEX(_xlpm.rango,$BA$4-2,_xlpm.col) +
INDEX(_xlpm.rango,$BA$4-1,_xlpm.col) +
INDEX(_xlpm.rango,$BA$4, _xlpm.col)
)</f>
        <v/>
      </c>
      <c r="AS84" s="112">
        <f t="array" ref="AS84">_xlfn.LET(
_xlpm.rango, INDIRECT("E!$C$" &amp; $BA$8 &amp; ":$DR$" &amp; $BA$9),
_xlpm.col, AS$72+$D83*10,
INDEX(_xlpm.rango,$BA$4-3,_xlpm.col) +
INDEX(_xlpm.rango,$BA$4-2,_xlpm.col) +
INDEX(_xlpm.rango,$BA$4-1,_xlpm.col) +
INDEX(_xlpm.rango,$BA$4, _xlpm.col)
)</f>
        <v/>
      </c>
      <c r="AT84" s="118">
        <f>SUM(F84:AS84)</f>
        <v/>
      </c>
      <c r="AU84" s="120">
        <f>AT84/$AT$88</f>
        <v/>
      </c>
    </row>
    <row r="85">
      <c r="D85" t="n">
        <v>10</v>
      </c>
      <c r="E85" s="106">
        <f>Inicio!V13</f>
        <v/>
      </c>
      <c r="F85" s="100">
        <f t="array" ref="F85">_xlfn.LET(
_xlpm.rango, INDIRECT("N!$C$" &amp; $BA$8 &amp; ":$DR$" &amp; $BA$9),
_xlpm.col, F$72+$D84*10,
INDEX(_xlpm.rango,$BA$4-3,_xlpm.col) +
INDEX(_xlpm.rango,$BA$4-2,_xlpm.col) +
INDEX(_xlpm.rango,$BA$4-1,_xlpm.col) +
INDEX(_xlpm.rango,$BA$4, _xlpm.col)
)</f>
        <v/>
      </c>
      <c r="G85" s="95">
        <f t="array" ref="G85">_xlfn.LET(
_xlpm.rango, INDIRECT("N!$C$" &amp; $BA$8 &amp; ":$DR$" &amp; $BA$9),
_xlpm.col, G$72+$D84*10,
INDEX(_xlpm.rango,$BA$4-3,_xlpm.col) +
INDEX(_xlpm.rango,$BA$4-2,_xlpm.col) +
INDEX(_xlpm.rango,$BA$4-1,_xlpm.col) +
INDEX(_xlpm.rango,$BA$4, _xlpm.col)
)</f>
        <v/>
      </c>
      <c r="H85" s="95">
        <f t="array" ref="H85">_xlfn.LET(
_xlpm.rango, INDIRECT("N!$C$" &amp; $BA$8 &amp; ":$DR$" &amp; $BA$9),
_xlpm.col, H$72+$D84*10,
INDEX(_xlpm.rango,$BA$4-3,_xlpm.col) +
INDEX(_xlpm.rango,$BA$4-2,_xlpm.col) +
INDEX(_xlpm.rango,$BA$4-1,_xlpm.col) +
INDEX(_xlpm.rango,$BA$4, _xlpm.col)
)</f>
        <v/>
      </c>
      <c r="I85" s="95">
        <f t="array" ref="I85">_xlfn.LET(
_xlpm.rango, INDIRECT("N!$C$" &amp; $BA$8 &amp; ":$DR$" &amp; $BA$9),
_xlpm.col, I$72+$D84*10,
INDEX(_xlpm.rango,$BA$4-3,_xlpm.col) +
INDEX(_xlpm.rango,$BA$4-2,_xlpm.col) +
INDEX(_xlpm.rango,$BA$4-1,_xlpm.col) +
INDEX(_xlpm.rango,$BA$4, _xlpm.col)
)</f>
        <v/>
      </c>
      <c r="J85" s="95">
        <f t="array" ref="J85">_xlfn.LET(
_xlpm.rango, INDIRECT("N!$C$" &amp; $BA$8 &amp; ":$DR$" &amp; $BA$9),
_xlpm.col, J$72+$D84*10,
INDEX(_xlpm.rango,$BA$4-3,_xlpm.col) +
INDEX(_xlpm.rango,$BA$4-2,_xlpm.col) +
INDEX(_xlpm.rango,$BA$4-1,_xlpm.col) +
INDEX(_xlpm.rango,$BA$4, _xlpm.col)
)</f>
        <v/>
      </c>
      <c r="K85" s="95">
        <f t="array" ref="K85">_xlfn.LET(
_xlpm.rango, INDIRECT("N!$C$" &amp; $BA$8 &amp; ":$DR$" &amp; $BA$9),
_xlpm.col, K$72+$D84*10,
INDEX(_xlpm.rango,$BA$4-3,_xlpm.col) +
INDEX(_xlpm.rango,$BA$4-2,_xlpm.col) +
INDEX(_xlpm.rango,$BA$4-1,_xlpm.col) +
INDEX(_xlpm.rango,$BA$4, _xlpm.col)
)</f>
        <v/>
      </c>
      <c r="L85" s="95">
        <f t="array" ref="L85">_xlfn.LET(
_xlpm.rango, INDIRECT("N!$C$" &amp; $BA$8 &amp; ":$DR$" &amp; $BA$9),
_xlpm.col, L$72+$D84*10,
INDEX(_xlpm.rango,$BA$4-3,_xlpm.col) +
INDEX(_xlpm.rango,$BA$4-2,_xlpm.col) +
INDEX(_xlpm.rango,$BA$4-1,_xlpm.col) +
INDEX(_xlpm.rango,$BA$4, _xlpm.col)
)</f>
        <v/>
      </c>
      <c r="M85" s="95">
        <f t="array" ref="M85">_xlfn.LET(
_xlpm.rango, INDIRECT("N!$C$" &amp; $BA$8 &amp; ":$DR$" &amp; $BA$9),
_xlpm.col, M$72+$D84*10,
INDEX(_xlpm.rango,$BA$4-3,_xlpm.col) +
INDEX(_xlpm.rango,$BA$4-2,_xlpm.col) +
INDEX(_xlpm.rango,$BA$4-1,_xlpm.col) +
INDEX(_xlpm.rango,$BA$4, _xlpm.col)
)</f>
        <v/>
      </c>
      <c r="N85" s="95">
        <f t="array" ref="N85">_xlfn.LET(
_xlpm.rango, INDIRECT("N!$C$" &amp; $BA$8 &amp; ":$DR$" &amp; $BA$9),
_xlpm.col, N$72+$D84*10,
INDEX(_xlpm.rango,$BA$4-3,_xlpm.col) +
INDEX(_xlpm.rango,$BA$4-2,_xlpm.col) +
INDEX(_xlpm.rango,$BA$4-1,_xlpm.col) +
INDEX(_xlpm.rango,$BA$4, _xlpm.col)
)</f>
        <v/>
      </c>
      <c r="O85" s="96">
        <f t="array" ref="O85">_xlfn.LET(
_xlpm.rango, INDIRECT("N!$C$" &amp; $BA$8 &amp; ":$DR$" &amp; $BA$9),
_xlpm.col, O$72+$D84*10,
INDEX(_xlpm.rango,$BA$4-3,_xlpm.col) +
INDEX(_xlpm.rango,$BA$4-2,_xlpm.col) +
INDEX(_xlpm.rango,$BA$4-1,_xlpm.col) +
INDEX(_xlpm.rango,$BA$4, _xlpm.col)
)</f>
        <v/>
      </c>
      <c r="P85" s="95">
        <f t="array" ref="P85">_xlfn.LET(
_xlpm.rango, INDIRECT("S!$C$" &amp; $BA$8 &amp; ":$DR$" &amp; $BA$9),
_xlpm.col, P$72+$D84*10,
INDEX(_xlpm.rango,$BA$4-3,_xlpm.col) +
INDEX(_xlpm.rango,$BA$4-2,_xlpm.col) +
INDEX(_xlpm.rango,$BA$4-1,_xlpm.col) +
INDEX(_xlpm.rango,$BA$4, _xlpm.col)
)</f>
        <v/>
      </c>
      <c r="Q85" s="95">
        <f t="array" ref="Q85">_xlfn.LET(
_xlpm.rango, INDIRECT("S!$C$" &amp; $BA$8 &amp; ":$DR$" &amp; $BA$9),
_xlpm.col, Q$72+$D84*10,
INDEX(_xlpm.rango,$BA$4-3,_xlpm.col) +
INDEX(_xlpm.rango,$BA$4-2,_xlpm.col) +
INDEX(_xlpm.rango,$BA$4-1,_xlpm.col) +
INDEX(_xlpm.rango,$BA$4, _xlpm.col)
)</f>
        <v/>
      </c>
      <c r="R85" s="95">
        <f t="array" ref="R85">_xlfn.LET(
_xlpm.rango, INDIRECT("S!$C$" &amp; $BA$8 &amp; ":$DR$" &amp; $BA$9),
_xlpm.col, R$72+$D84*10,
INDEX(_xlpm.rango,$BA$4-3,_xlpm.col) +
INDEX(_xlpm.rango,$BA$4-2,_xlpm.col) +
INDEX(_xlpm.rango,$BA$4-1,_xlpm.col) +
INDEX(_xlpm.rango,$BA$4, _xlpm.col)
)</f>
        <v/>
      </c>
      <c r="S85" s="95">
        <f t="array" ref="S85">_xlfn.LET(
_xlpm.rango, INDIRECT("S!$C$" &amp; $BA$8 &amp; ":$DR$" &amp; $BA$9),
_xlpm.col, S$72+$D84*10,
INDEX(_xlpm.rango,$BA$4-3,_xlpm.col) +
INDEX(_xlpm.rango,$BA$4-2,_xlpm.col) +
INDEX(_xlpm.rango,$BA$4-1,_xlpm.col) +
INDEX(_xlpm.rango,$BA$4, _xlpm.col)
)</f>
        <v/>
      </c>
      <c r="T85" s="95">
        <f t="array" ref="T85">_xlfn.LET(
_xlpm.rango, INDIRECT("S!$C$" &amp; $BA$8 &amp; ":$DR$" &amp; $BA$9),
_xlpm.col, T$72+$D84*10,
INDEX(_xlpm.rango,$BA$4-3,_xlpm.col) +
INDEX(_xlpm.rango,$BA$4-2,_xlpm.col) +
INDEX(_xlpm.rango,$BA$4-1,_xlpm.col) +
INDEX(_xlpm.rango,$BA$4, _xlpm.col)
)</f>
        <v/>
      </c>
      <c r="U85" s="95">
        <f t="array" ref="U85">_xlfn.LET(
_xlpm.rango, INDIRECT("S!$C$" &amp; $BA$8 &amp; ":$DR$" &amp; $BA$9),
_xlpm.col, U$72+$D84*10,
INDEX(_xlpm.rango,$BA$4-3,_xlpm.col) +
INDEX(_xlpm.rango,$BA$4-2,_xlpm.col) +
INDEX(_xlpm.rango,$BA$4-1,_xlpm.col) +
INDEX(_xlpm.rango,$BA$4, _xlpm.col)
)</f>
        <v/>
      </c>
      <c r="V85" s="95">
        <f t="array" ref="V85">_xlfn.LET(
_xlpm.rango, INDIRECT("S!$C$" &amp; $BA$8 &amp; ":$DR$" &amp; $BA$9),
_xlpm.col, V$72+$D84*10,
INDEX(_xlpm.rango,$BA$4-3,_xlpm.col) +
INDEX(_xlpm.rango,$BA$4-2,_xlpm.col) +
INDEX(_xlpm.rango,$BA$4-1,_xlpm.col) +
INDEX(_xlpm.rango,$BA$4, _xlpm.col)
)</f>
        <v/>
      </c>
      <c r="W85" s="95">
        <f t="array" ref="W85">_xlfn.LET(
_xlpm.rango, INDIRECT("S!$C$" &amp; $BA$8 &amp; ":$DR$" &amp; $BA$9),
_xlpm.col, W$72+$D84*10,
INDEX(_xlpm.rango,$BA$4-3,_xlpm.col) +
INDEX(_xlpm.rango,$BA$4-2,_xlpm.col) +
INDEX(_xlpm.rango,$BA$4-1,_xlpm.col) +
INDEX(_xlpm.rango,$BA$4, _xlpm.col)
)</f>
        <v/>
      </c>
      <c r="X85" s="95">
        <f t="array" ref="X85">_xlfn.LET(
_xlpm.rango, INDIRECT("S!$C$" &amp; $BA$8 &amp; ":$DR$" &amp; $BA$9),
_xlpm.col, X$72+$D84*10,
INDEX(_xlpm.rango,$BA$4-3,_xlpm.col) +
INDEX(_xlpm.rango,$BA$4-2,_xlpm.col) +
INDEX(_xlpm.rango,$BA$4-1,_xlpm.col) +
INDEX(_xlpm.rango,$BA$4, _xlpm.col)
)</f>
        <v/>
      </c>
      <c r="Y85" s="95">
        <f t="array" ref="Y85">_xlfn.LET(
_xlpm.rango, INDIRECT("S!$C$" &amp; $BA$8 &amp; ":$DR$" &amp; $BA$9),
_xlpm.col, Y$72+$D84*10,
INDEX(_xlpm.rango,$BA$4-3,_xlpm.col) +
INDEX(_xlpm.rango,$BA$4-2,_xlpm.col) +
INDEX(_xlpm.rango,$BA$4-1,_xlpm.col) +
INDEX(_xlpm.rango,$BA$4, _xlpm.col)
)</f>
        <v/>
      </c>
      <c r="Z85" s="100">
        <f t="array" ref="Z85">_xlfn.LET(
_xlpm.rango, INDIRECT("E!$C$" &amp; $BA$8 &amp; ":$DR$" &amp; $BA$9),
_xlpm.col, Z$72+$D84*10,
INDEX(_xlpm.rango,$BA$4-3,_xlpm.col) +
INDEX(_xlpm.rango,$BA$4-2,_xlpm.col) +
INDEX(_xlpm.rango,$BA$4-1,_xlpm.col) +
INDEX(_xlpm.rango,$BA$4, _xlpm.col)
)</f>
        <v/>
      </c>
      <c r="AA85" s="95">
        <f t="array" ref="AA85">_xlfn.LET(
_xlpm.rango, INDIRECT("E!$C$" &amp; $BA$8 &amp; ":$DR$" &amp; $BA$9),
_xlpm.col, AA$72+$D84*10,
INDEX(_xlpm.rango,$BA$4-3,_xlpm.col) +
INDEX(_xlpm.rango,$BA$4-2,_xlpm.col) +
INDEX(_xlpm.rango,$BA$4-1,_xlpm.col) +
INDEX(_xlpm.rango,$BA$4, _xlpm.col)
)</f>
        <v/>
      </c>
      <c r="AB85" s="95">
        <f t="array" ref="AB85">_xlfn.LET(
_xlpm.rango, INDIRECT("E!$C$" &amp; $BA$8 &amp; ":$DR$" &amp; $BA$9),
_xlpm.col, AB$72+$D84*10,
INDEX(_xlpm.rango,$BA$4-3,_xlpm.col) +
INDEX(_xlpm.rango,$BA$4-2,_xlpm.col) +
INDEX(_xlpm.rango,$BA$4-1,_xlpm.col) +
INDEX(_xlpm.rango,$BA$4, _xlpm.col)
)</f>
        <v/>
      </c>
      <c r="AC85" s="95">
        <f t="array" ref="AC85">_xlfn.LET(
_xlpm.rango, INDIRECT("E!$C$" &amp; $BA$8 &amp; ":$DR$" &amp; $BA$9),
_xlpm.col, AC$72+$D84*10,
INDEX(_xlpm.rango,$BA$4-3,_xlpm.col) +
INDEX(_xlpm.rango,$BA$4-2,_xlpm.col) +
INDEX(_xlpm.rango,$BA$4-1,_xlpm.col) +
INDEX(_xlpm.rango,$BA$4, _xlpm.col)
)</f>
        <v/>
      </c>
      <c r="AD85" s="95">
        <f t="array" ref="AD85">_xlfn.LET(
_xlpm.rango, INDIRECT("E!$C$" &amp; $BA$8 &amp; ":$DR$" &amp; $BA$9),
_xlpm.col, AD$72+$D84*10,
INDEX(_xlpm.rango,$BA$4-3,_xlpm.col) +
INDEX(_xlpm.rango,$BA$4-2,_xlpm.col) +
INDEX(_xlpm.rango,$BA$4-1,_xlpm.col) +
INDEX(_xlpm.rango,$BA$4, _xlpm.col)
)</f>
        <v/>
      </c>
      <c r="AE85" s="95">
        <f t="array" ref="AE85">_xlfn.LET(
_xlpm.rango, INDIRECT("E!$C$" &amp; $BA$8 &amp; ":$DR$" &amp; $BA$9),
_xlpm.col, AE$72+$D84*10,
INDEX(_xlpm.rango,$BA$4-3,_xlpm.col) +
INDEX(_xlpm.rango,$BA$4-2,_xlpm.col) +
INDEX(_xlpm.rango,$BA$4-1,_xlpm.col) +
INDEX(_xlpm.rango,$BA$4, _xlpm.col)
)</f>
        <v/>
      </c>
      <c r="AF85" s="95">
        <f t="array" ref="AF85">_xlfn.LET(
_xlpm.rango, INDIRECT("E!$C$" &amp; $BA$8 &amp; ":$DR$" &amp; $BA$9),
_xlpm.col, AF$72+$D84*10,
INDEX(_xlpm.rango,$BA$4-3,_xlpm.col) +
INDEX(_xlpm.rango,$BA$4-2,_xlpm.col) +
INDEX(_xlpm.rango,$BA$4-1,_xlpm.col) +
INDEX(_xlpm.rango,$BA$4, _xlpm.col)
)</f>
        <v/>
      </c>
      <c r="AG85" s="95">
        <f t="array" ref="AG85">_xlfn.LET(
_xlpm.rango, INDIRECT("E!$C$" &amp; $BA$8 &amp; ":$DR$" &amp; $BA$9),
_xlpm.col, AG$72+$D84*10,
INDEX(_xlpm.rango,$BA$4-3,_xlpm.col) +
INDEX(_xlpm.rango,$BA$4-2,_xlpm.col) +
INDEX(_xlpm.rango,$BA$4-1,_xlpm.col) +
INDEX(_xlpm.rango,$BA$4, _xlpm.col)
)</f>
        <v/>
      </c>
      <c r="AH85" s="95">
        <f t="array" ref="AH85">_xlfn.LET(
_xlpm.rango, INDIRECT("E!$C$" &amp; $BA$8 &amp; ":$DR$" &amp; $BA$9),
_xlpm.col, AH$72+$D84*10,
INDEX(_xlpm.rango,$BA$4-3,_xlpm.col) +
INDEX(_xlpm.rango,$BA$4-2,_xlpm.col) +
INDEX(_xlpm.rango,$BA$4-1,_xlpm.col) +
INDEX(_xlpm.rango,$BA$4, _xlpm.col)
)</f>
        <v/>
      </c>
      <c r="AI85" s="96">
        <f t="array" ref="AI85">_xlfn.LET(
_xlpm.rango, INDIRECT("E!$C$" &amp; $BA$8 &amp; ":$DR$" &amp; $BA$9),
_xlpm.col, AI$72+$D84*10,
INDEX(_xlpm.rango,$BA$4-3,_xlpm.col) +
INDEX(_xlpm.rango,$BA$4-2,_xlpm.col) +
INDEX(_xlpm.rango,$BA$4-1,_xlpm.col) +
INDEX(_xlpm.rango,$BA$4, _xlpm.col)
)</f>
        <v/>
      </c>
      <c r="AJ85" s="95">
        <f t="array" ref="AJ85">_xlfn.LET(
_xlpm.rango, INDIRECT("E!$C$" &amp; $BA$8 &amp; ":$DR$" &amp; $BA$9),
_xlpm.col, AJ$72+$D84*10,
INDEX(_xlpm.rango,$BA$4-3,_xlpm.col) +
INDEX(_xlpm.rango,$BA$4-2,_xlpm.col) +
INDEX(_xlpm.rango,$BA$4-1,_xlpm.col) +
INDEX(_xlpm.rango,$BA$4, _xlpm.col)
)</f>
        <v/>
      </c>
      <c r="AK85" s="95">
        <f t="array" ref="AK85">_xlfn.LET(
_xlpm.rango, INDIRECT("E!$C$" &amp; $BA$8 &amp; ":$DR$" &amp; $BA$9),
_xlpm.col, AK$72+$D84*10,
INDEX(_xlpm.rango,$BA$4-3,_xlpm.col) +
INDEX(_xlpm.rango,$BA$4-2,_xlpm.col) +
INDEX(_xlpm.rango,$BA$4-1,_xlpm.col) +
INDEX(_xlpm.rango,$BA$4, _xlpm.col)
)</f>
        <v/>
      </c>
      <c r="AL85" s="95">
        <f t="array" ref="AL85">_xlfn.LET(
_xlpm.rango, INDIRECT("E!$C$" &amp; $BA$8 &amp; ":$DR$" &amp; $BA$9),
_xlpm.col, AL$72+$D84*10,
INDEX(_xlpm.rango,$BA$4-3,_xlpm.col) +
INDEX(_xlpm.rango,$BA$4-2,_xlpm.col) +
INDEX(_xlpm.rango,$BA$4-1,_xlpm.col) +
INDEX(_xlpm.rango,$BA$4, _xlpm.col)
)</f>
        <v/>
      </c>
      <c r="AM85" s="95">
        <f t="array" ref="AM85">_xlfn.LET(
_xlpm.rango, INDIRECT("E!$C$" &amp; $BA$8 &amp; ":$DR$" &amp; $BA$9),
_xlpm.col, AM$72+$D84*10,
INDEX(_xlpm.rango,$BA$4-3,_xlpm.col) +
INDEX(_xlpm.rango,$BA$4-2,_xlpm.col) +
INDEX(_xlpm.rango,$BA$4-1,_xlpm.col) +
INDEX(_xlpm.rango,$BA$4, _xlpm.col)
)</f>
        <v/>
      </c>
      <c r="AN85" s="95">
        <f t="array" ref="AN85">_xlfn.LET(
_xlpm.rango, INDIRECT("E!$C$" &amp; $BA$8 &amp; ":$DR$" &amp; $BA$9),
_xlpm.col, AN$72+$D84*10,
INDEX(_xlpm.rango,$BA$4-3,_xlpm.col) +
INDEX(_xlpm.rango,$BA$4-2,_xlpm.col) +
INDEX(_xlpm.rango,$BA$4-1,_xlpm.col) +
INDEX(_xlpm.rango,$BA$4, _xlpm.col)
)</f>
        <v/>
      </c>
      <c r="AO85" s="95">
        <f t="array" ref="AO85">_xlfn.LET(
_xlpm.rango, INDIRECT("E!$C$" &amp; $BA$8 &amp; ":$DR$" &amp; $BA$9),
_xlpm.col, AO$72+$D84*10,
INDEX(_xlpm.rango,$BA$4-3,_xlpm.col) +
INDEX(_xlpm.rango,$BA$4-2,_xlpm.col) +
INDEX(_xlpm.rango,$BA$4-1,_xlpm.col) +
INDEX(_xlpm.rango,$BA$4, _xlpm.col)
)</f>
        <v/>
      </c>
      <c r="AP85" s="95">
        <f t="array" ref="AP85">_xlfn.LET(
_xlpm.rango, INDIRECT("E!$C$" &amp; $BA$8 &amp; ":$DR$" &amp; $BA$9),
_xlpm.col, AP$72+$D84*10,
INDEX(_xlpm.rango,$BA$4-3,_xlpm.col) +
INDEX(_xlpm.rango,$BA$4-2,_xlpm.col) +
INDEX(_xlpm.rango,$BA$4-1,_xlpm.col) +
INDEX(_xlpm.rango,$BA$4, _xlpm.col)
)</f>
        <v/>
      </c>
      <c r="AQ85" s="95">
        <f t="array" ref="AQ85">_xlfn.LET(
_xlpm.rango, INDIRECT("E!$C$" &amp; $BA$8 &amp; ":$DR$" &amp; $BA$9),
_xlpm.col, AQ$72+$D84*10,
INDEX(_xlpm.rango,$BA$4-3,_xlpm.col) +
INDEX(_xlpm.rango,$BA$4-2,_xlpm.col) +
INDEX(_xlpm.rango,$BA$4-1,_xlpm.col) +
INDEX(_xlpm.rango,$BA$4, _xlpm.col)
)</f>
        <v/>
      </c>
      <c r="AR85" s="95">
        <f t="array" ref="AR85">_xlfn.LET(
_xlpm.rango, INDIRECT("E!$C$" &amp; $BA$8 &amp; ":$DR$" &amp; $BA$9),
_xlpm.col, AR$72+$D84*10,
INDEX(_xlpm.rango,$BA$4-3,_xlpm.col) +
INDEX(_xlpm.rango,$BA$4-2,_xlpm.col) +
INDEX(_xlpm.rango,$BA$4-1,_xlpm.col) +
INDEX(_xlpm.rango,$BA$4, _xlpm.col)
)</f>
        <v/>
      </c>
      <c r="AS85" s="112">
        <f t="array" ref="AS85">_xlfn.LET(
_xlpm.rango, INDIRECT("E!$C$" &amp; $BA$8 &amp; ":$DR$" &amp; $BA$9),
_xlpm.col, AS$72+$D84*10,
INDEX(_xlpm.rango,$BA$4-3,_xlpm.col) +
INDEX(_xlpm.rango,$BA$4-2,_xlpm.col) +
INDEX(_xlpm.rango,$BA$4-1,_xlpm.col) +
INDEX(_xlpm.rango,$BA$4, _xlpm.col)
)</f>
        <v/>
      </c>
      <c r="AT85" s="118">
        <f>SUM(F85:AS85)</f>
        <v/>
      </c>
      <c r="AU85" s="120">
        <f>AT85/$AT$88</f>
        <v/>
      </c>
    </row>
    <row r="86">
      <c r="D86" t="n">
        <v>11</v>
      </c>
      <c r="E86" s="106">
        <f>Inicio!V14</f>
        <v/>
      </c>
      <c r="F86" s="100">
        <f t="array" ref="F86">_xlfn.LET(
_xlpm.rango, INDIRECT("N!$C$" &amp; $BA$8 &amp; ":$DR$" &amp; $BA$9),
_xlpm.col, F$72+$D85*10,
INDEX(_xlpm.rango,$BA$4-3,_xlpm.col) +
INDEX(_xlpm.rango,$BA$4-2,_xlpm.col) +
INDEX(_xlpm.rango,$BA$4-1,_xlpm.col) +
INDEX(_xlpm.rango,$BA$4, _xlpm.col)
)</f>
        <v/>
      </c>
      <c r="G86" s="95">
        <f t="array" ref="G86">_xlfn.LET(
_xlpm.rango, INDIRECT("N!$C$" &amp; $BA$8 &amp; ":$DR$" &amp; $BA$9),
_xlpm.col, G$72+$D85*10,
INDEX(_xlpm.rango,$BA$4-3,_xlpm.col) +
INDEX(_xlpm.rango,$BA$4-2,_xlpm.col) +
INDEX(_xlpm.rango,$BA$4-1,_xlpm.col) +
INDEX(_xlpm.rango,$BA$4, _xlpm.col)
)</f>
        <v/>
      </c>
      <c r="H86" s="95">
        <f t="array" ref="H86">_xlfn.LET(
_xlpm.rango, INDIRECT("N!$C$" &amp; $BA$8 &amp; ":$DR$" &amp; $BA$9),
_xlpm.col, H$72+$D85*10,
INDEX(_xlpm.rango,$BA$4-3,_xlpm.col) +
INDEX(_xlpm.rango,$BA$4-2,_xlpm.col) +
INDEX(_xlpm.rango,$BA$4-1,_xlpm.col) +
INDEX(_xlpm.rango,$BA$4, _xlpm.col)
)</f>
        <v/>
      </c>
      <c r="I86" s="95">
        <f t="array" ref="I86">_xlfn.LET(
_xlpm.rango, INDIRECT("N!$C$" &amp; $BA$8 &amp; ":$DR$" &amp; $BA$9),
_xlpm.col, I$72+$D85*10,
INDEX(_xlpm.rango,$BA$4-3,_xlpm.col) +
INDEX(_xlpm.rango,$BA$4-2,_xlpm.col) +
INDEX(_xlpm.rango,$BA$4-1,_xlpm.col) +
INDEX(_xlpm.rango,$BA$4, _xlpm.col)
)</f>
        <v/>
      </c>
      <c r="J86" s="95">
        <f t="array" ref="J86">_xlfn.LET(
_xlpm.rango, INDIRECT("N!$C$" &amp; $BA$8 &amp; ":$DR$" &amp; $BA$9),
_xlpm.col, J$72+$D85*10,
INDEX(_xlpm.rango,$BA$4-3,_xlpm.col) +
INDEX(_xlpm.rango,$BA$4-2,_xlpm.col) +
INDEX(_xlpm.rango,$BA$4-1,_xlpm.col) +
INDEX(_xlpm.rango,$BA$4, _xlpm.col)
)</f>
        <v/>
      </c>
      <c r="K86" s="95">
        <f t="array" ref="K86">_xlfn.LET(
_xlpm.rango, INDIRECT("N!$C$" &amp; $BA$8 &amp; ":$DR$" &amp; $BA$9),
_xlpm.col, K$72+$D85*10,
INDEX(_xlpm.rango,$BA$4-3,_xlpm.col) +
INDEX(_xlpm.rango,$BA$4-2,_xlpm.col) +
INDEX(_xlpm.rango,$BA$4-1,_xlpm.col) +
INDEX(_xlpm.rango,$BA$4, _xlpm.col)
)</f>
        <v/>
      </c>
      <c r="L86" s="95">
        <f t="array" ref="L86">_xlfn.LET(
_xlpm.rango, INDIRECT("N!$C$" &amp; $BA$8 &amp; ":$DR$" &amp; $BA$9),
_xlpm.col, L$72+$D85*10,
INDEX(_xlpm.rango,$BA$4-3,_xlpm.col) +
INDEX(_xlpm.rango,$BA$4-2,_xlpm.col) +
INDEX(_xlpm.rango,$BA$4-1,_xlpm.col) +
INDEX(_xlpm.rango,$BA$4, _xlpm.col)
)</f>
        <v/>
      </c>
      <c r="M86" s="95">
        <f t="array" ref="M86">_xlfn.LET(
_xlpm.rango, INDIRECT("N!$C$" &amp; $BA$8 &amp; ":$DR$" &amp; $BA$9),
_xlpm.col, M$72+$D85*10,
INDEX(_xlpm.rango,$BA$4-3,_xlpm.col) +
INDEX(_xlpm.rango,$BA$4-2,_xlpm.col) +
INDEX(_xlpm.rango,$BA$4-1,_xlpm.col) +
INDEX(_xlpm.rango,$BA$4, _xlpm.col)
)</f>
        <v/>
      </c>
      <c r="N86" s="95">
        <f t="array" ref="N86">_xlfn.LET(
_xlpm.rango, INDIRECT("N!$C$" &amp; $BA$8 &amp; ":$DR$" &amp; $BA$9),
_xlpm.col, N$72+$D85*10,
INDEX(_xlpm.rango,$BA$4-3,_xlpm.col) +
INDEX(_xlpm.rango,$BA$4-2,_xlpm.col) +
INDEX(_xlpm.rango,$BA$4-1,_xlpm.col) +
INDEX(_xlpm.rango,$BA$4, _xlpm.col)
)</f>
        <v/>
      </c>
      <c r="O86" s="96">
        <f t="array" ref="O86">_xlfn.LET(
_xlpm.rango, INDIRECT("N!$C$" &amp; $BA$8 &amp; ":$DR$" &amp; $BA$9),
_xlpm.col, O$72+$D85*10,
INDEX(_xlpm.rango,$BA$4-3,_xlpm.col) +
INDEX(_xlpm.rango,$BA$4-2,_xlpm.col) +
INDEX(_xlpm.rango,$BA$4-1,_xlpm.col) +
INDEX(_xlpm.rango,$BA$4, _xlpm.col)
)</f>
        <v/>
      </c>
      <c r="P86" s="95">
        <f t="array" ref="P86">_xlfn.LET(
_xlpm.rango, INDIRECT("S!$C$" &amp; $BA$8 &amp; ":$DR$" &amp; $BA$9),
_xlpm.col, P$72+$D85*10,
INDEX(_xlpm.rango,$BA$4-3,_xlpm.col) +
INDEX(_xlpm.rango,$BA$4-2,_xlpm.col) +
INDEX(_xlpm.rango,$BA$4-1,_xlpm.col) +
INDEX(_xlpm.rango,$BA$4, _xlpm.col)
)</f>
        <v/>
      </c>
      <c r="Q86" s="95">
        <f t="array" ref="Q86">_xlfn.LET(
_xlpm.rango, INDIRECT("S!$C$" &amp; $BA$8 &amp; ":$DR$" &amp; $BA$9),
_xlpm.col, Q$72+$D85*10,
INDEX(_xlpm.rango,$BA$4-3,_xlpm.col) +
INDEX(_xlpm.rango,$BA$4-2,_xlpm.col) +
INDEX(_xlpm.rango,$BA$4-1,_xlpm.col) +
INDEX(_xlpm.rango,$BA$4, _xlpm.col)
)</f>
        <v/>
      </c>
      <c r="R86" s="95">
        <f t="array" ref="R86">_xlfn.LET(
_xlpm.rango, INDIRECT("S!$C$" &amp; $BA$8 &amp; ":$DR$" &amp; $BA$9),
_xlpm.col, R$72+$D85*10,
INDEX(_xlpm.rango,$BA$4-3,_xlpm.col) +
INDEX(_xlpm.rango,$BA$4-2,_xlpm.col) +
INDEX(_xlpm.rango,$BA$4-1,_xlpm.col) +
INDEX(_xlpm.rango,$BA$4, _xlpm.col)
)</f>
        <v/>
      </c>
      <c r="S86" s="95">
        <f t="array" ref="S86">_xlfn.LET(
_xlpm.rango, INDIRECT("S!$C$" &amp; $BA$8 &amp; ":$DR$" &amp; $BA$9),
_xlpm.col, S$72+$D85*10,
INDEX(_xlpm.rango,$BA$4-3,_xlpm.col) +
INDEX(_xlpm.rango,$BA$4-2,_xlpm.col) +
INDEX(_xlpm.rango,$BA$4-1,_xlpm.col) +
INDEX(_xlpm.rango,$BA$4, _xlpm.col)
)</f>
        <v/>
      </c>
      <c r="T86" s="95">
        <f t="array" ref="T86">_xlfn.LET(
_xlpm.rango, INDIRECT("S!$C$" &amp; $BA$8 &amp; ":$DR$" &amp; $BA$9),
_xlpm.col, T$72+$D85*10,
INDEX(_xlpm.rango,$BA$4-3,_xlpm.col) +
INDEX(_xlpm.rango,$BA$4-2,_xlpm.col) +
INDEX(_xlpm.rango,$BA$4-1,_xlpm.col) +
INDEX(_xlpm.rango,$BA$4, _xlpm.col)
)</f>
        <v/>
      </c>
      <c r="U86" s="95">
        <f t="array" ref="U86">_xlfn.LET(
_xlpm.rango, INDIRECT("S!$C$" &amp; $BA$8 &amp; ":$DR$" &amp; $BA$9),
_xlpm.col, U$72+$D85*10,
INDEX(_xlpm.rango,$BA$4-3,_xlpm.col) +
INDEX(_xlpm.rango,$BA$4-2,_xlpm.col) +
INDEX(_xlpm.rango,$BA$4-1,_xlpm.col) +
INDEX(_xlpm.rango,$BA$4, _xlpm.col)
)</f>
        <v/>
      </c>
      <c r="V86" s="95">
        <f t="array" ref="V86">_xlfn.LET(
_xlpm.rango, INDIRECT("S!$C$" &amp; $BA$8 &amp; ":$DR$" &amp; $BA$9),
_xlpm.col, V$72+$D85*10,
INDEX(_xlpm.rango,$BA$4-3,_xlpm.col) +
INDEX(_xlpm.rango,$BA$4-2,_xlpm.col) +
INDEX(_xlpm.rango,$BA$4-1,_xlpm.col) +
INDEX(_xlpm.rango,$BA$4, _xlpm.col)
)</f>
        <v/>
      </c>
      <c r="W86" s="95">
        <f t="array" ref="W86">_xlfn.LET(
_xlpm.rango, INDIRECT("S!$C$" &amp; $BA$8 &amp; ":$DR$" &amp; $BA$9),
_xlpm.col, W$72+$D85*10,
INDEX(_xlpm.rango,$BA$4-3,_xlpm.col) +
INDEX(_xlpm.rango,$BA$4-2,_xlpm.col) +
INDEX(_xlpm.rango,$BA$4-1,_xlpm.col) +
INDEX(_xlpm.rango,$BA$4, _xlpm.col)
)</f>
        <v/>
      </c>
      <c r="X86" s="95">
        <f t="array" ref="X86">_xlfn.LET(
_xlpm.rango, INDIRECT("S!$C$" &amp; $BA$8 &amp; ":$DR$" &amp; $BA$9),
_xlpm.col, X$72+$D85*10,
INDEX(_xlpm.rango,$BA$4-3,_xlpm.col) +
INDEX(_xlpm.rango,$BA$4-2,_xlpm.col) +
INDEX(_xlpm.rango,$BA$4-1,_xlpm.col) +
INDEX(_xlpm.rango,$BA$4, _xlpm.col)
)</f>
        <v/>
      </c>
      <c r="Y86" s="95">
        <f t="array" ref="Y86">_xlfn.LET(
_xlpm.rango, INDIRECT("S!$C$" &amp; $BA$8 &amp; ":$DR$" &amp; $BA$9),
_xlpm.col, Y$72+$D85*10,
INDEX(_xlpm.rango,$BA$4-3,_xlpm.col) +
INDEX(_xlpm.rango,$BA$4-2,_xlpm.col) +
INDEX(_xlpm.rango,$BA$4-1,_xlpm.col) +
INDEX(_xlpm.rango,$BA$4, _xlpm.col)
)</f>
        <v/>
      </c>
      <c r="Z86" s="100">
        <f t="array" ref="Z86">_xlfn.LET(
_xlpm.rango, INDIRECT("E!$C$" &amp; $BA$8 &amp; ":$DR$" &amp; $BA$9),
_xlpm.col, Z$72+$D85*10,
INDEX(_xlpm.rango,$BA$4-3,_xlpm.col) +
INDEX(_xlpm.rango,$BA$4-2,_xlpm.col) +
INDEX(_xlpm.rango,$BA$4-1,_xlpm.col) +
INDEX(_xlpm.rango,$BA$4, _xlpm.col)
)</f>
        <v/>
      </c>
      <c r="AA86" s="95">
        <f t="array" ref="AA86">_xlfn.LET(
_xlpm.rango, INDIRECT("E!$C$" &amp; $BA$8 &amp; ":$DR$" &amp; $BA$9),
_xlpm.col, AA$72+$D85*10,
INDEX(_xlpm.rango,$BA$4-3,_xlpm.col) +
INDEX(_xlpm.rango,$BA$4-2,_xlpm.col) +
INDEX(_xlpm.rango,$BA$4-1,_xlpm.col) +
INDEX(_xlpm.rango,$BA$4, _xlpm.col)
)</f>
        <v/>
      </c>
      <c r="AB86" s="95">
        <f t="array" ref="AB86">_xlfn.LET(
_xlpm.rango, INDIRECT("E!$C$" &amp; $BA$8 &amp; ":$DR$" &amp; $BA$9),
_xlpm.col, AB$72+$D85*10,
INDEX(_xlpm.rango,$BA$4-3,_xlpm.col) +
INDEX(_xlpm.rango,$BA$4-2,_xlpm.col) +
INDEX(_xlpm.rango,$BA$4-1,_xlpm.col) +
INDEX(_xlpm.rango,$BA$4, _xlpm.col)
)</f>
        <v/>
      </c>
      <c r="AC86" s="95">
        <f t="array" ref="AC86">_xlfn.LET(
_xlpm.rango, INDIRECT("E!$C$" &amp; $BA$8 &amp; ":$DR$" &amp; $BA$9),
_xlpm.col, AC$72+$D85*10,
INDEX(_xlpm.rango,$BA$4-3,_xlpm.col) +
INDEX(_xlpm.rango,$BA$4-2,_xlpm.col) +
INDEX(_xlpm.rango,$BA$4-1,_xlpm.col) +
INDEX(_xlpm.rango,$BA$4, _xlpm.col)
)</f>
        <v/>
      </c>
      <c r="AD86" s="95">
        <f t="array" ref="AD86">_xlfn.LET(
_xlpm.rango, INDIRECT("E!$C$" &amp; $BA$8 &amp; ":$DR$" &amp; $BA$9),
_xlpm.col, AD$72+$D85*10,
INDEX(_xlpm.rango,$BA$4-3,_xlpm.col) +
INDEX(_xlpm.rango,$BA$4-2,_xlpm.col) +
INDEX(_xlpm.rango,$BA$4-1,_xlpm.col) +
INDEX(_xlpm.rango,$BA$4, _xlpm.col)
)</f>
        <v/>
      </c>
      <c r="AE86" s="95">
        <f t="array" ref="AE86">_xlfn.LET(
_xlpm.rango, INDIRECT("E!$C$" &amp; $BA$8 &amp; ":$DR$" &amp; $BA$9),
_xlpm.col, AE$72+$D85*10,
INDEX(_xlpm.rango,$BA$4-3,_xlpm.col) +
INDEX(_xlpm.rango,$BA$4-2,_xlpm.col) +
INDEX(_xlpm.rango,$BA$4-1,_xlpm.col) +
INDEX(_xlpm.rango,$BA$4, _xlpm.col)
)</f>
        <v/>
      </c>
      <c r="AF86" s="95">
        <f t="array" ref="AF86">_xlfn.LET(
_xlpm.rango, INDIRECT("E!$C$" &amp; $BA$8 &amp; ":$DR$" &amp; $BA$9),
_xlpm.col, AF$72+$D85*10,
INDEX(_xlpm.rango,$BA$4-3,_xlpm.col) +
INDEX(_xlpm.rango,$BA$4-2,_xlpm.col) +
INDEX(_xlpm.rango,$BA$4-1,_xlpm.col) +
INDEX(_xlpm.rango,$BA$4, _xlpm.col)
)</f>
        <v/>
      </c>
      <c r="AG86" s="95">
        <f t="array" ref="AG86">_xlfn.LET(
_xlpm.rango, INDIRECT("E!$C$" &amp; $BA$8 &amp; ":$DR$" &amp; $BA$9),
_xlpm.col, AG$72+$D85*10,
INDEX(_xlpm.rango,$BA$4-3,_xlpm.col) +
INDEX(_xlpm.rango,$BA$4-2,_xlpm.col) +
INDEX(_xlpm.rango,$BA$4-1,_xlpm.col) +
INDEX(_xlpm.rango,$BA$4, _xlpm.col)
)</f>
        <v/>
      </c>
      <c r="AH86" s="95">
        <f t="array" ref="AH86">_xlfn.LET(
_xlpm.rango, INDIRECT("E!$C$" &amp; $BA$8 &amp; ":$DR$" &amp; $BA$9),
_xlpm.col, AH$72+$D85*10,
INDEX(_xlpm.rango,$BA$4-3,_xlpm.col) +
INDEX(_xlpm.rango,$BA$4-2,_xlpm.col) +
INDEX(_xlpm.rango,$BA$4-1,_xlpm.col) +
INDEX(_xlpm.rango,$BA$4, _xlpm.col)
)</f>
        <v/>
      </c>
      <c r="AI86" s="96">
        <f t="array" ref="AI86">_xlfn.LET(
_xlpm.rango, INDIRECT("E!$C$" &amp; $BA$8 &amp; ":$DR$" &amp; $BA$9),
_xlpm.col, AI$72+$D85*10,
INDEX(_xlpm.rango,$BA$4-3,_xlpm.col) +
INDEX(_xlpm.rango,$BA$4-2,_xlpm.col) +
INDEX(_xlpm.rango,$BA$4-1,_xlpm.col) +
INDEX(_xlpm.rango,$BA$4, _xlpm.col)
)</f>
        <v/>
      </c>
      <c r="AJ86" s="95">
        <f t="array" ref="AJ86">_xlfn.LET(
_xlpm.rango, INDIRECT("E!$C$" &amp; $BA$8 &amp; ":$DR$" &amp; $BA$9),
_xlpm.col, AJ$72+$D85*10,
INDEX(_xlpm.rango,$BA$4-3,_xlpm.col) +
INDEX(_xlpm.rango,$BA$4-2,_xlpm.col) +
INDEX(_xlpm.rango,$BA$4-1,_xlpm.col) +
INDEX(_xlpm.rango,$BA$4, _xlpm.col)
)</f>
        <v/>
      </c>
      <c r="AK86" s="95">
        <f t="array" ref="AK86">_xlfn.LET(
_xlpm.rango, INDIRECT("E!$C$" &amp; $BA$8 &amp; ":$DR$" &amp; $BA$9),
_xlpm.col, AK$72+$D85*10,
INDEX(_xlpm.rango,$BA$4-3,_xlpm.col) +
INDEX(_xlpm.rango,$BA$4-2,_xlpm.col) +
INDEX(_xlpm.rango,$BA$4-1,_xlpm.col) +
INDEX(_xlpm.rango,$BA$4, _xlpm.col)
)</f>
        <v/>
      </c>
      <c r="AL86" s="95">
        <f t="array" ref="AL86">_xlfn.LET(
_xlpm.rango, INDIRECT("E!$C$" &amp; $BA$8 &amp; ":$DR$" &amp; $BA$9),
_xlpm.col, AL$72+$D85*10,
INDEX(_xlpm.rango,$BA$4-3,_xlpm.col) +
INDEX(_xlpm.rango,$BA$4-2,_xlpm.col) +
INDEX(_xlpm.rango,$BA$4-1,_xlpm.col) +
INDEX(_xlpm.rango,$BA$4, _xlpm.col)
)</f>
        <v/>
      </c>
      <c r="AM86" s="95">
        <f t="array" ref="AM86">_xlfn.LET(
_xlpm.rango, INDIRECT("E!$C$" &amp; $BA$8 &amp; ":$DR$" &amp; $BA$9),
_xlpm.col, AM$72+$D85*10,
INDEX(_xlpm.rango,$BA$4-3,_xlpm.col) +
INDEX(_xlpm.rango,$BA$4-2,_xlpm.col) +
INDEX(_xlpm.rango,$BA$4-1,_xlpm.col) +
INDEX(_xlpm.rango,$BA$4, _xlpm.col)
)</f>
        <v/>
      </c>
      <c r="AN86" s="95">
        <f t="array" ref="AN86">_xlfn.LET(
_xlpm.rango, INDIRECT("E!$C$" &amp; $BA$8 &amp; ":$DR$" &amp; $BA$9),
_xlpm.col, AN$72+$D85*10,
INDEX(_xlpm.rango,$BA$4-3,_xlpm.col) +
INDEX(_xlpm.rango,$BA$4-2,_xlpm.col) +
INDEX(_xlpm.rango,$BA$4-1,_xlpm.col) +
INDEX(_xlpm.rango,$BA$4, _xlpm.col)
)</f>
        <v/>
      </c>
      <c r="AO86" s="95">
        <f t="array" ref="AO86">_xlfn.LET(
_xlpm.rango, INDIRECT("E!$C$" &amp; $BA$8 &amp; ":$DR$" &amp; $BA$9),
_xlpm.col, AO$72+$D85*10,
INDEX(_xlpm.rango,$BA$4-3,_xlpm.col) +
INDEX(_xlpm.rango,$BA$4-2,_xlpm.col) +
INDEX(_xlpm.rango,$BA$4-1,_xlpm.col) +
INDEX(_xlpm.rango,$BA$4, _xlpm.col)
)</f>
        <v/>
      </c>
      <c r="AP86" s="95">
        <f t="array" ref="AP86">_xlfn.LET(
_xlpm.rango, INDIRECT("E!$C$" &amp; $BA$8 &amp; ":$DR$" &amp; $BA$9),
_xlpm.col, AP$72+$D85*10,
INDEX(_xlpm.rango,$BA$4-3,_xlpm.col) +
INDEX(_xlpm.rango,$BA$4-2,_xlpm.col) +
INDEX(_xlpm.rango,$BA$4-1,_xlpm.col) +
INDEX(_xlpm.rango,$BA$4, _xlpm.col)
)</f>
        <v/>
      </c>
      <c r="AQ86" s="95">
        <f t="array" ref="AQ86">_xlfn.LET(
_xlpm.rango, INDIRECT("E!$C$" &amp; $BA$8 &amp; ":$DR$" &amp; $BA$9),
_xlpm.col, AQ$72+$D85*10,
INDEX(_xlpm.rango,$BA$4-3,_xlpm.col) +
INDEX(_xlpm.rango,$BA$4-2,_xlpm.col) +
INDEX(_xlpm.rango,$BA$4-1,_xlpm.col) +
INDEX(_xlpm.rango,$BA$4, _xlpm.col)
)</f>
        <v/>
      </c>
      <c r="AR86" s="95">
        <f t="array" ref="AR86">_xlfn.LET(
_xlpm.rango, INDIRECT("E!$C$" &amp; $BA$8 &amp; ":$DR$" &amp; $BA$9),
_xlpm.col, AR$72+$D85*10,
INDEX(_xlpm.rango,$BA$4-3,_xlpm.col) +
INDEX(_xlpm.rango,$BA$4-2,_xlpm.col) +
INDEX(_xlpm.rango,$BA$4-1,_xlpm.col) +
INDEX(_xlpm.rango,$BA$4, _xlpm.col)
)</f>
        <v/>
      </c>
      <c r="AS86" s="112">
        <f t="array" ref="AS86">_xlfn.LET(
_xlpm.rango, INDIRECT("E!$C$" &amp; $BA$8 &amp; ":$DR$" &amp; $BA$9),
_xlpm.col, AS$72+$D85*10,
INDEX(_xlpm.rango,$BA$4-3,_xlpm.col) +
INDEX(_xlpm.rango,$BA$4-2,_xlpm.col) +
INDEX(_xlpm.rango,$BA$4-1,_xlpm.col) +
INDEX(_xlpm.rango,$BA$4, _xlpm.col)
)</f>
        <v/>
      </c>
      <c r="AT86" s="118">
        <f>SUM(F86:AS86)</f>
        <v/>
      </c>
      <c r="AU86" s="120">
        <f>AT86/$AT$88</f>
        <v/>
      </c>
    </row>
    <row r="87">
      <c r="D87" t="n">
        <v>12</v>
      </c>
      <c r="E87" s="113">
        <f>Inicio!V15</f>
        <v/>
      </c>
      <c r="F87" s="101">
        <f t="array" ref="F87">_xlfn.LET(
_xlpm.rango, INDIRECT("N!$C$" &amp; $BA$8 &amp; ":$DR$" &amp; $BA$9),
_xlpm.col, F$72+$D86*10,
INDEX(_xlpm.rango,$BA$4-3,_xlpm.col) +
INDEX(_xlpm.rango,$BA$4-2,_xlpm.col) +
INDEX(_xlpm.rango,$BA$4-1,_xlpm.col) +
INDEX(_xlpm.rango,$BA$4, _xlpm.col)
)</f>
        <v/>
      </c>
      <c r="G87" s="97">
        <f t="array" ref="G87">_xlfn.LET(
_xlpm.rango, INDIRECT("N!$C$" &amp; $BA$8 &amp; ":$DR$" &amp; $BA$9),
_xlpm.col, G$72+$D86*10,
INDEX(_xlpm.rango,$BA$4-3,_xlpm.col) +
INDEX(_xlpm.rango,$BA$4-2,_xlpm.col) +
INDEX(_xlpm.rango,$BA$4-1,_xlpm.col) +
INDEX(_xlpm.rango,$BA$4, _xlpm.col)
)</f>
        <v/>
      </c>
      <c r="H87" s="97">
        <f t="array" ref="H87">_xlfn.LET(
_xlpm.rango, INDIRECT("N!$C$" &amp; $BA$8 &amp; ":$DR$" &amp; $BA$9),
_xlpm.col, H$72+$D86*10,
INDEX(_xlpm.rango,$BA$4-3,_xlpm.col) +
INDEX(_xlpm.rango,$BA$4-2,_xlpm.col) +
INDEX(_xlpm.rango,$BA$4-1,_xlpm.col) +
INDEX(_xlpm.rango,$BA$4, _xlpm.col)
)</f>
        <v/>
      </c>
      <c r="I87" s="97">
        <f t="array" ref="I87">_xlfn.LET(
_xlpm.rango, INDIRECT("N!$C$" &amp; $BA$8 &amp; ":$DR$" &amp; $BA$9),
_xlpm.col, I$72+$D86*10,
INDEX(_xlpm.rango,$BA$4-3,_xlpm.col) +
INDEX(_xlpm.rango,$BA$4-2,_xlpm.col) +
INDEX(_xlpm.rango,$BA$4-1,_xlpm.col) +
INDEX(_xlpm.rango,$BA$4, _xlpm.col)
)</f>
        <v/>
      </c>
      <c r="J87" s="97">
        <f t="array" ref="J87">_xlfn.LET(
_xlpm.rango, INDIRECT("N!$C$" &amp; $BA$8 &amp; ":$DR$" &amp; $BA$9),
_xlpm.col, J$72+$D86*10,
INDEX(_xlpm.rango,$BA$4-3,_xlpm.col) +
INDEX(_xlpm.rango,$BA$4-2,_xlpm.col) +
INDEX(_xlpm.rango,$BA$4-1,_xlpm.col) +
INDEX(_xlpm.rango,$BA$4, _xlpm.col)
)</f>
        <v/>
      </c>
      <c r="K87" s="97">
        <f t="array" ref="K87">_xlfn.LET(
_xlpm.rango, INDIRECT("N!$C$" &amp; $BA$8 &amp; ":$DR$" &amp; $BA$9),
_xlpm.col, K$72+$D86*10,
INDEX(_xlpm.rango,$BA$4-3,_xlpm.col) +
INDEX(_xlpm.rango,$BA$4-2,_xlpm.col) +
INDEX(_xlpm.rango,$BA$4-1,_xlpm.col) +
INDEX(_xlpm.rango,$BA$4, _xlpm.col)
)</f>
        <v/>
      </c>
      <c r="L87" s="97">
        <f t="array" ref="L87">_xlfn.LET(
_xlpm.rango, INDIRECT("N!$C$" &amp; $BA$8 &amp; ":$DR$" &amp; $BA$9),
_xlpm.col, L$72+$D86*10,
INDEX(_xlpm.rango,$BA$4-3,_xlpm.col) +
INDEX(_xlpm.rango,$BA$4-2,_xlpm.col) +
INDEX(_xlpm.rango,$BA$4-1,_xlpm.col) +
INDEX(_xlpm.rango,$BA$4, _xlpm.col)
)</f>
        <v/>
      </c>
      <c r="M87" s="97">
        <f t="array" ref="M87">_xlfn.LET(
_xlpm.rango, INDIRECT("N!$C$" &amp; $BA$8 &amp; ":$DR$" &amp; $BA$9),
_xlpm.col, M$72+$D86*10,
INDEX(_xlpm.rango,$BA$4-3,_xlpm.col) +
INDEX(_xlpm.rango,$BA$4-2,_xlpm.col) +
INDEX(_xlpm.rango,$BA$4-1,_xlpm.col) +
INDEX(_xlpm.rango,$BA$4, _xlpm.col)
)</f>
        <v/>
      </c>
      <c r="N87" s="97">
        <f t="array" ref="N87">_xlfn.LET(
_xlpm.rango, INDIRECT("N!$C$" &amp; $BA$8 &amp; ":$DR$" &amp; $BA$9),
_xlpm.col, N$72+$D86*10,
INDEX(_xlpm.rango,$BA$4-3,_xlpm.col) +
INDEX(_xlpm.rango,$BA$4-2,_xlpm.col) +
INDEX(_xlpm.rango,$BA$4-1,_xlpm.col) +
INDEX(_xlpm.rango,$BA$4, _xlpm.col)
)</f>
        <v/>
      </c>
      <c r="O87" s="98">
        <f t="array" ref="O87">_xlfn.LET(
_xlpm.rango, INDIRECT("N!$C$" &amp; $BA$8 &amp; ":$DR$" &amp; $BA$9),
_xlpm.col, O$72+$D86*10,
INDEX(_xlpm.rango,$BA$4-3,_xlpm.col) +
INDEX(_xlpm.rango,$BA$4-2,_xlpm.col) +
INDEX(_xlpm.rango,$BA$4-1,_xlpm.col) +
INDEX(_xlpm.rango,$BA$4, _xlpm.col)
)</f>
        <v/>
      </c>
      <c r="P87" s="97">
        <f t="array" ref="P87">_xlfn.LET(
_xlpm.rango, INDIRECT("S!$C$" &amp; $BA$8 &amp; ":$DR$" &amp; $BA$9),
_xlpm.col, P$72+$D86*10,
INDEX(_xlpm.rango,$BA$4-3,_xlpm.col) +
INDEX(_xlpm.rango,$BA$4-2,_xlpm.col) +
INDEX(_xlpm.rango,$BA$4-1,_xlpm.col) +
INDEX(_xlpm.rango,$BA$4, _xlpm.col)
)</f>
        <v/>
      </c>
      <c r="Q87" s="97">
        <f t="array" ref="Q87">_xlfn.LET(
_xlpm.rango, INDIRECT("S!$C$" &amp; $BA$8 &amp; ":$DR$" &amp; $BA$9),
_xlpm.col, Q$72+$D86*10,
INDEX(_xlpm.rango,$BA$4-3,_xlpm.col) +
INDEX(_xlpm.rango,$BA$4-2,_xlpm.col) +
INDEX(_xlpm.rango,$BA$4-1,_xlpm.col) +
INDEX(_xlpm.rango,$BA$4, _xlpm.col)
)</f>
        <v/>
      </c>
      <c r="R87" s="97">
        <f t="array" ref="R87">_xlfn.LET(
_xlpm.rango, INDIRECT("S!$C$" &amp; $BA$8 &amp; ":$DR$" &amp; $BA$9),
_xlpm.col, R$72+$D86*10,
INDEX(_xlpm.rango,$BA$4-3,_xlpm.col) +
INDEX(_xlpm.rango,$BA$4-2,_xlpm.col) +
INDEX(_xlpm.rango,$BA$4-1,_xlpm.col) +
INDEX(_xlpm.rango,$BA$4, _xlpm.col)
)</f>
        <v/>
      </c>
      <c r="S87" s="97">
        <f t="array" ref="S87">_xlfn.LET(
_xlpm.rango, INDIRECT("S!$C$" &amp; $BA$8 &amp; ":$DR$" &amp; $BA$9),
_xlpm.col, S$72+$D86*10,
INDEX(_xlpm.rango,$BA$4-3,_xlpm.col) +
INDEX(_xlpm.rango,$BA$4-2,_xlpm.col) +
INDEX(_xlpm.rango,$BA$4-1,_xlpm.col) +
INDEX(_xlpm.rango,$BA$4, _xlpm.col)
)</f>
        <v/>
      </c>
      <c r="T87" s="97">
        <f t="array" ref="T87">_xlfn.LET(
_xlpm.rango, INDIRECT("S!$C$" &amp; $BA$8 &amp; ":$DR$" &amp; $BA$9),
_xlpm.col, T$72+$D86*10,
INDEX(_xlpm.rango,$BA$4-3,_xlpm.col) +
INDEX(_xlpm.rango,$BA$4-2,_xlpm.col) +
INDEX(_xlpm.rango,$BA$4-1,_xlpm.col) +
INDEX(_xlpm.rango,$BA$4, _xlpm.col)
)</f>
        <v/>
      </c>
      <c r="U87" s="97">
        <f t="array" ref="U87">_xlfn.LET(
_xlpm.rango, INDIRECT("S!$C$" &amp; $BA$8 &amp; ":$DR$" &amp; $BA$9),
_xlpm.col, U$72+$D86*10,
INDEX(_xlpm.rango,$BA$4-3,_xlpm.col) +
INDEX(_xlpm.rango,$BA$4-2,_xlpm.col) +
INDEX(_xlpm.rango,$BA$4-1,_xlpm.col) +
INDEX(_xlpm.rango,$BA$4, _xlpm.col)
)</f>
        <v/>
      </c>
      <c r="V87" s="97">
        <f t="array" ref="V87">_xlfn.LET(
_xlpm.rango, INDIRECT("S!$C$" &amp; $BA$8 &amp; ":$DR$" &amp; $BA$9),
_xlpm.col, V$72+$D86*10,
INDEX(_xlpm.rango,$BA$4-3,_xlpm.col) +
INDEX(_xlpm.rango,$BA$4-2,_xlpm.col) +
INDEX(_xlpm.rango,$BA$4-1,_xlpm.col) +
INDEX(_xlpm.rango,$BA$4, _xlpm.col)
)</f>
        <v/>
      </c>
      <c r="W87" s="97">
        <f t="array" ref="W87">_xlfn.LET(
_xlpm.rango, INDIRECT("S!$C$" &amp; $BA$8 &amp; ":$DR$" &amp; $BA$9),
_xlpm.col, W$72+$D86*10,
INDEX(_xlpm.rango,$BA$4-3,_xlpm.col) +
INDEX(_xlpm.rango,$BA$4-2,_xlpm.col) +
INDEX(_xlpm.rango,$BA$4-1,_xlpm.col) +
INDEX(_xlpm.rango,$BA$4, _xlpm.col)
)</f>
        <v/>
      </c>
      <c r="X87" s="97">
        <f t="array" ref="X87">_xlfn.LET(
_xlpm.rango, INDIRECT("S!$C$" &amp; $BA$8 &amp; ":$DR$" &amp; $BA$9),
_xlpm.col, X$72+$D86*10,
INDEX(_xlpm.rango,$BA$4-3,_xlpm.col) +
INDEX(_xlpm.rango,$BA$4-2,_xlpm.col) +
INDEX(_xlpm.rango,$BA$4-1,_xlpm.col) +
INDEX(_xlpm.rango,$BA$4, _xlpm.col)
)</f>
        <v/>
      </c>
      <c r="Y87" s="97">
        <f t="array" ref="Y87">_xlfn.LET(
_xlpm.rango, INDIRECT("S!$C$" &amp; $BA$8 &amp; ":$DR$" &amp; $BA$9),
_xlpm.col, Y$72+$D86*10,
INDEX(_xlpm.rango,$BA$4-3,_xlpm.col) +
INDEX(_xlpm.rango,$BA$4-2,_xlpm.col) +
INDEX(_xlpm.rango,$BA$4-1,_xlpm.col) +
INDEX(_xlpm.rango,$BA$4, _xlpm.col)
)</f>
        <v/>
      </c>
      <c r="Z87" s="101">
        <f t="array" ref="Z87">_xlfn.LET(
_xlpm.rango, INDIRECT("E!$C$" &amp; $BA$8 &amp; ":$DR$" &amp; $BA$9),
_xlpm.col, Z$72+$D86*10,
INDEX(_xlpm.rango,$BA$4-3,_xlpm.col) +
INDEX(_xlpm.rango,$BA$4-2,_xlpm.col) +
INDEX(_xlpm.rango,$BA$4-1,_xlpm.col) +
INDEX(_xlpm.rango,$BA$4, _xlpm.col)
)</f>
        <v/>
      </c>
      <c r="AA87" s="97">
        <f t="array" ref="AA87">_xlfn.LET(
_xlpm.rango, INDIRECT("E!$C$" &amp; $BA$8 &amp; ":$DR$" &amp; $BA$9),
_xlpm.col, AA$72+$D86*10,
INDEX(_xlpm.rango,$BA$4-3,_xlpm.col) +
INDEX(_xlpm.rango,$BA$4-2,_xlpm.col) +
INDEX(_xlpm.rango,$BA$4-1,_xlpm.col) +
INDEX(_xlpm.rango,$BA$4, _xlpm.col)
)</f>
        <v/>
      </c>
      <c r="AB87" s="97">
        <f t="array" ref="AB87">_xlfn.LET(
_xlpm.rango, INDIRECT("E!$C$" &amp; $BA$8 &amp; ":$DR$" &amp; $BA$9),
_xlpm.col, AB$72+$D86*10,
INDEX(_xlpm.rango,$BA$4-3,_xlpm.col) +
INDEX(_xlpm.rango,$BA$4-2,_xlpm.col) +
INDEX(_xlpm.rango,$BA$4-1,_xlpm.col) +
INDEX(_xlpm.rango,$BA$4, _xlpm.col)
)</f>
        <v/>
      </c>
      <c r="AC87" s="97">
        <f t="array" ref="AC87">_xlfn.LET(
_xlpm.rango, INDIRECT("E!$C$" &amp; $BA$8 &amp; ":$DR$" &amp; $BA$9),
_xlpm.col, AC$72+$D86*10,
INDEX(_xlpm.rango,$BA$4-3,_xlpm.col) +
INDEX(_xlpm.rango,$BA$4-2,_xlpm.col) +
INDEX(_xlpm.rango,$BA$4-1,_xlpm.col) +
INDEX(_xlpm.rango,$BA$4, _xlpm.col)
)</f>
        <v/>
      </c>
      <c r="AD87" s="97">
        <f t="array" ref="AD87">_xlfn.LET(
_xlpm.rango, INDIRECT("E!$C$" &amp; $BA$8 &amp; ":$DR$" &amp; $BA$9),
_xlpm.col, AD$72+$D86*10,
INDEX(_xlpm.rango,$BA$4-3,_xlpm.col) +
INDEX(_xlpm.rango,$BA$4-2,_xlpm.col) +
INDEX(_xlpm.rango,$BA$4-1,_xlpm.col) +
INDEX(_xlpm.rango,$BA$4, _xlpm.col)
)</f>
        <v/>
      </c>
      <c r="AE87" s="97">
        <f t="array" ref="AE87">_xlfn.LET(
_xlpm.rango, INDIRECT("E!$C$" &amp; $BA$8 &amp; ":$DR$" &amp; $BA$9),
_xlpm.col, AE$72+$D86*10,
INDEX(_xlpm.rango,$BA$4-3,_xlpm.col) +
INDEX(_xlpm.rango,$BA$4-2,_xlpm.col) +
INDEX(_xlpm.rango,$BA$4-1,_xlpm.col) +
INDEX(_xlpm.rango,$BA$4, _xlpm.col)
)</f>
        <v/>
      </c>
      <c r="AF87" s="97">
        <f t="array" ref="AF87">_xlfn.LET(
_xlpm.rango, INDIRECT("E!$C$" &amp; $BA$8 &amp; ":$DR$" &amp; $BA$9),
_xlpm.col, AF$72+$D86*10,
INDEX(_xlpm.rango,$BA$4-3,_xlpm.col) +
INDEX(_xlpm.rango,$BA$4-2,_xlpm.col) +
INDEX(_xlpm.rango,$BA$4-1,_xlpm.col) +
INDEX(_xlpm.rango,$BA$4, _xlpm.col)
)</f>
        <v/>
      </c>
      <c r="AG87" s="97">
        <f t="array" ref="AG87">_xlfn.LET(
_xlpm.rango, INDIRECT("E!$C$" &amp; $BA$8 &amp; ":$DR$" &amp; $BA$9),
_xlpm.col, AG$72+$D86*10,
INDEX(_xlpm.rango,$BA$4-3,_xlpm.col) +
INDEX(_xlpm.rango,$BA$4-2,_xlpm.col) +
INDEX(_xlpm.rango,$BA$4-1,_xlpm.col) +
INDEX(_xlpm.rango,$BA$4, _xlpm.col)
)</f>
        <v/>
      </c>
      <c r="AH87" s="97">
        <f t="array" ref="AH87">_xlfn.LET(
_xlpm.rango, INDIRECT("E!$C$" &amp; $BA$8 &amp; ":$DR$" &amp; $BA$9),
_xlpm.col, AH$72+$D86*10,
INDEX(_xlpm.rango,$BA$4-3,_xlpm.col) +
INDEX(_xlpm.rango,$BA$4-2,_xlpm.col) +
INDEX(_xlpm.rango,$BA$4-1,_xlpm.col) +
INDEX(_xlpm.rango,$BA$4, _xlpm.col)
)</f>
        <v/>
      </c>
      <c r="AI87" s="98">
        <f t="array" ref="AI87">_xlfn.LET(
_xlpm.rango, INDIRECT("E!$C$" &amp; $BA$8 &amp; ":$DR$" &amp; $BA$9),
_xlpm.col, AI$72+$D86*10,
INDEX(_xlpm.rango,$BA$4-3,_xlpm.col) +
INDEX(_xlpm.rango,$BA$4-2,_xlpm.col) +
INDEX(_xlpm.rango,$BA$4-1,_xlpm.col) +
INDEX(_xlpm.rango,$BA$4, _xlpm.col)
)</f>
        <v/>
      </c>
      <c r="AJ87" s="97">
        <f t="array" ref="AJ87">_xlfn.LET(
_xlpm.rango, INDIRECT("E!$C$" &amp; $BA$8 &amp; ":$DR$" &amp; $BA$9),
_xlpm.col, AJ$72+$D86*10,
INDEX(_xlpm.rango,$BA$4-3,_xlpm.col) +
INDEX(_xlpm.rango,$BA$4-2,_xlpm.col) +
INDEX(_xlpm.rango,$BA$4-1,_xlpm.col) +
INDEX(_xlpm.rango,$BA$4, _xlpm.col)
)</f>
        <v/>
      </c>
      <c r="AK87" s="97">
        <f t="array" ref="AK87">_xlfn.LET(
_xlpm.rango, INDIRECT("E!$C$" &amp; $BA$8 &amp; ":$DR$" &amp; $BA$9),
_xlpm.col, AK$72+$D86*10,
INDEX(_xlpm.rango,$BA$4-3,_xlpm.col) +
INDEX(_xlpm.rango,$BA$4-2,_xlpm.col) +
INDEX(_xlpm.rango,$BA$4-1,_xlpm.col) +
INDEX(_xlpm.rango,$BA$4, _xlpm.col)
)</f>
        <v/>
      </c>
      <c r="AL87" s="97">
        <f t="array" ref="AL87">_xlfn.LET(
_xlpm.rango, INDIRECT("E!$C$" &amp; $BA$8 &amp; ":$DR$" &amp; $BA$9),
_xlpm.col, AL$72+$D86*10,
INDEX(_xlpm.rango,$BA$4-3,_xlpm.col) +
INDEX(_xlpm.rango,$BA$4-2,_xlpm.col) +
INDEX(_xlpm.rango,$BA$4-1,_xlpm.col) +
INDEX(_xlpm.rango,$BA$4, _xlpm.col)
)</f>
        <v/>
      </c>
      <c r="AM87" s="97">
        <f t="array" ref="AM87">_xlfn.LET(
_xlpm.rango, INDIRECT("E!$C$" &amp; $BA$8 &amp; ":$DR$" &amp; $BA$9),
_xlpm.col, AM$72+$D86*10,
INDEX(_xlpm.rango,$BA$4-3,_xlpm.col) +
INDEX(_xlpm.rango,$BA$4-2,_xlpm.col) +
INDEX(_xlpm.rango,$BA$4-1,_xlpm.col) +
INDEX(_xlpm.rango,$BA$4, _xlpm.col)
)</f>
        <v/>
      </c>
      <c r="AN87" s="97">
        <f t="array" ref="AN87">_xlfn.LET(
_xlpm.rango, INDIRECT("E!$C$" &amp; $BA$8 &amp; ":$DR$" &amp; $BA$9),
_xlpm.col, AN$72+$D86*10,
INDEX(_xlpm.rango,$BA$4-3,_xlpm.col) +
INDEX(_xlpm.rango,$BA$4-2,_xlpm.col) +
INDEX(_xlpm.rango,$BA$4-1,_xlpm.col) +
INDEX(_xlpm.rango,$BA$4, _xlpm.col)
)</f>
        <v/>
      </c>
      <c r="AO87" s="97">
        <f t="array" ref="AO87">_xlfn.LET(
_xlpm.rango, INDIRECT("E!$C$" &amp; $BA$8 &amp; ":$DR$" &amp; $BA$9),
_xlpm.col, AO$72+$D86*10,
INDEX(_xlpm.rango,$BA$4-3,_xlpm.col) +
INDEX(_xlpm.rango,$BA$4-2,_xlpm.col) +
INDEX(_xlpm.rango,$BA$4-1,_xlpm.col) +
INDEX(_xlpm.rango,$BA$4, _xlpm.col)
)</f>
        <v/>
      </c>
      <c r="AP87" s="97">
        <f t="array" ref="AP87">_xlfn.LET(
_xlpm.rango, INDIRECT("E!$C$" &amp; $BA$8 &amp; ":$DR$" &amp; $BA$9),
_xlpm.col, AP$72+$D86*10,
INDEX(_xlpm.rango,$BA$4-3,_xlpm.col) +
INDEX(_xlpm.rango,$BA$4-2,_xlpm.col) +
INDEX(_xlpm.rango,$BA$4-1,_xlpm.col) +
INDEX(_xlpm.rango,$BA$4, _xlpm.col)
)</f>
        <v/>
      </c>
      <c r="AQ87" s="97">
        <f t="array" ref="AQ87">_xlfn.LET(
_xlpm.rango, INDIRECT("E!$C$" &amp; $BA$8 &amp; ":$DR$" &amp; $BA$9),
_xlpm.col, AQ$72+$D86*10,
INDEX(_xlpm.rango,$BA$4-3,_xlpm.col) +
INDEX(_xlpm.rango,$BA$4-2,_xlpm.col) +
INDEX(_xlpm.rango,$BA$4-1,_xlpm.col) +
INDEX(_xlpm.rango,$BA$4, _xlpm.col)
)</f>
        <v/>
      </c>
      <c r="AR87" s="97">
        <f t="array" ref="AR87">_xlfn.LET(
_xlpm.rango, INDIRECT("E!$C$" &amp; $BA$8 &amp; ":$DR$" &amp; $BA$9),
_xlpm.col, AR$72+$D86*10,
INDEX(_xlpm.rango,$BA$4-3,_xlpm.col) +
INDEX(_xlpm.rango,$BA$4-2,_xlpm.col) +
INDEX(_xlpm.rango,$BA$4-1,_xlpm.col) +
INDEX(_xlpm.rango,$BA$4, _xlpm.col)
)</f>
        <v/>
      </c>
      <c r="AS87" s="114">
        <f t="array" ref="AS87">_xlfn.LET(
_xlpm.rango, INDIRECT("E!$C$" &amp; $BA$8 &amp; ":$DR$" &amp; $BA$9),
_xlpm.col, AS$72+$D86*10,
INDEX(_xlpm.rango,$BA$4-3,_xlpm.col) +
INDEX(_xlpm.rango,$BA$4-2,_xlpm.col) +
INDEX(_xlpm.rango,$BA$4-1,_xlpm.col) +
INDEX(_xlpm.rango,$BA$4, _xlpm.col)
)</f>
        <v/>
      </c>
      <c r="AT87" s="121">
        <f>SUM(F87:AS87)</f>
        <v/>
      </c>
      <c r="AU87" s="122">
        <f>AT87/$AT$88</f>
        <v/>
      </c>
    </row>
    <row r="88" ht="15.75" customHeight="1" thickBot="1">
      <c r="E88" s="115" t="inlineStr">
        <is>
          <t>Total</t>
        </is>
      </c>
      <c r="F88" s="92">
        <f>SUM(F76:F87)</f>
        <v/>
      </c>
      <c r="G88" s="92">
        <f>SUM(G76:G87)</f>
        <v/>
      </c>
      <c r="H88" s="92">
        <f>SUM(H76:H87)</f>
        <v/>
      </c>
      <c r="I88" s="92">
        <f>SUM(I76:I87)</f>
        <v/>
      </c>
      <c r="J88" s="92">
        <f>SUM(J76:J87)</f>
        <v/>
      </c>
      <c r="K88" s="92">
        <f>SUM(K76:K87)</f>
        <v/>
      </c>
      <c r="L88" s="92">
        <f>SUM(L76:L87)</f>
        <v/>
      </c>
      <c r="M88" s="92">
        <f>SUM(M76:M87)</f>
        <v/>
      </c>
      <c r="N88" s="92">
        <f>SUM(N76:N87)</f>
        <v/>
      </c>
      <c r="O88" s="92">
        <f>SUM(O76:O87)</f>
        <v/>
      </c>
      <c r="P88" s="128">
        <f>SUM(P76:P87)</f>
        <v/>
      </c>
      <c r="Q88" s="92">
        <f>SUM(Q76:Q87)</f>
        <v/>
      </c>
      <c r="R88" s="92">
        <f>SUM(R76:R87)</f>
        <v/>
      </c>
      <c r="S88" s="92">
        <f>SUM(S76:S87)</f>
        <v/>
      </c>
      <c r="T88" s="92">
        <f>SUM(T76:T87)</f>
        <v/>
      </c>
      <c r="U88" s="92">
        <f>SUM(U76:U87)</f>
        <v/>
      </c>
      <c r="V88" s="92">
        <f>SUM(V76:V87)</f>
        <v/>
      </c>
      <c r="W88" s="92">
        <f>SUM(W76:W87)</f>
        <v/>
      </c>
      <c r="X88" s="92">
        <f>SUM(X76:X87)</f>
        <v/>
      </c>
      <c r="Y88" s="92">
        <f>SUM(Y76:Y87)</f>
        <v/>
      </c>
      <c r="Z88" s="92">
        <f>SUM(Z76:Z87)</f>
        <v/>
      </c>
      <c r="AA88" s="92">
        <f>SUM(AA76:AA87)</f>
        <v/>
      </c>
      <c r="AB88" s="92">
        <f>SUM(AB76:AB87)</f>
        <v/>
      </c>
      <c r="AC88" s="92">
        <f>SUM(AC76:AC87)</f>
        <v/>
      </c>
      <c r="AD88" s="92">
        <f>SUM(AD76:AD87)</f>
        <v/>
      </c>
      <c r="AE88" s="92">
        <f>SUM(AE76:AE87)</f>
        <v/>
      </c>
      <c r="AF88" s="92">
        <f>SUM(AF76:AF87)</f>
        <v/>
      </c>
      <c r="AG88" s="92">
        <f>SUM(AG76:AG87)</f>
        <v/>
      </c>
      <c r="AH88" s="92">
        <f>SUM(AH76:AH87)</f>
        <v/>
      </c>
      <c r="AI88" s="92">
        <f>SUM(AI76:AI87)</f>
        <v/>
      </c>
      <c r="AJ88" s="92">
        <f>SUM(AJ76:AJ87)</f>
        <v/>
      </c>
      <c r="AK88" s="92">
        <f>SUM(AK76:AK87)</f>
        <v/>
      </c>
      <c r="AL88" s="92">
        <f>SUM(AL76:AL87)</f>
        <v/>
      </c>
      <c r="AM88" s="92">
        <f>SUM(AM76:AM87)</f>
        <v/>
      </c>
      <c r="AN88" s="92">
        <f>SUM(AN76:AN87)</f>
        <v/>
      </c>
      <c r="AO88" s="92">
        <f>SUM(AO76:AO87)</f>
        <v/>
      </c>
      <c r="AP88" s="92">
        <f>SUM(AP76:AP87)</f>
        <v/>
      </c>
      <c r="AQ88" s="92">
        <f>SUM(AQ76:AQ87)</f>
        <v/>
      </c>
      <c r="AR88" s="92">
        <f>SUM(AR76:AR87)</f>
        <v/>
      </c>
      <c r="AS88" s="116">
        <f>SUM(AS76:AS87)</f>
        <v/>
      </c>
      <c r="AT88" s="123">
        <f>SUM(AT76:AT87)</f>
        <v/>
      </c>
      <c r="AU88" s="124">
        <f>SUM(AU76:AU87)</f>
        <v/>
      </c>
    </row>
    <row r="89" ht="15.75" customHeight="1" thickBot="1">
      <c r="E89" s="117" t="inlineStr">
        <is>
          <t>UCP</t>
        </is>
      </c>
      <c r="F89" s="226">
        <f>F76*Inicio!$W$4+F77*Inicio!$W$5+F78*Inicio!$W$6+F79*Inicio!$W$7+F80*Inicio!$W$8+F81*Inicio!$W$9+F82*Inicio!$W$10+F83*Inicio!$W$11+F84*Inicio!$W$12+F85*Inicio!$W$13+F86*Inicio!$W$14+F87*Inicio!$W$15</f>
        <v/>
      </c>
      <c r="G89" s="226">
        <f>G76*Inicio!$W$4+G77*Inicio!$W$5+G78*Inicio!$W$6+G79*Inicio!$W$7+G80*Inicio!$W$8+G81*Inicio!$W$9+G82*Inicio!$W$10+G83*Inicio!$W$11+G84*Inicio!$W$12+G85*Inicio!$W$13+G86*Inicio!$W$14+G87*Inicio!$W$15</f>
        <v/>
      </c>
      <c r="H89" s="226">
        <f>H76*Inicio!$W$4+H77*Inicio!$W$5+H78*Inicio!$W$6+H79*Inicio!$W$7+H80*Inicio!$W$8+H81*Inicio!$W$9+H82*Inicio!$W$10+H83*Inicio!$W$11+H84*Inicio!$W$12+H85*Inicio!$W$13+H86*Inicio!$W$14+H87*Inicio!$W$15</f>
        <v/>
      </c>
      <c r="I89" s="226">
        <f>I76*Inicio!$W$4+I77*Inicio!$W$5+I78*Inicio!$W$6+I79*Inicio!$W$7+I80*Inicio!$W$8+I81*Inicio!$W$9+I82*Inicio!$W$10+I83*Inicio!$W$11+I84*Inicio!$W$12+I85*Inicio!$W$13+I86*Inicio!$W$14+I87*Inicio!$W$15</f>
        <v/>
      </c>
      <c r="J89" s="226">
        <f>J76*Inicio!$W$4+J77*Inicio!$W$5+J78*Inicio!$W$6+J79*Inicio!$W$7+J80*Inicio!$W$8+J81*Inicio!$W$9+J82*Inicio!$W$10+J83*Inicio!$W$11+J84*Inicio!$W$12+J85*Inicio!$W$13+J86*Inicio!$W$14+J87*Inicio!$W$15</f>
        <v/>
      </c>
      <c r="K89" s="226">
        <f>K76*Inicio!$W$4+K77*Inicio!$W$5+K78*Inicio!$W$6+K79*Inicio!$W$7+K80*Inicio!$W$8+K81*Inicio!$W$9+K82*Inicio!$W$10+K83*Inicio!$W$11+K84*Inicio!$W$12+K85*Inicio!$W$13+K86*Inicio!$W$14+K87*Inicio!$W$15</f>
        <v/>
      </c>
      <c r="L89" s="226">
        <f>L76*Inicio!$W$4+L77*Inicio!$W$5+L78*Inicio!$W$6+L79*Inicio!$W$7+L80*Inicio!$W$8+L81*Inicio!$W$9+L82*Inicio!$W$10+L83*Inicio!$W$11+L84*Inicio!$W$12+L85*Inicio!$W$13+L86*Inicio!$W$14+L87*Inicio!$W$15</f>
        <v/>
      </c>
      <c r="M89" s="226">
        <f>M76*Inicio!$W$4+M77*Inicio!$W$5+M78*Inicio!$W$6+M79*Inicio!$W$7+M80*Inicio!$W$8+M81*Inicio!$W$9+M82*Inicio!$W$10+M83*Inicio!$W$11+M84*Inicio!$W$12+M85*Inicio!$W$13+M86*Inicio!$W$14+M87*Inicio!$W$15</f>
        <v/>
      </c>
      <c r="N89" s="226">
        <f>N76*Inicio!$W$4+N77*Inicio!$W$5+N78*Inicio!$W$6+N79*Inicio!$W$7+N80*Inicio!$W$8+N81*Inicio!$W$9+N82*Inicio!$W$10+N83*Inicio!$W$11+N84*Inicio!$W$12+N85*Inicio!$W$13+N86*Inicio!$W$14+N87*Inicio!$W$15</f>
        <v/>
      </c>
      <c r="O89" s="226">
        <f>O76*Inicio!$W$4+O77*Inicio!$W$5+O78*Inicio!$W$6+O79*Inicio!$W$7+O80*Inicio!$W$8+O81*Inicio!$W$9+O82*Inicio!$W$10+O83*Inicio!$W$11+O84*Inicio!$W$12+O85*Inicio!$W$13+O86*Inicio!$W$14+O87*Inicio!$W$15</f>
        <v/>
      </c>
      <c r="P89" s="226">
        <f>P76*Inicio!$W$4+P77*Inicio!$W$5+P78*Inicio!$W$6+P79*Inicio!$W$7+P80*Inicio!$W$8+P81*Inicio!$W$9+P82*Inicio!$W$10+P83*Inicio!$W$11+P84*Inicio!$W$12+P85*Inicio!$W$13+P86*Inicio!$W$14+P87*Inicio!$W$15</f>
        <v/>
      </c>
      <c r="Q89" s="226">
        <f>Q76*Inicio!$W$4+Q77*Inicio!$W$5+Q78*Inicio!$W$6+Q79*Inicio!$W$7+Q80*Inicio!$W$8+Q81*Inicio!$W$9+Q82*Inicio!$W$10+Q83*Inicio!$W$11+Q84*Inicio!$W$12+Q85*Inicio!$W$13+Q86*Inicio!$W$14+Q87*Inicio!$W$15</f>
        <v/>
      </c>
      <c r="R89" s="226">
        <f>R76*Inicio!$W$4+R77*Inicio!$W$5+R78*Inicio!$W$6+R79*Inicio!$W$7+R80*Inicio!$W$8+R81*Inicio!$W$9+R82*Inicio!$W$10+R83*Inicio!$W$11+R84*Inicio!$W$12+R85*Inicio!$W$13+R86*Inicio!$W$14+R87*Inicio!$W$15</f>
        <v/>
      </c>
      <c r="S89" s="226">
        <f>S76*Inicio!$W$4+S77*Inicio!$W$5+S78*Inicio!$W$6+S79*Inicio!$W$7+S80*Inicio!$W$8+S81*Inicio!$W$9+S82*Inicio!$W$10+S83*Inicio!$W$11+S84*Inicio!$W$12+S85*Inicio!$W$13+S86*Inicio!$W$14+S87*Inicio!$W$15</f>
        <v/>
      </c>
      <c r="T89" s="226">
        <f>T76*Inicio!$W$4+T77*Inicio!$W$5+T78*Inicio!$W$6+T79*Inicio!$W$7+T80*Inicio!$W$8+T81*Inicio!$W$9+T82*Inicio!$W$10+T83*Inicio!$W$11+T84*Inicio!$W$12+T85*Inicio!$W$13+T86*Inicio!$W$14+T87*Inicio!$W$15</f>
        <v/>
      </c>
      <c r="U89" s="226">
        <f>U76*Inicio!$W$4+U77*Inicio!$W$5+U78*Inicio!$W$6+U79*Inicio!$W$7+U80*Inicio!$W$8+U81*Inicio!$W$9+U82*Inicio!$W$10+U83*Inicio!$W$11+U84*Inicio!$W$12+U85*Inicio!$W$13+U86*Inicio!$W$14+U87*Inicio!$W$15</f>
        <v/>
      </c>
      <c r="V89" s="226">
        <f>V76*Inicio!$W$4+V77*Inicio!$W$5+V78*Inicio!$W$6+V79*Inicio!$W$7+V80*Inicio!$W$8+V81*Inicio!$W$9+V82*Inicio!$W$10+V83*Inicio!$W$11+V84*Inicio!$W$12+V85*Inicio!$W$13+V86*Inicio!$W$14+V87*Inicio!$W$15</f>
        <v/>
      </c>
      <c r="W89" s="226">
        <f>W76*Inicio!$W$4+W77*Inicio!$W$5+W78*Inicio!$W$6+W79*Inicio!$W$7+W80*Inicio!$W$8+W81*Inicio!$W$9+W82*Inicio!$W$10+W83*Inicio!$W$11+W84*Inicio!$W$12+W85*Inicio!$W$13+W86*Inicio!$W$14+W87*Inicio!$W$15</f>
        <v/>
      </c>
      <c r="X89" s="226">
        <f>X76*Inicio!$W$4+X77*Inicio!$W$5+X78*Inicio!$W$6+X79*Inicio!$W$7+X80*Inicio!$W$8+X81*Inicio!$W$9+X82*Inicio!$W$10+X83*Inicio!$W$11+X84*Inicio!$W$12+X85*Inicio!$W$13+X86*Inicio!$W$14+X87*Inicio!$W$15</f>
        <v/>
      </c>
      <c r="Y89" s="226">
        <f>Y76*Inicio!$W$4+Y77*Inicio!$W$5+Y78*Inicio!$W$6+Y79*Inicio!$W$7+Y80*Inicio!$W$8+Y81*Inicio!$W$9+Y82*Inicio!$W$10+Y83*Inicio!$W$11+Y84*Inicio!$W$12+Y85*Inicio!$W$13+Y86*Inicio!$W$14+Y87*Inicio!$W$15</f>
        <v/>
      </c>
      <c r="Z89" s="226">
        <f>Z76*Inicio!$W$4+Z77*Inicio!$W$5+Z78*Inicio!$W$6+Z79*Inicio!$W$7+Z80*Inicio!$W$8+Z81*Inicio!$W$9+Z82*Inicio!$W$10+Z83*Inicio!$W$11+Z84*Inicio!$W$12+Z85*Inicio!$W$13+Z86*Inicio!$W$14+Z87*Inicio!$W$15</f>
        <v/>
      </c>
      <c r="AA89" s="226">
        <f>AA76*Inicio!$W$4+AA77*Inicio!$W$5+AA78*Inicio!$W$6+AA79*Inicio!$W$7+AA80*Inicio!$W$8+AA81*Inicio!$W$9+AA82*Inicio!$W$10+AA83*Inicio!$W$11+AA84*Inicio!$W$12+AA85*Inicio!$W$13+AA86*Inicio!$W$14+AA87*Inicio!$W$15</f>
        <v/>
      </c>
      <c r="AB89" s="226">
        <f>AB76*Inicio!$W$4+AB77*Inicio!$W$5+AB78*Inicio!$W$6+AB79*Inicio!$W$7+AB80*Inicio!$W$8+AB81*Inicio!$W$9+AB82*Inicio!$W$10+AB83*Inicio!$W$11+AB84*Inicio!$W$12+AB85*Inicio!$W$13+AB86*Inicio!$W$14+AB87*Inicio!$W$15</f>
        <v/>
      </c>
      <c r="AC89" s="226">
        <f>AC76*Inicio!$W$4+AC77*Inicio!$W$5+AC78*Inicio!$W$6+AC79*Inicio!$W$7+AC80*Inicio!$W$8+AC81*Inicio!$W$9+AC82*Inicio!$W$10+AC83*Inicio!$W$11+AC84*Inicio!$W$12+AC85*Inicio!$W$13+AC86*Inicio!$W$14+AC87*Inicio!$W$15</f>
        <v/>
      </c>
      <c r="AD89" s="226">
        <f>AD76*Inicio!$W$4+AD77*Inicio!$W$5+AD78*Inicio!$W$6+AD79*Inicio!$W$7+AD80*Inicio!$W$8+AD81*Inicio!$W$9+AD82*Inicio!$W$10+AD83*Inicio!$W$11+AD84*Inicio!$W$12+AD85*Inicio!$W$13+AD86*Inicio!$W$14+AD87*Inicio!$W$15</f>
        <v/>
      </c>
      <c r="AE89" s="226">
        <f>AE76*Inicio!$W$4+AE77*Inicio!$W$5+AE78*Inicio!$W$6+AE79*Inicio!$W$7+AE80*Inicio!$W$8+AE81*Inicio!$W$9+AE82*Inicio!$W$10+AE83*Inicio!$W$11+AE84*Inicio!$W$12+AE85*Inicio!$W$13+AE86*Inicio!$W$14+AE87*Inicio!$W$15</f>
        <v/>
      </c>
      <c r="AF89" s="226">
        <f>AF76*Inicio!$W$4+AF77*Inicio!$W$5+AF78*Inicio!$W$6+AF79*Inicio!$W$7+AF80*Inicio!$W$8+AF81*Inicio!$W$9+AF82*Inicio!$W$10+AF83*Inicio!$W$11+AF84*Inicio!$W$12+AF85*Inicio!$W$13+AF86*Inicio!$W$14+AF87*Inicio!$W$15</f>
        <v/>
      </c>
      <c r="AG89" s="226">
        <f>AG76*Inicio!$W$4+AG77*Inicio!$W$5+AG78*Inicio!$W$6+AG79*Inicio!$W$7+AG80*Inicio!$W$8+AG81*Inicio!$W$9+AG82*Inicio!$W$10+AG83*Inicio!$W$11+AG84*Inicio!$W$12+AG85*Inicio!$W$13+AG86*Inicio!$W$14+AG87*Inicio!$W$15</f>
        <v/>
      </c>
      <c r="AH89" s="226">
        <f>AH76*Inicio!$W$4+AH77*Inicio!$W$5+AH78*Inicio!$W$6+AH79*Inicio!$W$7+AH80*Inicio!$W$8+AH81*Inicio!$W$9+AH82*Inicio!$W$10+AH83*Inicio!$W$11+AH84*Inicio!$W$12+AH85*Inicio!$W$13+AH86*Inicio!$W$14+AH87*Inicio!$W$15</f>
        <v/>
      </c>
      <c r="AI89" s="226">
        <f>AI76*Inicio!$W$4+AI77*Inicio!$W$5+AI78*Inicio!$W$6+AI79*Inicio!$W$7+AI80*Inicio!$W$8+AI81*Inicio!$W$9+AI82*Inicio!$W$10+AI83*Inicio!$W$11+AI84*Inicio!$W$12+AI85*Inicio!$W$13+AI86*Inicio!$W$14+AI87*Inicio!$W$15</f>
        <v/>
      </c>
      <c r="AJ89" s="226">
        <f>AJ76*Inicio!$W$4+AJ77*Inicio!$W$5+AJ78*Inicio!$W$6+AJ79*Inicio!$W$7+AJ80*Inicio!$W$8+AJ81*Inicio!$W$9+AJ82*Inicio!$W$10+AJ83*Inicio!$W$11+AJ84*Inicio!$W$12+AJ85*Inicio!$W$13+AJ86*Inicio!$W$14+AJ87*Inicio!$W$15</f>
        <v/>
      </c>
      <c r="AK89" s="226">
        <f>AK76*Inicio!$W$4+AK77*Inicio!$W$5+AK78*Inicio!$W$6+AK79*Inicio!$W$7+AK80*Inicio!$W$8+AK81*Inicio!$W$9+AK82*Inicio!$W$10+AK83*Inicio!$W$11+AK84*Inicio!$W$12+AK85*Inicio!$W$13+AK86*Inicio!$W$14+AK87*Inicio!$W$15</f>
        <v/>
      </c>
      <c r="AL89" s="226">
        <f>AL76*Inicio!$W$4+AL77*Inicio!$W$5+AL78*Inicio!$W$6+AL79*Inicio!$W$7+AL80*Inicio!$W$8+AL81*Inicio!$W$9+AL82*Inicio!$W$10+AL83*Inicio!$W$11+AL84*Inicio!$W$12+AL85*Inicio!$W$13+AL86*Inicio!$W$14+AL87*Inicio!$W$15</f>
        <v/>
      </c>
      <c r="AM89" s="226">
        <f>AM76*Inicio!$W$4+AM77*Inicio!$W$5+AM78*Inicio!$W$6+AM79*Inicio!$W$7+AM80*Inicio!$W$8+AM81*Inicio!$W$9+AM82*Inicio!$W$10+AM83*Inicio!$W$11+AM84*Inicio!$W$12+AM85*Inicio!$W$13+AM86*Inicio!$W$14+AM87*Inicio!$W$15</f>
        <v/>
      </c>
      <c r="AN89" s="226">
        <f>AN76*Inicio!$W$4+AN77*Inicio!$W$5+AN78*Inicio!$W$6+AN79*Inicio!$W$7+AN80*Inicio!$W$8+AN81*Inicio!$W$9+AN82*Inicio!$W$10+AN83*Inicio!$W$11+AN84*Inicio!$W$12+AN85*Inicio!$W$13+AN86*Inicio!$W$14+AN87*Inicio!$W$15</f>
        <v/>
      </c>
      <c r="AO89" s="226">
        <f>AO76*Inicio!$W$4+AO77*Inicio!$W$5+AO78*Inicio!$W$6+AO79*Inicio!$W$7+AO80*Inicio!$W$8+AO81*Inicio!$W$9+AO82*Inicio!$W$10+AO83*Inicio!$W$11+AO84*Inicio!$W$12+AO85*Inicio!$W$13+AO86*Inicio!$W$14+AO87*Inicio!$W$15</f>
        <v/>
      </c>
      <c r="AP89" s="226">
        <f>AP76*Inicio!$W$4+AP77*Inicio!$W$5+AP78*Inicio!$W$6+AP79*Inicio!$W$7+AP80*Inicio!$W$8+AP81*Inicio!$W$9+AP82*Inicio!$W$10+AP83*Inicio!$W$11+AP84*Inicio!$W$12+AP85*Inicio!$W$13+AP86*Inicio!$W$14+AP87*Inicio!$W$15</f>
        <v/>
      </c>
      <c r="AQ89" s="226">
        <f>AQ76*Inicio!$W$4+AQ77*Inicio!$W$5+AQ78*Inicio!$W$6+AQ79*Inicio!$W$7+AQ80*Inicio!$W$8+AQ81*Inicio!$W$9+AQ82*Inicio!$W$10+AQ83*Inicio!$W$11+AQ84*Inicio!$W$12+AQ85*Inicio!$W$13+AQ86*Inicio!$W$14+AQ87*Inicio!$W$15</f>
        <v/>
      </c>
      <c r="AR89" s="226">
        <f>AR76*Inicio!$W$4+AR77*Inicio!$W$5+AR78*Inicio!$W$6+AR79*Inicio!$W$7+AR80*Inicio!$W$8+AR81*Inicio!$W$9+AR82*Inicio!$W$10+AR83*Inicio!$W$11+AR84*Inicio!$W$12+AR85*Inicio!$W$13+AR86*Inicio!$W$14+AR87*Inicio!$W$15</f>
        <v/>
      </c>
      <c r="AS89" s="227">
        <f>AS76*Inicio!$W$4+AS77*Inicio!$W$5+AS78*Inicio!$W$6+AS79*Inicio!$W$7+AS80*Inicio!$W$8+AS81*Inicio!$W$9+AS82*Inicio!$W$10+AS83*Inicio!$W$11+AS84*Inicio!$W$12+AS85*Inicio!$W$13+AS86*Inicio!$W$14+AS87*Inicio!$W$15</f>
        <v/>
      </c>
    </row>
  </sheetData>
  <mergeCells count="26">
    <mergeCell ref="AS6:AU6"/>
    <mergeCell ref="AJ74:AS74"/>
    <mergeCell ref="E2:AU2"/>
    <mergeCell ref="AT73:AT75"/>
    <mergeCell ref="F6:J6"/>
    <mergeCell ref="F7:J7"/>
    <mergeCell ref="AS7:AU7"/>
    <mergeCell ref="AQ7:AR7"/>
    <mergeCell ref="E9:AU68"/>
    <mergeCell ref="E70:AU70"/>
    <mergeCell ref="P74:Y74"/>
    <mergeCell ref="F73:O73"/>
    <mergeCell ref="Z74:AI74"/>
    <mergeCell ref="F5:J5"/>
    <mergeCell ref="P73:Y73"/>
    <mergeCell ref="E73:E75"/>
    <mergeCell ref="F74:O74"/>
    <mergeCell ref="AU73:AU75"/>
    <mergeCell ref="AS5:AU5"/>
    <mergeCell ref="AQ5:AR5"/>
    <mergeCell ref="AJ73:AS73"/>
    <mergeCell ref="AQ4:AR4"/>
    <mergeCell ref="AQ6:AR6"/>
    <mergeCell ref="AS4:AU4"/>
    <mergeCell ref="Z73:AI73"/>
    <mergeCell ref="F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B2:EL108"/>
  <sheetViews>
    <sheetView zoomScale="71" zoomScaleNormal="71" workbookViewId="0">
      <selection activeCell="A1" sqref="A1"/>
    </sheetView>
  </sheetViews>
  <sheetFormatPr baseColWidth="10" defaultColWidth="9.140625" defaultRowHeight="15" outlineLevelCol="0"/>
  <cols>
    <col width="13.5703125" bestFit="1" customWidth="1" min="1" max="1"/>
    <col width="17" bestFit="1" customWidth="1" min="2" max="2"/>
    <col width="13.5703125" bestFit="1" customWidth="1" style="1" min="3" max="42"/>
    <col width="13.5703125" customWidth="1" style="1" min="43" max="102"/>
    <col width="13.5703125" customWidth="1" style="84" min="103" max="122"/>
    <col width="13.5703125" bestFit="1" customWidth="1" style="1" min="123" max="132"/>
    <col width="13.5703125" customWidth="1" style="84" min="133" max="134"/>
    <col width="13.5703125" bestFit="1" customWidth="1" style="2" min="135" max="137"/>
    <col width="13.5703125" bestFit="1" customWidth="1" style="1" min="138" max="138"/>
    <col width="13.5703125" bestFit="1" customWidth="1" style="13" min="139" max="139"/>
    <col width="13.5703125" bestFit="1" customWidth="1" style="2" min="140" max="140"/>
    <col width="13.5703125" bestFit="1" customWidth="1" style="1" min="141" max="141"/>
    <col width="13.5703125" bestFit="1" customWidth="1" style="2" min="142" max="142"/>
  </cols>
  <sheetData>
    <row r="1" ht="18.75" customHeight="1"/>
    <row r="2" ht="30" customHeight="1">
      <c r="B2" s="256" t="inlineStr">
        <is>
          <t>CONTROL DE FLUJO VEHICULAR CLASIFICADO</t>
        </is>
      </c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  <c r="BG2" s="228" t="n"/>
      <c r="BH2" s="228" t="n"/>
      <c r="BI2" s="228" t="n"/>
      <c r="BJ2" s="228" t="n"/>
      <c r="BK2" s="228" t="n"/>
      <c r="BL2" s="228" t="n"/>
      <c r="BM2" s="228" t="n"/>
      <c r="BN2" s="228" t="n"/>
      <c r="BO2" s="228" t="n"/>
      <c r="BP2" s="228" t="n"/>
      <c r="BQ2" s="228" t="n"/>
      <c r="BR2" s="228" t="n"/>
      <c r="BS2" s="228" t="n"/>
      <c r="BT2" s="228" t="n"/>
      <c r="BU2" s="228" t="n"/>
      <c r="BV2" s="228" t="n"/>
      <c r="BW2" s="228" t="n"/>
      <c r="BX2" s="228" t="n"/>
      <c r="BY2" s="228" t="n"/>
      <c r="BZ2" s="228" t="n"/>
      <c r="CA2" s="228" t="n"/>
      <c r="CB2" s="228" t="n"/>
      <c r="CC2" s="228" t="n"/>
      <c r="CD2" s="228" t="n"/>
      <c r="CE2" s="228" t="n"/>
      <c r="CF2" s="228" t="n"/>
      <c r="CG2" s="228" t="n"/>
      <c r="CH2" s="228" t="n"/>
      <c r="CI2" s="228" t="n"/>
      <c r="CJ2" s="228" t="n"/>
      <c r="CK2" s="228" t="n"/>
      <c r="CL2" s="228" t="n"/>
      <c r="CM2" s="228" t="n"/>
      <c r="CN2" s="228" t="n"/>
      <c r="CO2" s="228" t="n"/>
      <c r="CP2" s="228" t="n"/>
      <c r="CQ2" s="228" t="n"/>
      <c r="CR2" s="228" t="n"/>
      <c r="CS2" s="228" t="n"/>
      <c r="CT2" s="228" t="n"/>
      <c r="CU2" s="228" t="n"/>
      <c r="CV2" s="228" t="n"/>
      <c r="CW2" s="228" t="n"/>
      <c r="CX2" s="228" t="n"/>
      <c r="CY2" s="228" t="n"/>
      <c r="CZ2" s="228" t="n"/>
      <c r="DA2" s="228" t="n"/>
      <c r="DB2" s="228" t="n"/>
      <c r="DC2" s="228" t="n"/>
      <c r="DD2" s="228" t="n"/>
      <c r="DE2" s="228" t="n"/>
      <c r="DF2" s="228" t="n"/>
      <c r="DG2" s="228" t="n"/>
      <c r="DH2" s="228" t="n"/>
      <c r="DI2" s="228" t="n"/>
      <c r="DJ2" s="228" t="n"/>
      <c r="DK2" s="228" t="n"/>
      <c r="DL2" s="228" t="n"/>
      <c r="DM2" s="228" t="n"/>
      <c r="DN2" s="228" t="n"/>
      <c r="DO2" s="228" t="n"/>
      <c r="DP2" s="228" t="n"/>
      <c r="DQ2" s="228" t="n"/>
      <c r="DR2" s="228" t="n"/>
      <c r="DS2" s="228" t="n"/>
      <c r="DT2" s="228" t="n"/>
      <c r="DU2" s="228" t="n"/>
      <c r="DV2" s="228" t="n"/>
      <c r="DW2" s="228" t="n"/>
      <c r="DX2" s="228" t="n"/>
      <c r="DY2" s="228" t="n"/>
      <c r="DZ2" s="228" t="n"/>
      <c r="EA2" s="228" t="n"/>
      <c r="EB2" s="228" t="n"/>
      <c r="EC2" s="228" t="n"/>
      <c r="ED2" s="228" t="n"/>
      <c r="EE2" s="228" t="n"/>
      <c r="EF2" s="228" t="n"/>
      <c r="EG2" s="228" t="n"/>
      <c r="EH2" s="228" t="n"/>
      <c r="EI2" s="228" t="n"/>
      <c r="EJ2" s="228" t="n"/>
      <c r="EK2" s="228" t="n"/>
      <c r="EL2" s="257" t="n"/>
    </row>
    <row r="3" ht="20.25" customHeight="1">
      <c r="B3" s="201" t="inlineStr">
        <is>
          <t xml:space="preserve">Intersección     :     </t>
        </is>
      </c>
      <c r="D3" s="203">
        <f>Inicio!G5</f>
        <v/>
      </c>
      <c r="L3" s="206" t="n"/>
      <c r="EL3" s="48" t="n"/>
    </row>
    <row r="4" ht="20.25" customHeight="1">
      <c r="B4" s="201" t="inlineStr">
        <is>
          <t xml:space="preserve">Fecha     :     </t>
        </is>
      </c>
      <c r="D4" s="204">
        <f>Inicio!G6</f>
        <v/>
      </c>
      <c r="EL4" s="48" t="n"/>
    </row>
    <row r="5" ht="20.25" customHeight="1">
      <c r="B5" s="201" t="inlineStr">
        <is>
          <t xml:space="preserve">Día     :     </t>
        </is>
      </c>
      <c r="D5" s="207">
        <f>Inicio!G8</f>
        <v/>
      </c>
      <c r="F5" s="202" t="inlineStr">
        <is>
          <t xml:space="preserve">Distrito     :     </t>
        </is>
      </c>
      <c r="H5" s="207">
        <f>Inicio!G9</f>
        <v/>
      </c>
      <c r="EL5" s="48" t="n"/>
    </row>
    <row r="6" ht="20.25" customHeight="1">
      <c r="B6" s="258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0" t="n"/>
      <c r="EI6" s="50" t="n"/>
      <c r="EJ6" s="50" t="n"/>
      <c r="EK6" s="50" t="n"/>
      <c r="EL6" s="51" t="n"/>
    </row>
    <row r="7" ht="22.5" customHeight="1">
      <c r="B7" s="217" t="inlineStr">
        <is>
          <t>Horas de Control</t>
        </is>
      </c>
      <c r="C7" s="193">
        <f>Inicio!V4</f>
        <v/>
      </c>
      <c r="D7" s="259" t="n"/>
      <c r="E7" s="259" t="n"/>
      <c r="F7" s="259" t="n"/>
      <c r="G7" s="259" t="n"/>
      <c r="H7" s="259" t="n"/>
      <c r="I7" s="259" t="n"/>
      <c r="J7" s="259" t="n"/>
      <c r="K7" s="259" t="n"/>
      <c r="L7" s="260" t="n"/>
      <c r="M7" s="193">
        <f>Inicio!V5</f>
        <v/>
      </c>
      <c r="N7" s="259" t="n"/>
      <c r="O7" s="259" t="n"/>
      <c r="P7" s="259" t="n"/>
      <c r="Q7" s="259" t="n"/>
      <c r="R7" s="259" t="n"/>
      <c r="S7" s="259" t="n"/>
      <c r="T7" s="259" t="n"/>
      <c r="U7" s="259" t="n"/>
      <c r="V7" s="260" t="n"/>
      <c r="W7" s="193">
        <f>Inicio!V6</f>
        <v/>
      </c>
      <c r="X7" s="259" t="n"/>
      <c r="Y7" s="259" t="n"/>
      <c r="Z7" s="259" t="n"/>
      <c r="AA7" s="259" t="n"/>
      <c r="AB7" s="259" t="n"/>
      <c r="AC7" s="259" t="n"/>
      <c r="AD7" s="259" t="n"/>
      <c r="AE7" s="259" t="n"/>
      <c r="AF7" s="260" t="n"/>
      <c r="AG7" s="261">
        <f>Inicio!V7</f>
        <v/>
      </c>
      <c r="AH7" s="262" t="n"/>
      <c r="AI7" s="262" t="n"/>
      <c r="AJ7" s="262" t="n"/>
      <c r="AK7" s="262" t="n"/>
      <c r="AL7" s="262" t="n"/>
      <c r="AM7" s="262" t="n"/>
      <c r="AN7" s="262" t="n"/>
      <c r="AO7" s="262" t="n"/>
      <c r="AP7" s="263" t="n"/>
      <c r="AQ7" s="261">
        <f>Inicio!V8</f>
        <v/>
      </c>
      <c r="AR7" s="262" t="n"/>
      <c r="AS7" s="262" t="n"/>
      <c r="AT7" s="262" t="n"/>
      <c r="AU7" s="262" t="n"/>
      <c r="AV7" s="262" t="n"/>
      <c r="AW7" s="262" t="n"/>
      <c r="AX7" s="262" t="n"/>
      <c r="AY7" s="262" t="n"/>
      <c r="AZ7" s="263" t="n"/>
      <c r="BA7" s="261">
        <f>Inicio!V9</f>
        <v/>
      </c>
      <c r="BB7" s="262" t="n"/>
      <c r="BC7" s="262" t="n"/>
      <c r="BD7" s="262" t="n"/>
      <c r="BE7" s="262" t="n"/>
      <c r="BF7" s="262" t="n"/>
      <c r="BG7" s="262" t="n"/>
      <c r="BH7" s="262" t="n"/>
      <c r="BI7" s="262" t="n"/>
      <c r="BJ7" s="263" t="n"/>
      <c r="BK7" s="261">
        <f>Inicio!V10</f>
        <v/>
      </c>
      <c r="BL7" s="262" t="n"/>
      <c r="BM7" s="262" t="n"/>
      <c r="BN7" s="262" t="n"/>
      <c r="BO7" s="262" t="n"/>
      <c r="BP7" s="262" t="n"/>
      <c r="BQ7" s="262" t="n"/>
      <c r="BR7" s="262" t="n"/>
      <c r="BS7" s="262" t="n"/>
      <c r="BT7" s="263" t="n"/>
      <c r="BU7" s="261">
        <f>Inicio!V11</f>
        <v/>
      </c>
      <c r="BV7" s="262" t="n"/>
      <c r="BW7" s="262" t="n"/>
      <c r="BX7" s="262" t="n"/>
      <c r="BY7" s="262" t="n"/>
      <c r="BZ7" s="262" t="n"/>
      <c r="CA7" s="262" t="n"/>
      <c r="CB7" s="262" t="n"/>
      <c r="CC7" s="262" t="n"/>
      <c r="CD7" s="263" t="n"/>
      <c r="CE7" s="261">
        <f>Inicio!V12</f>
        <v/>
      </c>
      <c r="CF7" s="262" t="n"/>
      <c r="CG7" s="262" t="n"/>
      <c r="CH7" s="262" t="n"/>
      <c r="CI7" s="262" t="n"/>
      <c r="CJ7" s="262" t="n"/>
      <c r="CK7" s="262" t="n"/>
      <c r="CL7" s="262" t="n"/>
      <c r="CM7" s="262" t="n"/>
      <c r="CN7" s="263" t="n"/>
      <c r="CO7" s="261">
        <f>Inicio!V13</f>
        <v/>
      </c>
      <c r="CP7" s="262" t="n"/>
      <c r="CQ7" s="262" t="n"/>
      <c r="CR7" s="262" t="n"/>
      <c r="CS7" s="262" t="n"/>
      <c r="CT7" s="262" t="n"/>
      <c r="CU7" s="262" t="n"/>
      <c r="CV7" s="262" t="n"/>
      <c r="CW7" s="262" t="n"/>
      <c r="CX7" s="263" t="n"/>
      <c r="CY7" s="261">
        <f>Inicio!V14</f>
        <v/>
      </c>
      <c r="CZ7" s="262" t="n"/>
      <c r="DA7" s="262" t="n"/>
      <c r="DB7" s="262" t="n"/>
      <c r="DC7" s="262" t="n"/>
      <c r="DD7" s="262" t="n"/>
      <c r="DE7" s="262" t="n"/>
      <c r="DF7" s="262" t="n"/>
      <c r="DG7" s="262" t="n"/>
      <c r="DH7" s="263" t="n"/>
      <c r="DI7" s="261">
        <f>Inicio!V15</f>
        <v/>
      </c>
      <c r="DJ7" s="262" t="n"/>
      <c r="DK7" s="262" t="n"/>
      <c r="DL7" s="262" t="n"/>
      <c r="DM7" s="262" t="n"/>
      <c r="DN7" s="262" t="n"/>
      <c r="DO7" s="262" t="n"/>
      <c r="DP7" s="262" t="n"/>
      <c r="DQ7" s="262" t="n"/>
      <c r="DR7" s="263" t="n"/>
      <c r="DS7" s="264" t="inlineStr">
        <is>
          <t>Movimiento UCP</t>
        </is>
      </c>
      <c r="DT7" s="262" t="n"/>
      <c r="DU7" s="262" t="n"/>
      <c r="DV7" s="262" t="n"/>
      <c r="DW7" s="262" t="n"/>
      <c r="DX7" s="262" t="n"/>
      <c r="DY7" s="262" t="n"/>
      <c r="DZ7" s="262" t="n"/>
      <c r="EA7" s="262" t="n"/>
      <c r="EB7" s="262" t="n"/>
      <c r="EC7" s="262" t="n"/>
      <c r="ED7" s="263" t="n"/>
      <c r="EE7" s="196" t="inlineStr">
        <is>
          <t>Total
c/15'</t>
        </is>
      </c>
      <c r="EF7" s="196" t="inlineStr">
        <is>
          <t>Suma
1h</t>
        </is>
      </c>
      <c r="EG7" s="196" t="inlineStr">
        <is>
          <t>(UCP)
c/15'</t>
        </is>
      </c>
      <c r="EH7" s="196" t="inlineStr">
        <is>
          <t>(UCP)
1h</t>
        </is>
      </c>
      <c r="EI7" s="214" t="inlineStr">
        <is>
          <t>Total (N, S, E, O)</t>
        </is>
      </c>
      <c r="EJ7" s="259" t="n"/>
      <c r="EK7" s="259" t="n"/>
      <c r="EL7" s="260" t="n"/>
    </row>
    <row r="8" ht="20.25" customHeight="1">
      <c r="B8" s="265" t="n"/>
      <c r="C8" s="14">
        <f>IF(Inicio!$G12 = 0,"",Inicio!$G12)</f>
        <v/>
      </c>
      <c r="D8" s="14">
        <f>IF(Inicio!$G13 = 0,"",Inicio!$G13)</f>
        <v/>
      </c>
      <c r="E8" s="14">
        <f>IF(Inicio!$G14 = 0,"",Inicio!$G14)</f>
        <v/>
      </c>
      <c r="F8" s="14">
        <f>IF(Inicio!$G15 = 0,"",Inicio!$G15)</f>
        <v/>
      </c>
      <c r="G8" s="14">
        <f>IF(Inicio!$G16 = 0,"",Inicio!$G16)</f>
        <v/>
      </c>
      <c r="H8" s="14">
        <f>IF(Inicio!$G17 = 0,"",Inicio!$G17)</f>
        <v/>
      </c>
      <c r="I8" s="14">
        <f>IF(Inicio!$G18 = 0,"",Inicio!$G18)</f>
        <v/>
      </c>
      <c r="J8" s="14">
        <f>IF(Inicio!$G19 = 0,"",Inicio!$G19)</f>
        <v/>
      </c>
      <c r="K8" s="14">
        <f>IF(Inicio!$G20 = 0,"",Inicio!$G20)</f>
        <v/>
      </c>
      <c r="L8" s="14">
        <f>IF(Inicio!$G21 = 0,"",Inicio!$G21)</f>
        <v/>
      </c>
      <c r="M8" s="14">
        <f>IF(Inicio!$G12 = 0,"",Inicio!$G12)</f>
        <v/>
      </c>
      <c r="N8" s="14">
        <f>IF(Inicio!$G13 = 0,"",Inicio!$G13)</f>
        <v/>
      </c>
      <c r="O8" s="14">
        <f>IF(Inicio!$G14 = 0,"",Inicio!$G14)</f>
        <v/>
      </c>
      <c r="P8" s="14">
        <f>IF(Inicio!$G15 = 0,"",Inicio!$G15)</f>
        <v/>
      </c>
      <c r="Q8" s="14">
        <f>IF(Inicio!$G16 = 0,"",Inicio!$G16)</f>
        <v/>
      </c>
      <c r="R8" s="14">
        <f>IF(Inicio!$G17 = 0,"",Inicio!$G17)</f>
        <v/>
      </c>
      <c r="S8" s="14">
        <f>IF(Inicio!$G18 = 0,"",Inicio!$G18)</f>
        <v/>
      </c>
      <c r="T8" s="14">
        <f>IF(Inicio!$G19 = 0,"",Inicio!$G19)</f>
        <v/>
      </c>
      <c r="U8" s="14">
        <f>IF(Inicio!$G20 = 0,"",Inicio!$G20)</f>
        <v/>
      </c>
      <c r="V8" s="14">
        <f>IF(Inicio!$G21 = 0,"",Inicio!$G21)</f>
        <v/>
      </c>
      <c r="W8" s="14">
        <f>IF(Inicio!$G12 = 0,"",Inicio!$G12)</f>
        <v/>
      </c>
      <c r="X8" s="14">
        <f>IF(Inicio!$G13 = 0,"",Inicio!$G13)</f>
        <v/>
      </c>
      <c r="Y8" s="14">
        <f>IF(Inicio!$G14 = 0,"",Inicio!$G14)</f>
        <v/>
      </c>
      <c r="Z8" s="14">
        <f>IF(Inicio!$G15 = 0,"",Inicio!$G15)</f>
        <v/>
      </c>
      <c r="AA8" s="14">
        <f>IF(Inicio!$G16 = 0,"",Inicio!$G16)</f>
        <v/>
      </c>
      <c r="AB8" s="14">
        <f>IF(Inicio!$G17 = 0,"",Inicio!$G17)</f>
        <v/>
      </c>
      <c r="AC8" s="14">
        <f>IF(Inicio!$G18 = 0,"",Inicio!$G18)</f>
        <v/>
      </c>
      <c r="AD8" s="14">
        <f>IF(Inicio!$G19 = 0,"",Inicio!$G19)</f>
        <v/>
      </c>
      <c r="AE8" s="14">
        <f>IF(Inicio!$G20 = 0,"",Inicio!$G20)</f>
        <v/>
      </c>
      <c r="AF8" s="14">
        <f>IF(Inicio!$G21 = 0,"",Inicio!$G21)</f>
        <v/>
      </c>
      <c r="AG8" s="14">
        <f>IF(Inicio!$G12 = 0,"",Inicio!$G12)</f>
        <v/>
      </c>
      <c r="AH8" s="14">
        <f>IF(Inicio!$G13 = 0,"",Inicio!$G13)</f>
        <v/>
      </c>
      <c r="AI8" s="14">
        <f>IF(Inicio!$G14 = 0,"",Inicio!$G14)</f>
        <v/>
      </c>
      <c r="AJ8" s="14">
        <f>IF(Inicio!$G15 = 0,"",Inicio!$G15)</f>
        <v/>
      </c>
      <c r="AK8" s="14">
        <f>IF(Inicio!$G16 = 0,"",Inicio!$G16)</f>
        <v/>
      </c>
      <c r="AL8" s="14">
        <f>IF(Inicio!$G17 = 0,"",Inicio!$G17)</f>
        <v/>
      </c>
      <c r="AM8" s="14">
        <f>IF(Inicio!$G18 = 0,"",Inicio!$G18)</f>
        <v/>
      </c>
      <c r="AN8" s="14">
        <f>IF(Inicio!$G19 = 0,"",Inicio!$G19)</f>
        <v/>
      </c>
      <c r="AO8" s="14">
        <f>IF(Inicio!$G20 = 0,"",Inicio!$G20)</f>
        <v/>
      </c>
      <c r="AP8" s="14">
        <f>IF(Inicio!$G21 = 0,"",Inicio!$G21)</f>
        <v/>
      </c>
      <c r="AQ8" s="14">
        <f>IF(Inicio!$G12 = 0,"",Inicio!$G12)</f>
        <v/>
      </c>
      <c r="AR8" s="14">
        <f>IF(Inicio!$G13 = 0,"",Inicio!$G13)</f>
        <v/>
      </c>
      <c r="AS8" s="14">
        <f>IF(Inicio!$G14 = 0,"",Inicio!$G14)</f>
        <v/>
      </c>
      <c r="AT8" s="14">
        <f>IF(Inicio!$G15 = 0,"",Inicio!$G15)</f>
        <v/>
      </c>
      <c r="AU8" s="14">
        <f>IF(Inicio!$G16 = 0,"",Inicio!$G16)</f>
        <v/>
      </c>
      <c r="AV8" s="14">
        <f>IF(Inicio!$G17 = 0,"",Inicio!$G17)</f>
        <v/>
      </c>
      <c r="AW8" s="14">
        <f>IF(Inicio!$G18 = 0,"",Inicio!$G18)</f>
        <v/>
      </c>
      <c r="AX8" s="14">
        <f>IF(Inicio!$G19 = 0,"",Inicio!$G19)</f>
        <v/>
      </c>
      <c r="AY8" s="14">
        <f>IF(Inicio!$G20 = 0,"",Inicio!$G20)</f>
        <v/>
      </c>
      <c r="AZ8" s="14">
        <f>IF(Inicio!$G21 = 0,"",Inicio!$G21)</f>
        <v/>
      </c>
      <c r="BA8" s="14">
        <f>IF(Inicio!$G12 = 0,"",Inicio!$G12)</f>
        <v/>
      </c>
      <c r="BB8" s="14">
        <f>IF(Inicio!$G13 = 0,"",Inicio!$G13)</f>
        <v/>
      </c>
      <c r="BC8" s="14">
        <f>IF(Inicio!$G14 = 0,"",Inicio!$G14)</f>
        <v/>
      </c>
      <c r="BD8" s="14">
        <f>IF(Inicio!$G15 = 0,"",Inicio!$G15)</f>
        <v/>
      </c>
      <c r="BE8" s="14">
        <f>IF(Inicio!$G16 = 0,"",Inicio!$G16)</f>
        <v/>
      </c>
      <c r="BF8" s="14">
        <f>IF(Inicio!$G17 = 0,"",Inicio!$G17)</f>
        <v/>
      </c>
      <c r="BG8" s="14">
        <f>IF(Inicio!$G18 = 0,"",Inicio!$G18)</f>
        <v/>
      </c>
      <c r="BH8" s="14">
        <f>IF(Inicio!$G19 = 0,"",Inicio!$G19)</f>
        <v/>
      </c>
      <c r="BI8" s="14">
        <f>IF(Inicio!$G20 = 0,"",Inicio!$G20)</f>
        <v/>
      </c>
      <c r="BJ8" s="14">
        <f>IF(Inicio!$G21 = 0,"",Inicio!$G21)</f>
        <v/>
      </c>
      <c r="BK8" s="14">
        <f>IF(Inicio!$G12 = 0,"",Inicio!$G12)</f>
        <v/>
      </c>
      <c r="BL8" s="14">
        <f>IF(Inicio!$G13 = 0,"",Inicio!$G13)</f>
        <v/>
      </c>
      <c r="BM8" s="14">
        <f>IF(Inicio!$G14 = 0,"",Inicio!$G14)</f>
        <v/>
      </c>
      <c r="BN8" s="14">
        <f>IF(Inicio!$G15 = 0,"",Inicio!$G15)</f>
        <v/>
      </c>
      <c r="BO8" s="14">
        <f>IF(Inicio!$G16 = 0,"",Inicio!$G16)</f>
        <v/>
      </c>
      <c r="BP8" s="14">
        <f>IF(Inicio!$G17 = 0,"",Inicio!$G17)</f>
        <v/>
      </c>
      <c r="BQ8" s="14">
        <f>IF(Inicio!$G18 = 0,"",Inicio!$G18)</f>
        <v/>
      </c>
      <c r="BR8" s="14">
        <f>IF(Inicio!$G19 = 0,"",Inicio!$G19)</f>
        <v/>
      </c>
      <c r="BS8" s="14">
        <f>IF(Inicio!$G20 = 0,"",Inicio!$G20)</f>
        <v/>
      </c>
      <c r="BT8" s="14">
        <f>IF(Inicio!$G21 = 0,"",Inicio!$G21)</f>
        <v/>
      </c>
      <c r="BU8" s="14">
        <f>IF(Inicio!$G12 = 0,"",Inicio!$G12)</f>
        <v/>
      </c>
      <c r="BV8" s="14">
        <f>IF(Inicio!$G13 = 0,"",Inicio!$G13)</f>
        <v/>
      </c>
      <c r="BW8" s="14">
        <f>IF(Inicio!$G14 = 0,"",Inicio!$G14)</f>
        <v/>
      </c>
      <c r="BX8" s="14">
        <f>IF(Inicio!$G15 = 0,"",Inicio!$G15)</f>
        <v/>
      </c>
      <c r="BY8" s="14">
        <f>IF(Inicio!$G16 = 0,"",Inicio!$G16)</f>
        <v/>
      </c>
      <c r="BZ8" s="14">
        <f>IF(Inicio!$G17 = 0,"",Inicio!$G17)</f>
        <v/>
      </c>
      <c r="CA8" s="14">
        <f>IF(Inicio!$G18 = 0,"",Inicio!$G18)</f>
        <v/>
      </c>
      <c r="CB8" s="14">
        <f>IF(Inicio!$G19 = 0,"",Inicio!$G19)</f>
        <v/>
      </c>
      <c r="CC8" s="14">
        <f>IF(Inicio!$G20 = 0,"",Inicio!$G20)</f>
        <v/>
      </c>
      <c r="CD8" s="14">
        <f>IF(Inicio!$G21 = 0,"",Inicio!$G21)</f>
        <v/>
      </c>
      <c r="CE8" s="14">
        <f>IF(Inicio!$G12 = 0,"",Inicio!$G12)</f>
        <v/>
      </c>
      <c r="CF8" s="14">
        <f>IF(Inicio!$G13 = 0,"",Inicio!$G13)</f>
        <v/>
      </c>
      <c r="CG8" s="14">
        <f>IF(Inicio!$G14 = 0,"",Inicio!$G14)</f>
        <v/>
      </c>
      <c r="CH8" s="14">
        <f>IF(Inicio!$G15 = 0,"",Inicio!$G15)</f>
        <v/>
      </c>
      <c r="CI8" s="14">
        <f>IF(Inicio!$G16 = 0,"",Inicio!$G16)</f>
        <v/>
      </c>
      <c r="CJ8" s="14">
        <f>IF(Inicio!$G17 = 0,"",Inicio!$G17)</f>
        <v/>
      </c>
      <c r="CK8" s="14">
        <f>IF(Inicio!$G18 = 0,"",Inicio!$G18)</f>
        <v/>
      </c>
      <c r="CL8" s="14">
        <f>IF(Inicio!$G19 = 0,"",Inicio!$G19)</f>
        <v/>
      </c>
      <c r="CM8" s="14">
        <f>IF(Inicio!$G20 = 0,"",Inicio!$G20)</f>
        <v/>
      </c>
      <c r="CN8" s="14">
        <f>IF(Inicio!$G21 = 0,"",Inicio!$G21)</f>
        <v/>
      </c>
      <c r="CO8" s="14">
        <f>IF(Inicio!$G12 = 0,"",Inicio!$G12)</f>
        <v/>
      </c>
      <c r="CP8" s="14">
        <f>IF(Inicio!$G13 = 0,"",Inicio!$G13)</f>
        <v/>
      </c>
      <c r="CQ8" s="14">
        <f>IF(Inicio!$G14 = 0,"",Inicio!$G14)</f>
        <v/>
      </c>
      <c r="CR8" s="14">
        <f>IF(Inicio!$G15 = 0,"",Inicio!$G15)</f>
        <v/>
      </c>
      <c r="CS8" s="14">
        <f>IF(Inicio!$G16 = 0,"",Inicio!$G16)</f>
        <v/>
      </c>
      <c r="CT8" s="14">
        <f>IF(Inicio!$G17 = 0,"",Inicio!$G17)</f>
        <v/>
      </c>
      <c r="CU8" s="14">
        <f>IF(Inicio!$G18 = 0,"",Inicio!$G18)</f>
        <v/>
      </c>
      <c r="CV8" s="14">
        <f>IF(Inicio!$G19 = 0,"",Inicio!$G19)</f>
        <v/>
      </c>
      <c r="CW8" s="14">
        <f>IF(Inicio!$G20 = 0,"",Inicio!$G20)</f>
        <v/>
      </c>
      <c r="CX8" s="14">
        <f>IF(Inicio!$G21 = 0,"",Inicio!$G21)</f>
        <v/>
      </c>
      <c r="CY8" s="14">
        <f>IF(Inicio!$G12 = 0,"",Inicio!$G12)</f>
        <v/>
      </c>
      <c r="CZ8" s="14">
        <f>IF(Inicio!$G13 = 0,"",Inicio!$G13)</f>
        <v/>
      </c>
      <c r="DA8" s="14">
        <f>IF(Inicio!$G14 = 0,"",Inicio!$G14)</f>
        <v/>
      </c>
      <c r="DB8" s="14">
        <f>IF(Inicio!$G15 = 0,"",Inicio!$G15)</f>
        <v/>
      </c>
      <c r="DC8" s="14">
        <f>IF(Inicio!$G16 = 0,"",Inicio!$G16)</f>
        <v/>
      </c>
      <c r="DD8" s="14">
        <f>IF(Inicio!$G17 = 0,"",Inicio!$G17)</f>
        <v/>
      </c>
      <c r="DE8" s="14">
        <f>IF(Inicio!$G18 = 0,"",Inicio!$G18)</f>
        <v/>
      </c>
      <c r="DF8" s="14">
        <f>IF(Inicio!$G19 = 0,"",Inicio!$G19)</f>
        <v/>
      </c>
      <c r="DG8" s="14">
        <f>IF(Inicio!$G20 = 0,"",Inicio!$G20)</f>
        <v/>
      </c>
      <c r="DH8" s="14">
        <f>IF(Inicio!$G21 = 0,"",Inicio!$G21)</f>
        <v/>
      </c>
      <c r="DI8" s="14">
        <f>IF(Inicio!$G12 = 0,"",Inicio!$G12)</f>
        <v/>
      </c>
      <c r="DJ8" s="14">
        <f>IF(Inicio!$G13 = 0,"",Inicio!$G13)</f>
        <v/>
      </c>
      <c r="DK8" s="14">
        <f>IF(Inicio!$G14 = 0,"",Inicio!$G14)</f>
        <v/>
      </c>
      <c r="DL8" s="14">
        <f>IF(Inicio!$G15 = 0,"",Inicio!$G15)</f>
        <v/>
      </c>
      <c r="DM8" s="14">
        <f>IF(Inicio!$G16 = 0,"",Inicio!$G16)</f>
        <v/>
      </c>
      <c r="DN8" s="14">
        <f>IF(Inicio!$G17 = 0,"",Inicio!$G17)</f>
        <v/>
      </c>
      <c r="DO8" s="14">
        <f>IF(Inicio!$G18 = 0,"",Inicio!$G18)</f>
        <v/>
      </c>
      <c r="DP8" s="14">
        <f>IF(Inicio!$G19 = 0,"",Inicio!$G19)</f>
        <v/>
      </c>
      <c r="DQ8" s="14">
        <f>IF(Inicio!$G20 = 0,"",Inicio!$G20)</f>
        <v/>
      </c>
      <c r="DR8" s="14">
        <f>IF(Inicio!$G21 = 0,"",Inicio!$G21)</f>
        <v/>
      </c>
      <c r="DS8" s="52">
        <f>C7</f>
        <v/>
      </c>
      <c r="DT8" s="52">
        <f>M7</f>
        <v/>
      </c>
      <c r="DU8" s="52">
        <f>W7</f>
        <v/>
      </c>
      <c r="DV8" s="52">
        <f>AG7</f>
        <v/>
      </c>
      <c r="DW8" s="52">
        <f>AQ7</f>
        <v/>
      </c>
      <c r="DX8" s="52">
        <f>BA7</f>
        <v/>
      </c>
      <c r="DY8" s="52">
        <f>BK7</f>
        <v/>
      </c>
      <c r="DZ8" s="52">
        <f>BU7</f>
        <v/>
      </c>
      <c r="EA8" s="52">
        <f>CE7</f>
        <v/>
      </c>
      <c r="EB8" s="52">
        <f>CO7</f>
        <v/>
      </c>
      <c r="EC8" s="52">
        <f>CY7</f>
        <v/>
      </c>
      <c r="ED8" s="52">
        <f>DI7</f>
        <v/>
      </c>
      <c r="EE8" s="265" t="n"/>
      <c r="EF8" s="265" t="n"/>
      <c r="EG8" s="265" t="n"/>
      <c r="EH8" s="265" t="n"/>
      <c r="EI8" s="56" t="inlineStr">
        <is>
          <t>15'</t>
        </is>
      </c>
      <c r="EJ8" s="57" t="inlineStr">
        <is>
          <t>1h</t>
        </is>
      </c>
      <c r="EK8" s="57" t="inlineStr">
        <is>
          <t>(UCP) 15'</t>
        </is>
      </c>
      <c r="EL8" s="57" t="inlineStr">
        <is>
          <t>(UCP) 1h</t>
        </is>
      </c>
    </row>
    <row r="9" ht="20.25" customHeight="1">
      <c r="B9" s="23" t="inlineStr">
        <is>
          <t>00:00 - 00:15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3">
        <f>SUM(C9:L9)*Inicio!$W$4</f>
        <v/>
      </c>
      <c r="DT9" s="3">
        <f>SUM(M9:V9)*Inicio!$W$5</f>
        <v/>
      </c>
      <c r="DU9" s="3">
        <f>SUM(W9:AF9)*Inicio!$W$6</f>
        <v/>
      </c>
      <c r="DV9" s="3">
        <f>SUM(AG9:AP9)*Inicio!$W$7</f>
        <v/>
      </c>
      <c r="DW9" s="3">
        <f>SUM(AQ9:AZ9)*Inicio!$W$8</f>
        <v/>
      </c>
      <c r="DX9" s="3">
        <f>SUM(BA9:BJ9)*Inicio!$W$9</f>
        <v/>
      </c>
      <c r="DY9" s="3">
        <f>SUM(BK9:BT9)*Inicio!$W$10</f>
        <v/>
      </c>
      <c r="DZ9" s="3">
        <f>SUM(BU9:CD9)*Inicio!$W$11</f>
        <v/>
      </c>
      <c r="EA9" s="3">
        <f>SUM(CE9:CN9)*Inicio!$W$12</f>
        <v/>
      </c>
      <c r="EB9" s="3">
        <f>SUM(CO9:CX9)*Inicio!$W$13</f>
        <v/>
      </c>
      <c r="EC9" s="3">
        <f>SUM(CY9:DH9)*Inicio!$W$11</f>
        <v/>
      </c>
      <c r="ED9" s="3">
        <f>SUM(DI9:DR9)*Inicio!$W$12</f>
        <v/>
      </c>
      <c r="EE9" s="3">
        <f>SUM(C9:DR9)</f>
        <v/>
      </c>
      <c r="EF9" s="3">
        <f>EE9</f>
        <v/>
      </c>
      <c r="EG9" s="3">
        <f>SUM(DS9:ED9)</f>
        <v/>
      </c>
      <c r="EH9" s="3">
        <f>EG9</f>
        <v/>
      </c>
      <c r="EI9" s="3">
        <f>EE9+S!EE9+E!EE9+O!EE9</f>
        <v/>
      </c>
      <c r="EJ9" s="3">
        <f>EI9</f>
        <v/>
      </c>
      <c r="EK9" s="3">
        <f>EG9+S!EG9+E!EG9+O!EG9</f>
        <v/>
      </c>
      <c r="EL9" s="3">
        <f>EK9</f>
        <v/>
      </c>
    </row>
    <row r="10" ht="20.25" customHeight="1">
      <c r="B10" s="24" t="inlineStr">
        <is>
          <t>00:15 - 00:30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4">
        <f>SUM(C10:L10)*Inicio!$W$4</f>
        <v/>
      </c>
      <c r="DT10" s="4">
        <f>SUM(M10:V10)*Inicio!$W$5</f>
        <v/>
      </c>
      <c r="DU10" s="4">
        <f>SUM(W10:AF10)*Inicio!$W$6</f>
        <v/>
      </c>
      <c r="DV10" s="4">
        <f>SUM(AG10:AP10)*Inicio!$W$7</f>
        <v/>
      </c>
      <c r="DW10" s="4">
        <f>SUM(AQ10:AZ10)*Inicio!$W$8</f>
        <v/>
      </c>
      <c r="DX10" s="4">
        <f>SUM(BA10:BJ10)*Inicio!$W$9</f>
        <v/>
      </c>
      <c r="DY10" s="4">
        <f>SUM(BK10:BT10)*Inicio!$W$10</f>
        <v/>
      </c>
      <c r="DZ10" s="4">
        <f>SUM(BU10:CD10)*Inicio!$W$11</f>
        <v/>
      </c>
      <c r="EA10" s="4">
        <f>SUM(CE10:CN10)*Inicio!$W$12</f>
        <v/>
      </c>
      <c r="EB10" s="4">
        <f>SUM(CO10:CX10)*Inicio!$W$13</f>
        <v/>
      </c>
      <c r="EC10" s="4">
        <f>SUM(CY10:DH10)*Inicio!$W$11</f>
        <v/>
      </c>
      <c r="ED10" s="4">
        <f>SUM(DI10:DR10)*Inicio!$W$12</f>
        <v/>
      </c>
      <c r="EE10" s="4">
        <f>SUM(C10:DR10)</f>
        <v/>
      </c>
      <c r="EF10" s="4">
        <f>SUM(EE9:EE10)</f>
        <v/>
      </c>
      <c r="EG10" s="4">
        <f>SUM(DS10:ED10)</f>
        <v/>
      </c>
      <c r="EH10" s="4">
        <f>SUM(EG9:EG10)</f>
        <v/>
      </c>
      <c r="EI10" s="4">
        <f>EE10+S!EE10+E!EE10+O!EE10</f>
        <v/>
      </c>
      <c r="EJ10" s="4">
        <f>SUM(EI9:EI10)</f>
        <v/>
      </c>
      <c r="EK10" s="4">
        <f>EG10+S!EG10+E!EG10+O!EG10</f>
        <v/>
      </c>
      <c r="EL10" s="4">
        <f>SUM(EK9:EK10)</f>
        <v/>
      </c>
    </row>
    <row r="11" ht="20.25" customHeight="1">
      <c r="B11" s="24" t="inlineStr">
        <is>
          <t>00:30 - 00:45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4">
        <f>SUM(C11:L11)*Inicio!$W$4</f>
        <v/>
      </c>
      <c r="DT11" s="4">
        <f>SUM(M11:V11)*Inicio!$W$5</f>
        <v/>
      </c>
      <c r="DU11" s="4">
        <f>SUM(W11:AF11)*Inicio!$W$6</f>
        <v/>
      </c>
      <c r="DV11" s="4">
        <f>SUM(AG11:AP11)*Inicio!$W$7</f>
        <v/>
      </c>
      <c r="DW11" s="4">
        <f>SUM(AQ11:AZ11)*Inicio!$W$8</f>
        <v/>
      </c>
      <c r="DX11" s="4">
        <f>SUM(BA11:BJ11)*Inicio!$W$9</f>
        <v/>
      </c>
      <c r="DY11" s="4">
        <f>SUM(BK11:BT11)*Inicio!$W$10</f>
        <v/>
      </c>
      <c r="DZ11" s="4">
        <f>SUM(BU11:CD11)*Inicio!$W$11</f>
        <v/>
      </c>
      <c r="EA11" s="4">
        <f>SUM(CE11:CN11)*Inicio!$W$12</f>
        <v/>
      </c>
      <c r="EB11" s="4">
        <f>SUM(CO11:CX11)*Inicio!$W$13</f>
        <v/>
      </c>
      <c r="EC11" s="4">
        <f>SUM(CY11:DH11)*Inicio!$W$11</f>
        <v/>
      </c>
      <c r="ED11" s="4">
        <f>SUM(DI11:DR11)*Inicio!$W$12</f>
        <v/>
      </c>
      <c r="EE11" s="4">
        <f>SUM(C11:DR11)</f>
        <v/>
      </c>
      <c r="EF11" s="4">
        <f>SUM(EE9:EE11)</f>
        <v/>
      </c>
      <c r="EG11" s="4">
        <f>SUM(DS11:ED11)</f>
        <v/>
      </c>
      <c r="EH11" s="4">
        <f>SUM(EG9:EG11)</f>
        <v/>
      </c>
      <c r="EI11" s="4">
        <f>EE11+S!EE11+E!EE11+O!EE11</f>
        <v/>
      </c>
      <c r="EJ11" s="4">
        <f>SUM(EI9:EI11)</f>
        <v/>
      </c>
      <c r="EK11" s="4">
        <f>EG11+S!EG11+E!EG11+O!EG11</f>
        <v/>
      </c>
      <c r="EL11" s="4">
        <f>SUM(EK9:EK11)</f>
        <v/>
      </c>
    </row>
    <row r="12" ht="20.25" customHeight="1">
      <c r="B12" s="25" t="inlineStr">
        <is>
          <t>00:45 - 01:00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5">
        <f>SUM(C12:L12)*Inicio!$W$4</f>
        <v/>
      </c>
      <c r="DT12" s="5">
        <f>SUM(M12:V12)*Inicio!$W$5</f>
        <v/>
      </c>
      <c r="DU12" s="5">
        <f>SUM(W12:AF12)*Inicio!$W$6</f>
        <v/>
      </c>
      <c r="DV12" s="5">
        <f>SUM(AG12:AP12)*Inicio!$W$7</f>
        <v/>
      </c>
      <c r="DW12" s="5">
        <f>SUM(AQ12:AZ12)*Inicio!$W$8</f>
        <v/>
      </c>
      <c r="DX12" s="5">
        <f>SUM(BA12:BJ12)*Inicio!$W$9</f>
        <v/>
      </c>
      <c r="DY12" s="5">
        <f>SUM(BK12:BT12)*Inicio!$W$10</f>
        <v/>
      </c>
      <c r="DZ12" s="5">
        <f>SUM(BU12:CD12)*Inicio!$W$11</f>
        <v/>
      </c>
      <c r="EA12" s="5">
        <f>SUM(CE12:CN12)*Inicio!$W$12</f>
        <v/>
      </c>
      <c r="EB12" s="5">
        <f>SUM(CO12:CX12)*Inicio!$W$13</f>
        <v/>
      </c>
      <c r="EC12" s="85">
        <f>SUM(CY12:DH12)*Inicio!$W$11</f>
        <v/>
      </c>
      <c r="ED12" s="85">
        <f>SUM(DI12:DR12)*Inicio!$W$12</f>
        <v/>
      </c>
      <c r="EE12" s="4">
        <f>SUM(C12:DR12)</f>
        <v/>
      </c>
      <c r="EF12" s="5">
        <f>SUM(EE9:EE12)</f>
        <v/>
      </c>
      <c r="EG12" s="5">
        <f>SUM(DS12:ED12)</f>
        <v/>
      </c>
      <c r="EH12" s="5">
        <f>SUM(EG9:EG12)</f>
        <v/>
      </c>
      <c r="EI12" s="5">
        <f>EE12+S!EE12+E!EE12+O!EE12</f>
        <v/>
      </c>
      <c r="EJ12" s="5">
        <f>SUM(EI9:EI12)</f>
        <v/>
      </c>
      <c r="EK12" s="5">
        <f>EG12+S!EG12+E!EG12+O!EG12</f>
        <v/>
      </c>
      <c r="EL12" s="5">
        <f>SUM(EK9:EK12)</f>
        <v/>
      </c>
    </row>
    <row r="13" ht="20.25" customHeight="1">
      <c r="B13" s="23" t="inlineStr">
        <is>
          <t>01:00 - 01:15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3">
        <f>SUM(C13:L13)*Inicio!$W$4</f>
        <v/>
      </c>
      <c r="DT13" s="3">
        <f>SUM(M13:V13)*Inicio!$W$5</f>
        <v/>
      </c>
      <c r="DU13" s="3">
        <f>SUM(W13:AF13)*Inicio!$W$6</f>
        <v/>
      </c>
      <c r="DV13" s="3">
        <f>SUM(AG13:AP13)*Inicio!$W$7</f>
        <v/>
      </c>
      <c r="DW13" s="3">
        <f>SUM(AQ13:AZ13)*Inicio!$W$8</f>
        <v/>
      </c>
      <c r="DX13" s="3">
        <f>SUM(BA13:BJ13)*Inicio!$W$9</f>
        <v/>
      </c>
      <c r="DY13" s="3">
        <f>SUM(BK13:BT13)*Inicio!$W$10</f>
        <v/>
      </c>
      <c r="DZ13" s="3">
        <f>SUM(BU13:CD13)*Inicio!$W$11</f>
        <v/>
      </c>
      <c r="EA13" s="3">
        <f>SUM(CE13:CN13)*Inicio!$W$12</f>
        <v/>
      </c>
      <c r="EB13" s="3">
        <f>SUM(CO13:CX13)*Inicio!$W$13</f>
        <v/>
      </c>
      <c r="EC13" s="3">
        <f>SUM(CY13:DH13)*Inicio!$W$11</f>
        <v/>
      </c>
      <c r="ED13" s="3">
        <f>SUM(DI13:DR13)*Inicio!$W$12</f>
        <v/>
      </c>
      <c r="EE13" s="3">
        <f>SUM(C13:DR13)</f>
        <v/>
      </c>
      <c r="EF13" s="3">
        <f>SUM(EE10:EE13)</f>
        <v/>
      </c>
      <c r="EG13" s="3">
        <f>SUM(DS13:ED13)</f>
        <v/>
      </c>
      <c r="EH13" s="3">
        <f>SUM(EG10:EG13)</f>
        <v/>
      </c>
      <c r="EI13" s="3">
        <f>EE13+S!EE13+E!EE13+O!EE13</f>
        <v/>
      </c>
      <c r="EJ13" s="3">
        <f>SUM(EI10:EI13)</f>
        <v/>
      </c>
      <c r="EK13" s="3">
        <f>EG13+S!EG13+E!EG13+O!EG13</f>
        <v/>
      </c>
      <c r="EL13" s="3">
        <f>SUM(EK10:EK13)</f>
        <v/>
      </c>
    </row>
    <row r="14" ht="20.25" customHeight="1">
      <c r="B14" s="24" t="inlineStr">
        <is>
          <t>01:15 - 01:30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4">
        <f>SUM(C14:L14)*Inicio!$W$4</f>
        <v/>
      </c>
      <c r="DT14" s="4">
        <f>SUM(M14:V14)*Inicio!$W$5</f>
        <v/>
      </c>
      <c r="DU14" s="4">
        <f>SUM(W14:AF14)*Inicio!$W$6</f>
        <v/>
      </c>
      <c r="DV14" s="4">
        <f>SUM(AG14:AP14)*Inicio!$W$7</f>
        <v/>
      </c>
      <c r="DW14" s="4">
        <f>SUM(AQ14:AZ14)*Inicio!$W$8</f>
        <v/>
      </c>
      <c r="DX14" s="4">
        <f>SUM(BA14:BJ14)*Inicio!$W$9</f>
        <v/>
      </c>
      <c r="DY14" s="4">
        <f>SUM(BK14:BT14)*Inicio!$W$10</f>
        <v/>
      </c>
      <c r="DZ14" s="4">
        <f>SUM(BU14:CD14)*Inicio!$W$11</f>
        <v/>
      </c>
      <c r="EA14" s="4">
        <f>SUM(CE14:CN14)*Inicio!$W$12</f>
        <v/>
      </c>
      <c r="EB14" s="4">
        <f>SUM(CO14:CX14)*Inicio!$W$13</f>
        <v/>
      </c>
      <c r="EC14" s="4">
        <f>SUM(CY14:DH14)*Inicio!$W$11</f>
        <v/>
      </c>
      <c r="ED14" s="4">
        <f>SUM(DI14:DR14)*Inicio!$W$12</f>
        <v/>
      </c>
      <c r="EE14" s="4">
        <f>SUM(C14:DR14)</f>
        <v/>
      </c>
      <c r="EF14" s="4">
        <f>SUM(EE11:EE14)</f>
        <v/>
      </c>
      <c r="EG14" s="4">
        <f>SUM(DS14:ED14)</f>
        <v/>
      </c>
      <c r="EH14" s="4">
        <f>SUM(EG11:EG14)</f>
        <v/>
      </c>
      <c r="EI14" s="4">
        <f>EE14+S!EE14+E!EE14+O!EE14</f>
        <v/>
      </c>
      <c r="EJ14" s="4">
        <f>SUM(EI11:EI14)</f>
        <v/>
      </c>
      <c r="EK14" s="4">
        <f>EG14+S!EG14+E!EG14+O!EG14</f>
        <v/>
      </c>
      <c r="EL14" s="4">
        <f>SUM(EK11:EK14)</f>
        <v/>
      </c>
    </row>
    <row r="15" ht="20.25" customHeight="1">
      <c r="B15" s="24" t="inlineStr">
        <is>
          <t>01:30 - 01:45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4">
        <f>SUM(C15:L15)*Inicio!$W$4</f>
        <v/>
      </c>
      <c r="DT15" s="4">
        <f>SUM(M15:V15)*Inicio!$W$5</f>
        <v/>
      </c>
      <c r="DU15" s="4">
        <f>SUM(W15:AF15)*Inicio!$W$6</f>
        <v/>
      </c>
      <c r="DV15" s="4">
        <f>SUM(AG15:AP15)*Inicio!$W$7</f>
        <v/>
      </c>
      <c r="DW15" s="4">
        <f>SUM(AQ15:AZ15)*Inicio!$W$8</f>
        <v/>
      </c>
      <c r="DX15" s="4">
        <f>SUM(BA15:BJ15)*Inicio!$W$9</f>
        <v/>
      </c>
      <c r="DY15" s="4">
        <f>SUM(BK15:BT15)*Inicio!$W$10</f>
        <v/>
      </c>
      <c r="DZ15" s="4">
        <f>SUM(BU15:CD15)*Inicio!$W$11</f>
        <v/>
      </c>
      <c r="EA15" s="4">
        <f>SUM(CE15:CN15)*Inicio!$W$12</f>
        <v/>
      </c>
      <c r="EB15" s="4">
        <f>SUM(CO15:CX15)*Inicio!$W$13</f>
        <v/>
      </c>
      <c r="EC15" s="4">
        <f>SUM(CY15:DH15)*Inicio!$W$11</f>
        <v/>
      </c>
      <c r="ED15" s="4">
        <f>SUM(DI15:DR15)*Inicio!$W$12</f>
        <v/>
      </c>
      <c r="EE15" s="4">
        <f>SUM(C15:DR15)</f>
        <v/>
      </c>
      <c r="EF15" s="4">
        <f>SUM(EE12:EE15)</f>
        <v/>
      </c>
      <c r="EG15" s="4">
        <f>SUM(DS15:ED15)</f>
        <v/>
      </c>
      <c r="EH15" s="4">
        <f>SUM(EG12:EG15)</f>
        <v/>
      </c>
      <c r="EI15" s="4">
        <f>EE15+S!EE15+E!EE15+O!EE15</f>
        <v/>
      </c>
      <c r="EJ15" s="4">
        <f>SUM(EI12:EI15)</f>
        <v/>
      </c>
      <c r="EK15" s="4">
        <f>EG15+S!EG15+E!EG15+O!EG15</f>
        <v/>
      </c>
      <c r="EL15" s="4">
        <f>SUM(EK12:EK15)</f>
        <v/>
      </c>
    </row>
    <row r="16" ht="20.25" customHeight="1">
      <c r="B16" s="25" t="inlineStr">
        <is>
          <t>01:45 - 02:00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5">
        <f>SUM(C16:L16)*Inicio!$W$4</f>
        <v/>
      </c>
      <c r="DT16" s="5">
        <f>SUM(M16:V16)*Inicio!$W$5</f>
        <v/>
      </c>
      <c r="DU16" s="5">
        <f>SUM(W16:AF16)*Inicio!$W$6</f>
        <v/>
      </c>
      <c r="DV16" s="5">
        <f>SUM(AG16:AP16)*Inicio!$W$7</f>
        <v/>
      </c>
      <c r="DW16" s="5">
        <f>SUM(AQ16:AZ16)*Inicio!$W$8</f>
        <v/>
      </c>
      <c r="DX16" s="5">
        <f>SUM(BA16:BJ16)*Inicio!$W$9</f>
        <v/>
      </c>
      <c r="DY16" s="5">
        <f>SUM(BK16:BT16)*Inicio!$W$10</f>
        <v/>
      </c>
      <c r="DZ16" s="5">
        <f>SUM(BU16:CD16)*Inicio!$W$11</f>
        <v/>
      </c>
      <c r="EA16" s="5">
        <f>SUM(CE16:CN16)*Inicio!$W$12</f>
        <v/>
      </c>
      <c r="EB16" s="5">
        <f>SUM(CO16:CX16)*Inicio!$W$13</f>
        <v/>
      </c>
      <c r="EC16" s="5">
        <f>SUM(CY16:DH16)*Inicio!$W$11</f>
        <v/>
      </c>
      <c r="ED16" s="5">
        <f>SUM(DI16:DR16)*Inicio!$W$12</f>
        <v/>
      </c>
      <c r="EE16" s="5">
        <f>SUM(C16:DR16)</f>
        <v/>
      </c>
      <c r="EF16" s="5">
        <f>SUM(EE13:EE16)</f>
        <v/>
      </c>
      <c r="EG16" s="5">
        <f>SUM(DS16:ED16)</f>
        <v/>
      </c>
      <c r="EH16" s="5">
        <f>SUM(EG13:EG16)</f>
        <v/>
      </c>
      <c r="EI16" s="5">
        <f>EE16+S!EE16+E!EE16+O!EE16</f>
        <v/>
      </c>
      <c r="EJ16" s="5">
        <f>SUM(EI13:EI16)</f>
        <v/>
      </c>
      <c r="EK16" s="5">
        <f>EG16+S!EG16+E!EG16+O!EG16</f>
        <v/>
      </c>
      <c r="EL16" s="5">
        <f>SUM(EK13:EK16)</f>
        <v/>
      </c>
    </row>
    <row r="17" ht="20.25" customHeight="1">
      <c r="B17" s="23" t="inlineStr">
        <is>
          <t>02:00 - 02:15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3">
        <f>SUM(C17:L17)*Inicio!$W$4</f>
        <v/>
      </c>
      <c r="DT17" s="3">
        <f>SUM(M17:V17)*Inicio!$W$5</f>
        <v/>
      </c>
      <c r="DU17" s="3">
        <f>SUM(W17:AF17)*Inicio!$W$6</f>
        <v/>
      </c>
      <c r="DV17" s="3">
        <f>SUM(AG17:AP17)*Inicio!$W$7</f>
        <v/>
      </c>
      <c r="DW17" s="3">
        <f>SUM(AQ17:AZ17)*Inicio!$W$8</f>
        <v/>
      </c>
      <c r="DX17" s="3">
        <f>SUM(BA17:BJ17)*Inicio!$W$9</f>
        <v/>
      </c>
      <c r="DY17" s="3">
        <f>SUM(BK17:BT17)*Inicio!$W$10</f>
        <v/>
      </c>
      <c r="DZ17" s="3">
        <f>SUM(BU17:CD17)*Inicio!$W$11</f>
        <v/>
      </c>
      <c r="EA17" s="3">
        <f>SUM(CE17:CN17)*Inicio!$W$12</f>
        <v/>
      </c>
      <c r="EB17" s="3">
        <f>SUM(CO17:CX17)*Inicio!$W$13</f>
        <v/>
      </c>
      <c r="EC17" s="3">
        <f>SUM(CY17:DH17)*Inicio!$W$11</f>
        <v/>
      </c>
      <c r="ED17" s="3">
        <f>SUM(DI17:DR17)*Inicio!$W$12</f>
        <v/>
      </c>
      <c r="EE17" s="3">
        <f>SUM(C17:DR17)</f>
        <v/>
      </c>
      <c r="EF17" s="3">
        <f>SUM(EE14:EE17)</f>
        <v/>
      </c>
      <c r="EG17" s="3">
        <f>SUM(DS17:ED17)</f>
        <v/>
      </c>
      <c r="EH17" s="3">
        <f>SUM(EG14:EG17)</f>
        <v/>
      </c>
      <c r="EI17" s="3">
        <f>EE17+S!EE17+E!EE17+O!EE17</f>
        <v/>
      </c>
      <c r="EJ17" s="3">
        <f>SUM(EI14:EI17)</f>
        <v/>
      </c>
      <c r="EK17" s="3">
        <f>EG17+S!EG17+E!EG17+O!EG17</f>
        <v/>
      </c>
      <c r="EL17" s="3">
        <f>SUM(EK14:EK17)</f>
        <v/>
      </c>
    </row>
    <row r="18" ht="20.25" customHeight="1">
      <c r="B18" s="24" t="inlineStr">
        <is>
          <t>02:15 - 02:30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4">
        <f>SUM(C18:L18)*Inicio!$W$4</f>
        <v/>
      </c>
      <c r="DT18" s="4">
        <f>SUM(M18:V18)*Inicio!$W$5</f>
        <v/>
      </c>
      <c r="DU18" s="4">
        <f>SUM(W18:AF18)*Inicio!$W$6</f>
        <v/>
      </c>
      <c r="DV18" s="4">
        <f>SUM(AG18:AP18)*Inicio!$W$7</f>
        <v/>
      </c>
      <c r="DW18" s="4">
        <f>SUM(AQ18:AZ18)*Inicio!$W$8</f>
        <v/>
      </c>
      <c r="DX18" s="4">
        <f>SUM(BA18:BJ18)*Inicio!$W$9</f>
        <v/>
      </c>
      <c r="DY18" s="4">
        <f>SUM(BK18:BT18)*Inicio!$W$10</f>
        <v/>
      </c>
      <c r="DZ18" s="4">
        <f>SUM(BU18:CD18)*Inicio!$W$11</f>
        <v/>
      </c>
      <c r="EA18" s="4">
        <f>SUM(CE18:CN18)*Inicio!$W$12</f>
        <v/>
      </c>
      <c r="EB18" s="4">
        <f>SUM(CO18:CX18)*Inicio!$W$13</f>
        <v/>
      </c>
      <c r="EC18" s="4">
        <f>SUM(CY18:DH18)*Inicio!$W$11</f>
        <v/>
      </c>
      <c r="ED18" s="4">
        <f>SUM(DI18:DR18)*Inicio!$W$12</f>
        <v/>
      </c>
      <c r="EE18" s="4">
        <f>SUM(C18:DR18)</f>
        <v/>
      </c>
      <c r="EF18" s="4">
        <f>SUM(EE15:EE18)</f>
        <v/>
      </c>
      <c r="EG18" s="4">
        <f>SUM(DS18:ED18)</f>
        <v/>
      </c>
      <c r="EH18" s="4">
        <f>SUM(EG15:EG18)</f>
        <v/>
      </c>
      <c r="EI18" s="4">
        <f>EE18+S!EE18+E!EE18+O!EE18</f>
        <v/>
      </c>
      <c r="EJ18" s="4">
        <f>SUM(EI15:EI18)</f>
        <v/>
      </c>
      <c r="EK18" s="4">
        <f>EG18+S!EG18+E!EG18+O!EG18</f>
        <v/>
      </c>
      <c r="EL18" s="4">
        <f>SUM(EK15:EK18)</f>
        <v/>
      </c>
    </row>
    <row r="19" ht="20.25" customHeight="1">
      <c r="B19" s="24" t="inlineStr">
        <is>
          <t>02:30 - 02:45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4">
        <f>SUM(C19:L19)*Inicio!$W$4</f>
        <v/>
      </c>
      <c r="DT19" s="4">
        <f>SUM(M19:V19)*Inicio!$W$5</f>
        <v/>
      </c>
      <c r="DU19" s="4">
        <f>SUM(W19:AF19)*Inicio!$W$6</f>
        <v/>
      </c>
      <c r="DV19" s="4">
        <f>SUM(AG19:AP19)*Inicio!$W$7</f>
        <v/>
      </c>
      <c r="DW19" s="4">
        <f>SUM(AQ19:AZ19)*Inicio!$W$8</f>
        <v/>
      </c>
      <c r="DX19" s="4">
        <f>SUM(BA19:BJ19)*Inicio!$W$9</f>
        <v/>
      </c>
      <c r="DY19" s="4">
        <f>SUM(BK19:BT19)*Inicio!$W$10</f>
        <v/>
      </c>
      <c r="DZ19" s="4">
        <f>SUM(BU19:CD19)*Inicio!$W$11</f>
        <v/>
      </c>
      <c r="EA19" s="4">
        <f>SUM(CE19:CN19)*Inicio!$W$12</f>
        <v/>
      </c>
      <c r="EB19" s="4">
        <f>SUM(CO19:CX19)*Inicio!$W$13</f>
        <v/>
      </c>
      <c r="EC19" s="4">
        <f>SUM(CY19:DH19)*Inicio!$W$11</f>
        <v/>
      </c>
      <c r="ED19" s="4">
        <f>SUM(DI19:DR19)*Inicio!$W$12</f>
        <v/>
      </c>
      <c r="EE19" s="4">
        <f>SUM(C19:DR19)</f>
        <v/>
      </c>
      <c r="EF19" s="4">
        <f>SUM(EE16:EE19)</f>
        <v/>
      </c>
      <c r="EG19" s="4">
        <f>SUM(DS19:ED19)</f>
        <v/>
      </c>
      <c r="EH19" s="4">
        <f>SUM(EG16:EG19)</f>
        <v/>
      </c>
      <c r="EI19" s="4">
        <f>EE19+S!EE19+E!EE19+O!EE19</f>
        <v/>
      </c>
      <c r="EJ19" s="4">
        <f>SUM(EI16:EI19)</f>
        <v/>
      </c>
      <c r="EK19" s="4">
        <f>EG19+S!EG19+E!EG19+O!EG19</f>
        <v/>
      </c>
      <c r="EL19" s="4">
        <f>SUM(EK16:EK19)</f>
        <v/>
      </c>
    </row>
    <row r="20" ht="20.25" customHeight="1">
      <c r="B20" s="25" t="inlineStr">
        <is>
          <t>02:45 - 03:00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5">
        <f>SUM(C20:L20)*Inicio!$W$4</f>
        <v/>
      </c>
      <c r="DT20" s="5">
        <f>SUM(M20:V20)*Inicio!$W$5</f>
        <v/>
      </c>
      <c r="DU20" s="5">
        <f>SUM(W20:AF20)*Inicio!$W$6</f>
        <v/>
      </c>
      <c r="DV20" s="5">
        <f>SUM(AG20:AP20)*Inicio!$W$7</f>
        <v/>
      </c>
      <c r="DW20" s="5">
        <f>SUM(AQ20:AZ20)*Inicio!$W$8</f>
        <v/>
      </c>
      <c r="DX20" s="5">
        <f>SUM(BA20:BJ20)*Inicio!$W$9</f>
        <v/>
      </c>
      <c r="DY20" s="5">
        <f>SUM(BK20:BT20)*Inicio!$W$10</f>
        <v/>
      </c>
      <c r="DZ20" s="5">
        <f>SUM(BU20:CD20)*Inicio!$W$11</f>
        <v/>
      </c>
      <c r="EA20" s="5">
        <f>SUM(CE20:CN20)*Inicio!$W$12</f>
        <v/>
      </c>
      <c r="EB20" s="5">
        <f>SUM(CO20:CX20)*Inicio!$W$13</f>
        <v/>
      </c>
      <c r="EC20" s="5">
        <f>SUM(CY20:DH20)*Inicio!$W$11</f>
        <v/>
      </c>
      <c r="ED20" s="5">
        <f>SUM(DI20:DR20)*Inicio!$W$12</f>
        <v/>
      </c>
      <c r="EE20" s="5">
        <f>SUM(C20:DR20)</f>
        <v/>
      </c>
      <c r="EF20" s="5">
        <f>SUM(EE17:EE20)</f>
        <v/>
      </c>
      <c r="EG20" s="5">
        <f>SUM(DS20:ED20)</f>
        <v/>
      </c>
      <c r="EH20" s="5">
        <f>SUM(EG17:EG20)</f>
        <v/>
      </c>
      <c r="EI20" s="5">
        <f>EE20+S!EE20+E!EE20+O!EE20</f>
        <v/>
      </c>
      <c r="EJ20" s="5">
        <f>SUM(EI17:EI20)</f>
        <v/>
      </c>
      <c r="EK20" s="5">
        <f>EG20+S!EG20+E!EG20+O!EG20</f>
        <v/>
      </c>
      <c r="EL20" s="5">
        <f>SUM(EK17:EK20)</f>
        <v/>
      </c>
    </row>
    <row r="21" ht="20.25" customHeight="1">
      <c r="B21" s="23" t="inlineStr">
        <is>
          <t>03:00 - 03:15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/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/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/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3">
        <f>SUM(C21:L21)*Inicio!$W$4</f>
        <v/>
      </c>
      <c r="DT21" s="3">
        <f>SUM(M21:V21)*Inicio!$W$5</f>
        <v/>
      </c>
      <c r="DU21" s="3">
        <f>SUM(W21:AF21)*Inicio!$W$6</f>
        <v/>
      </c>
      <c r="DV21" s="3">
        <f>SUM(AG21:AP21)*Inicio!$W$7</f>
        <v/>
      </c>
      <c r="DW21" s="3">
        <f>SUM(AQ21:AZ21)*Inicio!$W$8</f>
        <v/>
      </c>
      <c r="DX21" s="3">
        <f>SUM(BA21:BJ21)*Inicio!$W$9</f>
        <v/>
      </c>
      <c r="DY21" s="3">
        <f>SUM(BK21:BT21)*Inicio!$W$10</f>
        <v/>
      </c>
      <c r="DZ21" s="3">
        <f>SUM(BU21:CD21)*Inicio!$W$11</f>
        <v/>
      </c>
      <c r="EA21" s="3">
        <f>SUM(CE21:CN21)*Inicio!$W$12</f>
        <v/>
      </c>
      <c r="EB21" s="3">
        <f>SUM(CO21:CX21)*Inicio!$W$13</f>
        <v/>
      </c>
      <c r="EC21" s="3">
        <f>SUM(CY21:DH21)*Inicio!$W$11</f>
        <v/>
      </c>
      <c r="ED21" s="3">
        <f>SUM(DI21:DR21)*Inicio!$W$12</f>
        <v/>
      </c>
      <c r="EE21" s="3">
        <f>SUM(C21:DR21)</f>
        <v/>
      </c>
      <c r="EF21" s="3">
        <f>SUM(EE18:EE21)</f>
        <v/>
      </c>
      <c r="EG21" s="3">
        <f>SUM(DS21:ED21)</f>
        <v/>
      </c>
      <c r="EH21" s="3">
        <f>SUM(EG18:EG21)</f>
        <v/>
      </c>
      <c r="EI21" s="3">
        <f>EE21+S!EE21+E!EE21+O!EE21</f>
        <v/>
      </c>
      <c r="EJ21" s="3">
        <f>SUM(EI18:EI21)</f>
        <v/>
      </c>
      <c r="EK21" s="3">
        <f>EG21+S!EG21+E!EG21+O!EG21</f>
        <v/>
      </c>
      <c r="EL21" s="3">
        <f>SUM(EK18:EK21)</f>
        <v/>
      </c>
    </row>
    <row r="22" ht="20.25" customHeight="1">
      <c r="B22" s="24" t="inlineStr">
        <is>
          <t>03:15 - 03:30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4">
        <f>SUM(C22:L22)*Inicio!$W$4</f>
        <v/>
      </c>
      <c r="DT22" s="4">
        <f>SUM(M22:V22)*Inicio!$W$5</f>
        <v/>
      </c>
      <c r="DU22" s="4">
        <f>SUM(W22:AF22)*Inicio!$W$6</f>
        <v/>
      </c>
      <c r="DV22" s="4">
        <f>SUM(AG22:AP22)*Inicio!$W$7</f>
        <v/>
      </c>
      <c r="DW22" s="4">
        <f>SUM(AQ22:AZ22)*Inicio!$W$8</f>
        <v/>
      </c>
      <c r="DX22" s="4">
        <f>SUM(BA22:BJ22)*Inicio!$W$9</f>
        <v/>
      </c>
      <c r="DY22" s="4">
        <f>SUM(BK22:BT22)*Inicio!$W$10</f>
        <v/>
      </c>
      <c r="DZ22" s="4">
        <f>SUM(BU22:CD22)*Inicio!$W$11</f>
        <v/>
      </c>
      <c r="EA22" s="4">
        <f>SUM(CE22:CN22)*Inicio!$W$12</f>
        <v/>
      </c>
      <c r="EB22" s="4">
        <f>SUM(CO22:CX22)*Inicio!$W$13</f>
        <v/>
      </c>
      <c r="EC22" s="4">
        <f>SUM(CY22:DH22)*Inicio!$W$11</f>
        <v/>
      </c>
      <c r="ED22" s="4">
        <f>SUM(DI22:DR22)*Inicio!$W$12</f>
        <v/>
      </c>
      <c r="EE22" s="4">
        <f>SUM(C22:DR22)</f>
        <v/>
      </c>
      <c r="EF22" s="4">
        <f>SUM(EE19:EE22)</f>
        <v/>
      </c>
      <c r="EG22" s="4">
        <f>SUM(DS22:ED22)</f>
        <v/>
      </c>
      <c r="EH22" s="4">
        <f>SUM(EG19:EG22)</f>
        <v/>
      </c>
      <c r="EI22" s="4">
        <f>EE22+S!EE22+E!EE22+O!EE22</f>
        <v/>
      </c>
      <c r="EJ22" s="4">
        <f>SUM(EI19:EI22)</f>
        <v/>
      </c>
      <c r="EK22" s="4">
        <f>EG22+S!EG22+E!EG22+O!EG22</f>
        <v/>
      </c>
      <c r="EL22" s="4">
        <f>SUM(EK19:EK22)</f>
        <v/>
      </c>
    </row>
    <row r="23" ht="20.25" customHeight="1">
      <c r="B23" s="24" t="inlineStr">
        <is>
          <t>03:30 - 03:45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4">
        <f>SUM(C23:L23)*Inicio!$W$4</f>
        <v/>
      </c>
      <c r="DT23" s="4">
        <f>SUM(M23:V23)*Inicio!$W$5</f>
        <v/>
      </c>
      <c r="DU23" s="4">
        <f>SUM(W23:AF23)*Inicio!$W$6</f>
        <v/>
      </c>
      <c r="DV23" s="4">
        <f>SUM(AG23:AP23)*Inicio!$W$7</f>
        <v/>
      </c>
      <c r="DW23" s="4">
        <f>SUM(AQ23:AZ23)*Inicio!$W$8</f>
        <v/>
      </c>
      <c r="DX23" s="4">
        <f>SUM(BA23:BJ23)*Inicio!$W$9</f>
        <v/>
      </c>
      <c r="DY23" s="4">
        <f>SUM(BK23:BT23)*Inicio!$W$10</f>
        <v/>
      </c>
      <c r="DZ23" s="4">
        <f>SUM(BU23:CD23)*Inicio!$W$11</f>
        <v/>
      </c>
      <c r="EA23" s="4">
        <f>SUM(CE23:CN23)*Inicio!$W$12</f>
        <v/>
      </c>
      <c r="EB23" s="4">
        <f>SUM(CO23:CX23)*Inicio!$W$13</f>
        <v/>
      </c>
      <c r="EC23" s="4">
        <f>SUM(CY23:DH23)*Inicio!$W$11</f>
        <v/>
      </c>
      <c r="ED23" s="4">
        <f>SUM(DI23:DR23)*Inicio!$W$12</f>
        <v/>
      </c>
      <c r="EE23" s="4">
        <f>SUM(C23:DR23)</f>
        <v/>
      </c>
      <c r="EF23" s="4">
        <f>SUM(EE20:EE23)</f>
        <v/>
      </c>
      <c r="EG23" s="4">
        <f>SUM(DS23:ED23)</f>
        <v/>
      </c>
      <c r="EH23" s="4">
        <f>SUM(EG20:EG23)</f>
        <v/>
      </c>
      <c r="EI23" s="4">
        <f>EE23+S!EE23+E!EE23+O!EE23</f>
        <v/>
      </c>
      <c r="EJ23" s="4">
        <f>SUM(EI20:EI23)</f>
        <v/>
      </c>
      <c r="EK23" s="4">
        <f>EG23+S!EG23+E!EG23+O!EG23</f>
        <v/>
      </c>
      <c r="EL23" s="4">
        <f>SUM(EK20:EK23)</f>
        <v/>
      </c>
    </row>
    <row r="24" ht="20.25" customHeight="1">
      <c r="B24" s="25" t="inlineStr">
        <is>
          <t>03:45 - 04:00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5">
        <f>SUM(C24:L24)*Inicio!$W$4</f>
        <v/>
      </c>
      <c r="DT24" s="5">
        <f>SUM(M24:V24)*Inicio!$W$5</f>
        <v/>
      </c>
      <c r="DU24" s="5">
        <f>SUM(W24:AF24)*Inicio!$W$6</f>
        <v/>
      </c>
      <c r="DV24" s="5">
        <f>SUM(AG24:AP24)*Inicio!$W$7</f>
        <v/>
      </c>
      <c r="DW24" s="5">
        <f>SUM(AQ24:AZ24)*Inicio!$W$8</f>
        <v/>
      </c>
      <c r="DX24" s="5">
        <f>SUM(BA24:BJ24)*Inicio!$W$9</f>
        <v/>
      </c>
      <c r="DY24" s="5">
        <f>SUM(BK24:BT24)*Inicio!$W$10</f>
        <v/>
      </c>
      <c r="DZ24" s="5">
        <f>SUM(BU24:CD24)*Inicio!$W$11</f>
        <v/>
      </c>
      <c r="EA24" s="5">
        <f>SUM(CE24:CN24)*Inicio!$W$12</f>
        <v/>
      </c>
      <c r="EB24" s="5">
        <f>SUM(CO24:CX24)*Inicio!$W$13</f>
        <v/>
      </c>
      <c r="EC24" s="5">
        <f>SUM(CY24:DH24)*Inicio!$W$11</f>
        <v/>
      </c>
      <c r="ED24" s="5">
        <f>SUM(DI24:DR24)*Inicio!$W$12</f>
        <v/>
      </c>
      <c r="EE24" s="5">
        <f>SUM(C24:DR24)</f>
        <v/>
      </c>
      <c r="EF24" s="5">
        <f>SUM(EE21:EE24)</f>
        <v/>
      </c>
      <c r="EG24" s="5">
        <f>SUM(DS24:ED24)</f>
        <v/>
      </c>
      <c r="EH24" s="5">
        <f>SUM(EG21:EG24)</f>
        <v/>
      </c>
      <c r="EI24" s="5">
        <f>EE24+S!EE24+E!EE24+O!EE24</f>
        <v/>
      </c>
      <c r="EJ24" s="5">
        <f>SUM(EI21:EI24)</f>
        <v/>
      </c>
      <c r="EK24" s="5">
        <f>EG24+S!EG24+E!EG24+O!EG24</f>
        <v/>
      </c>
      <c r="EL24" s="5">
        <f>SUM(EK21:EK24)</f>
        <v/>
      </c>
    </row>
    <row r="25" ht="20.25" customHeight="1">
      <c r="B25" s="23" t="inlineStr">
        <is>
          <t>04:00 - 04:15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3">
        <f>SUM(C25:L25)*Inicio!$W$4</f>
        <v/>
      </c>
      <c r="DT25" s="3">
        <f>SUM(M25:V25)*Inicio!$W$5</f>
        <v/>
      </c>
      <c r="DU25" s="3">
        <f>SUM(W25:AF25)*Inicio!$W$6</f>
        <v/>
      </c>
      <c r="DV25" s="3">
        <f>SUM(AG25:AP25)*Inicio!$W$7</f>
        <v/>
      </c>
      <c r="DW25" s="3">
        <f>SUM(AQ25:AZ25)*Inicio!$W$8</f>
        <v/>
      </c>
      <c r="DX25" s="3">
        <f>SUM(BA25:BJ25)*Inicio!$W$9</f>
        <v/>
      </c>
      <c r="DY25" s="3">
        <f>SUM(BK25:BT25)*Inicio!$W$10</f>
        <v/>
      </c>
      <c r="DZ25" s="3">
        <f>SUM(BU25:CD25)*Inicio!$W$11</f>
        <v/>
      </c>
      <c r="EA25" s="3">
        <f>SUM(CE25:CN25)*Inicio!$W$12</f>
        <v/>
      </c>
      <c r="EB25" s="3">
        <f>SUM(CO25:CX25)*Inicio!$W$13</f>
        <v/>
      </c>
      <c r="EC25" s="3">
        <f>SUM(CY25:DH25)*Inicio!$W$11</f>
        <v/>
      </c>
      <c r="ED25" s="3">
        <f>SUM(DI25:DR25)*Inicio!$W$12</f>
        <v/>
      </c>
      <c r="EE25" s="3">
        <f>SUM(C25:DR25)</f>
        <v/>
      </c>
      <c r="EF25" s="3">
        <f>SUM(EE22:EE25)</f>
        <v/>
      </c>
      <c r="EG25" s="3">
        <f>SUM(DS25:ED25)</f>
        <v/>
      </c>
      <c r="EH25" s="3">
        <f>SUM(EG22:EG25)</f>
        <v/>
      </c>
      <c r="EI25" s="3">
        <f>EE25+S!EE25+E!EE25+O!EE25</f>
        <v/>
      </c>
      <c r="EJ25" s="3">
        <f>SUM(EI22:EI25)</f>
        <v/>
      </c>
      <c r="EK25" s="3">
        <f>EG25+S!EG25+E!EG25+O!EG25</f>
        <v/>
      </c>
      <c r="EL25" s="3">
        <f>SUM(EK22:EK25)</f>
        <v/>
      </c>
    </row>
    <row r="26" ht="20.25" customHeight="1">
      <c r="B26" s="24" t="inlineStr">
        <is>
          <t>04:15 - 04:30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4">
        <f>SUM(C26:L26)*Inicio!$W$4</f>
        <v/>
      </c>
      <c r="DT26" s="4">
        <f>SUM(M26:V26)*Inicio!$W$5</f>
        <v/>
      </c>
      <c r="DU26" s="4">
        <f>SUM(W26:AF26)*Inicio!$W$6</f>
        <v/>
      </c>
      <c r="DV26" s="4">
        <f>SUM(AG26:AP26)*Inicio!$W$7</f>
        <v/>
      </c>
      <c r="DW26" s="4">
        <f>SUM(AQ26:AZ26)*Inicio!$W$8</f>
        <v/>
      </c>
      <c r="DX26" s="4">
        <f>SUM(BA26:BJ26)*Inicio!$W$9</f>
        <v/>
      </c>
      <c r="DY26" s="4">
        <f>SUM(BK26:BT26)*Inicio!$W$10</f>
        <v/>
      </c>
      <c r="DZ26" s="4">
        <f>SUM(BU26:CD26)*Inicio!$W$11</f>
        <v/>
      </c>
      <c r="EA26" s="4">
        <f>SUM(CE26:CN26)*Inicio!$W$12</f>
        <v/>
      </c>
      <c r="EB26" s="4">
        <f>SUM(CO26:CX26)*Inicio!$W$13</f>
        <v/>
      </c>
      <c r="EC26" s="4">
        <f>SUM(CY26:DH26)*Inicio!$W$11</f>
        <v/>
      </c>
      <c r="ED26" s="4">
        <f>SUM(DI26:DR26)*Inicio!$W$12</f>
        <v/>
      </c>
      <c r="EE26" s="4">
        <f>SUM(C26:DR26)</f>
        <v/>
      </c>
      <c r="EF26" s="4">
        <f>SUM(EE23:EE26)</f>
        <v/>
      </c>
      <c r="EG26" s="4">
        <f>SUM(DS26:ED26)</f>
        <v/>
      </c>
      <c r="EH26" s="4">
        <f>SUM(EG23:EG26)</f>
        <v/>
      </c>
      <c r="EI26" s="4">
        <f>EE26+S!EE26+E!EE26+O!EE26</f>
        <v/>
      </c>
      <c r="EJ26" s="4">
        <f>SUM(EI23:EI26)</f>
        <v/>
      </c>
      <c r="EK26" s="4">
        <f>EG26+S!EG26+E!EG26+O!EG26</f>
        <v/>
      </c>
      <c r="EL26" s="4">
        <f>SUM(EK23:EK26)</f>
        <v/>
      </c>
    </row>
    <row r="27" ht="20.25" customHeight="1">
      <c r="B27" s="24" t="inlineStr">
        <is>
          <t>04:30 - 04:45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4">
        <f>SUM(C27:L27)*Inicio!$W$4</f>
        <v/>
      </c>
      <c r="DT27" s="4">
        <f>SUM(M27:V27)*Inicio!$W$5</f>
        <v/>
      </c>
      <c r="DU27" s="4">
        <f>SUM(W27:AF27)*Inicio!$W$6</f>
        <v/>
      </c>
      <c r="DV27" s="4">
        <f>SUM(AG27:AP27)*Inicio!$W$7</f>
        <v/>
      </c>
      <c r="DW27" s="4">
        <f>SUM(AQ27:AZ27)*Inicio!$W$8</f>
        <v/>
      </c>
      <c r="DX27" s="4">
        <f>SUM(BA27:BJ27)*Inicio!$W$9</f>
        <v/>
      </c>
      <c r="DY27" s="4">
        <f>SUM(BK27:BT27)*Inicio!$W$10</f>
        <v/>
      </c>
      <c r="DZ27" s="4">
        <f>SUM(BU27:CD27)*Inicio!$W$11</f>
        <v/>
      </c>
      <c r="EA27" s="4">
        <f>SUM(CE27:CN27)*Inicio!$W$12</f>
        <v/>
      </c>
      <c r="EB27" s="4">
        <f>SUM(CO27:CX27)*Inicio!$W$13</f>
        <v/>
      </c>
      <c r="EC27" s="4">
        <f>SUM(CY27:DH27)*Inicio!$W$11</f>
        <v/>
      </c>
      <c r="ED27" s="4">
        <f>SUM(DI27:DR27)*Inicio!$W$12</f>
        <v/>
      </c>
      <c r="EE27" s="4">
        <f>SUM(C27:DR27)</f>
        <v/>
      </c>
      <c r="EF27" s="4">
        <f>SUM(EE24:EE27)</f>
        <v/>
      </c>
      <c r="EG27" s="4">
        <f>SUM(DS27:ED27)</f>
        <v/>
      </c>
      <c r="EH27" s="4">
        <f>SUM(EG24:EG27)</f>
        <v/>
      </c>
      <c r="EI27" s="4">
        <f>EE27+S!EE27+E!EE27+O!EE27</f>
        <v/>
      </c>
      <c r="EJ27" s="4">
        <f>SUM(EI24:EI27)</f>
        <v/>
      </c>
      <c r="EK27" s="4">
        <f>EG27+S!EG27+E!EG27+O!EG27</f>
        <v/>
      </c>
      <c r="EL27" s="4">
        <f>SUM(EK24:EK27)</f>
        <v/>
      </c>
    </row>
    <row r="28" ht="20.25" customHeight="1">
      <c r="B28" s="25" t="inlineStr">
        <is>
          <t>04:45 - 05:00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5">
        <f>SUM(C28:L28)*Inicio!$W$4</f>
        <v/>
      </c>
      <c r="DT28" s="5">
        <f>SUM(M28:V28)*Inicio!$W$5</f>
        <v/>
      </c>
      <c r="DU28" s="5">
        <f>SUM(W28:AF28)*Inicio!$W$6</f>
        <v/>
      </c>
      <c r="DV28" s="5">
        <f>SUM(AG28:AP28)*Inicio!$W$7</f>
        <v/>
      </c>
      <c r="DW28" s="5">
        <f>SUM(AQ28:AZ28)*Inicio!$W$8</f>
        <v/>
      </c>
      <c r="DX28" s="5">
        <f>SUM(BA28:BJ28)*Inicio!$W$9</f>
        <v/>
      </c>
      <c r="DY28" s="5">
        <f>SUM(BK28:BT28)*Inicio!$W$10</f>
        <v/>
      </c>
      <c r="DZ28" s="5">
        <f>SUM(BU28:CD28)*Inicio!$W$11</f>
        <v/>
      </c>
      <c r="EA28" s="5">
        <f>SUM(CE28:CN28)*Inicio!$W$12</f>
        <v/>
      </c>
      <c r="EB28" s="5">
        <f>SUM(CO28:CX28)*Inicio!$W$13</f>
        <v/>
      </c>
      <c r="EC28" s="5">
        <f>SUM(CY28:DH28)*Inicio!$W$11</f>
        <v/>
      </c>
      <c r="ED28" s="5">
        <f>SUM(DI28:DR28)*Inicio!$W$12</f>
        <v/>
      </c>
      <c r="EE28" s="5">
        <f>SUM(C28:DR28)</f>
        <v/>
      </c>
      <c r="EF28" s="5">
        <f>SUM(EE25:EE28)</f>
        <v/>
      </c>
      <c r="EG28" s="5">
        <f>SUM(DS28:ED28)</f>
        <v/>
      </c>
      <c r="EH28" s="5">
        <f>SUM(EG25:EG28)</f>
        <v/>
      </c>
      <c r="EI28" s="5">
        <f>EE28+S!EE28+E!EE28+O!EE28</f>
        <v/>
      </c>
      <c r="EJ28" s="5">
        <f>SUM(EI25:EI28)</f>
        <v/>
      </c>
      <c r="EK28" s="5">
        <f>EG28+S!EG28+E!EG28+O!EG28</f>
        <v/>
      </c>
      <c r="EL28" s="5">
        <f>SUM(EK25:EK28)</f>
        <v/>
      </c>
    </row>
    <row r="29" ht="20.25" customHeight="1">
      <c r="B29" s="23" t="inlineStr">
        <is>
          <t>05:00 - 05:15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3">
        <f>SUM(C29:L29)*Inicio!$W$4</f>
        <v/>
      </c>
      <c r="DT29" s="3">
        <f>SUM(M29:V29)*Inicio!$W$5</f>
        <v/>
      </c>
      <c r="DU29" s="3">
        <f>SUM(W29:AF29)*Inicio!$W$6</f>
        <v/>
      </c>
      <c r="DV29" s="3">
        <f>SUM(AG29:AP29)*Inicio!$W$7</f>
        <v/>
      </c>
      <c r="DW29" s="3">
        <f>SUM(AQ29:AZ29)*Inicio!$W$8</f>
        <v/>
      </c>
      <c r="DX29" s="3">
        <f>SUM(BA29:BJ29)*Inicio!$W$9</f>
        <v/>
      </c>
      <c r="DY29" s="3">
        <f>SUM(BK29:BT29)*Inicio!$W$10</f>
        <v/>
      </c>
      <c r="DZ29" s="3">
        <f>SUM(BU29:CD29)*Inicio!$W$11</f>
        <v/>
      </c>
      <c r="EA29" s="3">
        <f>SUM(CE29:CN29)*Inicio!$W$12</f>
        <v/>
      </c>
      <c r="EB29" s="3">
        <f>SUM(CO29:CX29)*Inicio!$W$13</f>
        <v/>
      </c>
      <c r="EC29" s="3">
        <f>SUM(CY29:DH29)*Inicio!$W$11</f>
        <v/>
      </c>
      <c r="ED29" s="3">
        <f>SUM(DI29:DR29)*Inicio!$W$12</f>
        <v/>
      </c>
      <c r="EE29" s="3">
        <f>SUM(C29:DR29)</f>
        <v/>
      </c>
      <c r="EF29" s="3">
        <f>SUM(EE26:EE29)</f>
        <v/>
      </c>
      <c r="EG29" s="3">
        <f>SUM(DS29:ED29)</f>
        <v/>
      </c>
      <c r="EH29" s="3">
        <f>SUM(EG26:EG29)</f>
        <v/>
      </c>
      <c r="EI29" s="3">
        <f>EE29+S!EE29+E!EE29+O!EE29</f>
        <v/>
      </c>
      <c r="EJ29" s="3">
        <f>SUM(EI26:EI29)</f>
        <v/>
      </c>
      <c r="EK29" s="3">
        <f>EG29+S!EG29+E!EG29+O!EG29</f>
        <v/>
      </c>
      <c r="EL29" s="3">
        <f>SUM(EK26:EK29)</f>
        <v/>
      </c>
    </row>
    <row r="30" ht="20.25" customHeight="1">
      <c r="B30" s="24" t="inlineStr">
        <is>
          <t>05:15 - 05:30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4">
        <f>SUM(C30:L30)*Inicio!$W$4</f>
        <v/>
      </c>
      <c r="DT30" s="4">
        <f>SUM(M30:V30)*Inicio!$W$5</f>
        <v/>
      </c>
      <c r="DU30" s="4">
        <f>SUM(W30:AF30)*Inicio!$W$6</f>
        <v/>
      </c>
      <c r="DV30" s="4">
        <f>SUM(AG30:AP30)*Inicio!$W$7</f>
        <v/>
      </c>
      <c r="DW30" s="4">
        <f>SUM(AQ30:AZ30)*Inicio!$W$8</f>
        <v/>
      </c>
      <c r="DX30" s="4">
        <f>SUM(BA30:BJ30)*Inicio!$W$9</f>
        <v/>
      </c>
      <c r="DY30" s="4">
        <f>SUM(BK30:BT30)*Inicio!$W$10</f>
        <v/>
      </c>
      <c r="DZ30" s="4">
        <f>SUM(BU30:CD30)*Inicio!$W$11</f>
        <v/>
      </c>
      <c r="EA30" s="4">
        <f>SUM(CE30:CN30)*Inicio!$W$12</f>
        <v/>
      </c>
      <c r="EB30" s="4">
        <f>SUM(CO30:CX30)*Inicio!$W$13</f>
        <v/>
      </c>
      <c r="EC30" s="4">
        <f>SUM(CY30:DH30)*Inicio!$W$11</f>
        <v/>
      </c>
      <c r="ED30" s="4">
        <f>SUM(DI30:DR30)*Inicio!$W$12</f>
        <v/>
      </c>
      <c r="EE30" s="4">
        <f>SUM(C30:DR30)</f>
        <v/>
      </c>
      <c r="EF30" s="4">
        <f>SUM(EE27:EE30)</f>
        <v/>
      </c>
      <c r="EG30" s="4">
        <f>SUM(DS30:ED30)</f>
        <v/>
      </c>
      <c r="EH30" s="4">
        <f>SUM(EG27:EG30)</f>
        <v/>
      </c>
      <c r="EI30" s="4">
        <f>EE30+S!EE30+E!EE30+O!EE30</f>
        <v/>
      </c>
      <c r="EJ30" s="4">
        <f>SUM(EI27:EI30)</f>
        <v/>
      </c>
      <c r="EK30" s="4">
        <f>EG30+S!EG30+E!EG30+O!EG30</f>
        <v/>
      </c>
      <c r="EL30" s="4">
        <f>SUM(EK27:EK30)</f>
        <v/>
      </c>
    </row>
    <row r="31" ht="20.25" customHeight="1">
      <c r="B31" s="24" t="inlineStr">
        <is>
          <t>05:30 - 05:45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4">
        <f>SUM(C31:L31)*Inicio!$W$4</f>
        <v/>
      </c>
      <c r="DT31" s="4">
        <f>SUM(M31:V31)*Inicio!$W$5</f>
        <v/>
      </c>
      <c r="DU31" s="4">
        <f>SUM(W31:AF31)*Inicio!$W$6</f>
        <v/>
      </c>
      <c r="DV31" s="4">
        <f>SUM(AG31:AP31)*Inicio!$W$7</f>
        <v/>
      </c>
      <c r="DW31" s="4">
        <f>SUM(AQ31:AZ31)*Inicio!$W$8</f>
        <v/>
      </c>
      <c r="DX31" s="4">
        <f>SUM(BA31:BJ31)*Inicio!$W$9</f>
        <v/>
      </c>
      <c r="DY31" s="4">
        <f>SUM(BK31:BT31)*Inicio!$W$10</f>
        <v/>
      </c>
      <c r="DZ31" s="4">
        <f>SUM(BU31:CD31)*Inicio!$W$11</f>
        <v/>
      </c>
      <c r="EA31" s="4">
        <f>SUM(CE31:CN31)*Inicio!$W$12</f>
        <v/>
      </c>
      <c r="EB31" s="4">
        <f>SUM(CO31:CX31)*Inicio!$W$13</f>
        <v/>
      </c>
      <c r="EC31" s="4">
        <f>SUM(CY31:DH31)*Inicio!$W$11</f>
        <v/>
      </c>
      <c r="ED31" s="4">
        <f>SUM(DI31:DR31)*Inicio!$W$12</f>
        <v/>
      </c>
      <c r="EE31" s="4">
        <f>SUM(C31:DR31)</f>
        <v/>
      </c>
      <c r="EF31" s="4">
        <f>SUM(EE28:EE31)</f>
        <v/>
      </c>
      <c r="EG31" s="4">
        <f>SUM(DS31:ED31)</f>
        <v/>
      </c>
      <c r="EH31" s="4">
        <f>SUM(EG28:EG31)</f>
        <v/>
      </c>
      <c r="EI31" s="4">
        <f>EE31+S!EE31+E!EE31+O!EE31</f>
        <v/>
      </c>
      <c r="EJ31" s="4">
        <f>SUM(EI28:EI31)</f>
        <v/>
      </c>
      <c r="EK31" s="4">
        <f>EG31+S!EG31+E!EG31+O!EG31</f>
        <v/>
      </c>
      <c r="EL31" s="4">
        <f>SUM(EK28:EK31)</f>
        <v/>
      </c>
    </row>
    <row r="32" ht="20.25" customHeight="1">
      <c r="B32" s="25" t="inlineStr">
        <is>
          <t>05:45 - 06:00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5">
        <f>SUM(C32:L32)*Inicio!$W$4</f>
        <v/>
      </c>
      <c r="DT32" s="5">
        <f>SUM(M32:V32)*Inicio!$W$5</f>
        <v/>
      </c>
      <c r="DU32" s="5">
        <f>SUM(W32:AF32)*Inicio!$W$6</f>
        <v/>
      </c>
      <c r="DV32" s="5">
        <f>SUM(AG32:AP32)*Inicio!$W$7</f>
        <v/>
      </c>
      <c r="DW32" s="5">
        <f>SUM(AQ32:AZ32)*Inicio!$W$8</f>
        <v/>
      </c>
      <c r="DX32" s="5">
        <f>SUM(BA32:BJ32)*Inicio!$W$9</f>
        <v/>
      </c>
      <c r="DY32" s="5">
        <f>SUM(BK32:BT32)*Inicio!$W$10</f>
        <v/>
      </c>
      <c r="DZ32" s="5">
        <f>SUM(BU32:CD32)*Inicio!$W$11</f>
        <v/>
      </c>
      <c r="EA32" s="5">
        <f>SUM(CE32:CN32)*Inicio!$W$12</f>
        <v/>
      </c>
      <c r="EB32" s="5">
        <f>SUM(CO32:CX32)*Inicio!$W$13</f>
        <v/>
      </c>
      <c r="EC32" s="5">
        <f>SUM(CY32:DH32)*Inicio!$W$11</f>
        <v/>
      </c>
      <c r="ED32" s="5">
        <f>SUM(DI32:DR32)*Inicio!$W$12</f>
        <v/>
      </c>
      <c r="EE32" s="5">
        <f>SUM(C32:DR32)</f>
        <v/>
      </c>
      <c r="EF32" s="5">
        <f>SUM(EE29:EE32)</f>
        <v/>
      </c>
      <c r="EG32" s="5">
        <f>SUM(DS32:ED32)</f>
        <v/>
      </c>
      <c r="EH32" s="5">
        <f>SUM(EG29:EG32)</f>
        <v/>
      </c>
      <c r="EI32" s="5">
        <f>EE32+S!EE32+E!EE32+O!EE32</f>
        <v/>
      </c>
      <c r="EJ32" s="5">
        <f>SUM(EI29:EI32)</f>
        <v/>
      </c>
      <c r="EK32" s="5">
        <f>EG32+S!EG32+E!EG32+O!EG32</f>
        <v/>
      </c>
      <c r="EL32" s="5">
        <f>SUM(EK29:EK32)</f>
        <v/>
      </c>
    </row>
    <row r="33" ht="20.25" customHeight="1">
      <c r="B33" s="23" t="inlineStr">
        <is>
          <t>06:00 - 06:15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3">
        <f>SUM(C33:L33)*Inicio!$W$4</f>
        <v/>
      </c>
      <c r="DT33" s="3">
        <f>SUM(M33:V33)*Inicio!$W$5</f>
        <v/>
      </c>
      <c r="DU33" s="3">
        <f>SUM(W33:AF33)*Inicio!$W$6</f>
        <v/>
      </c>
      <c r="DV33" s="3">
        <f>SUM(AG33:AP33)*Inicio!$W$7</f>
        <v/>
      </c>
      <c r="DW33" s="3">
        <f>SUM(AQ33:AZ33)*Inicio!$W$8</f>
        <v/>
      </c>
      <c r="DX33" s="3">
        <f>SUM(BA33:BJ33)*Inicio!$W$9</f>
        <v/>
      </c>
      <c r="DY33" s="3">
        <f>SUM(BK33:BT33)*Inicio!$W$10</f>
        <v/>
      </c>
      <c r="DZ33" s="3">
        <f>SUM(BU33:CD33)*Inicio!$W$11</f>
        <v/>
      </c>
      <c r="EA33" s="3">
        <f>SUM(CE33:CN33)*Inicio!$W$12</f>
        <v/>
      </c>
      <c r="EB33" s="3">
        <f>SUM(CO33:CX33)*Inicio!$W$13</f>
        <v/>
      </c>
      <c r="EC33" s="3">
        <f>SUM(CY33:DH33)*Inicio!$W$11</f>
        <v/>
      </c>
      <c r="ED33" s="3">
        <f>SUM(DI33:DR33)*Inicio!$W$12</f>
        <v/>
      </c>
      <c r="EE33" s="3">
        <f>SUM(C33:DR33)</f>
        <v/>
      </c>
      <c r="EF33" s="3">
        <f>SUM(EE30:EE33)</f>
        <v/>
      </c>
      <c r="EG33" s="3">
        <f>SUM(DS33:ED33)</f>
        <v/>
      </c>
      <c r="EH33" s="3">
        <f>SUM(EG30:EG33)</f>
        <v/>
      </c>
      <c r="EI33" s="3">
        <f>EE33+S!EE33+E!EE33+O!EE33</f>
        <v/>
      </c>
      <c r="EJ33" s="3">
        <f>SUM(EI30:EI33)</f>
        <v/>
      </c>
      <c r="EK33" s="3">
        <f>EG33+S!EG33+E!EG33+O!EG33</f>
        <v/>
      </c>
      <c r="EL33" s="3">
        <f>SUM(EK30:EK33)</f>
        <v/>
      </c>
    </row>
    <row r="34" ht="20.25" customHeight="1">
      <c r="B34" s="24" t="inlineStr">
        <is>
          <t>06:15 - 06:30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4">
        <f>SUM(C34:L34)*Inicio!$W$4</f>
        <v/>
      </c>
      <c r="DT34" s="4">
        <f>SUM(M34:V34)*Inicio!$W$5</f>
        <v/>
      </c>
      <c r="DU34" s="4">
        <f>SUM(W34:AF34)*Inicio!$W$6</f>
        <v/>
      </c>
      <c r="DV34" s="4">
        <f>SUM(AG34:AP34)*Inicio!$W$7</f>
        <v/>
      </c>
      <c r="DW34" s="4">
        <f>SUM(AQ34:AZ34)*Inicio!$W$8</f>
        <v/>
      </c>
      <c r="DX34" s="4">
        <f>SUM(BA34:BJ34)*Inicio!$W$9</f>
        <v/>
      </c>
      <c r="DY34" s="4">
        <f>SUM(BK34:BT34)*Inicio!$W$10</f>
        <v/>
      </c>
      <c r="DZ34" s="4">
        <f>SUM(BU34:CD34)*Inicio!$W$11</f>
        <v/>
      </c>
      <c r="EA34" s="4">
        <f>SUM(CE34:CN34)*Inicio!$W$12</f>
        <v/>
      </c>
      <c r="EB34" s="4">
        <f>SUM(CO34:CX34)*Inicio!$W$13</f>
        <v/>
      </c>
      <c r="EC34" s="4">
        <f>SUM(CY34:DH34)*Inicio!$W$11</f>
        <v/>
      </c>
      <c r="ED34" s="4">
        <f>SUM(DI34:DR34)*Inicio!$W$12</f>
        <v/>
      </c>
      <c r="EE34" s="4">
        <f>SUM(C34:DR34)</f>
        <v/>
      </c>
      <c r="EF34" s="4">
        <f>SUM(EE31:EE34)</f>
        <v/>
      </c>
      <c r="EG34" s="4">
        <f>SUM(DS34:ED34)</f>
        <v/>
      </c>
      <c r="EH34" s="4">
        <f>SUM(EG31:EG34)</f>
        <v/>
      </c>
      <c r="EI34" s="4">
        <f>EE34+S!EE34+E!EE34+O!EE34</f>
        <v/>
      </c>
      <c r="EJ34" s="4">
        <f>SUM(EI31:EI34)</f>
        <v/>
      </c>
      <c r="EK34" s="4">
        <f>EG34+S!EG34+E!EG34+O!EG34</f>
        <v/>
      </c>
      <c r="EL34" s="4">
        <f>SUM(EK31:EK34)</f>
        <v/>
      </c>
    </row>
    <row r="35" ht="20.25" customHeight="1">
      <c r="B35" s="24" t="inlineStr">
        <is>
          <t>06:30 - 06:45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4">
        <f>SUM(C35:L35)*Inicio!$W$4</f>
        <v/>
      </c>
      <c r="DT35" s="4">
        <f>SUM(M35:V35)*Inicio!$W$5</f>
        <v/>
      </c>
      <c r="DU35" s="4">
        <f>SUM(W35:AF35)*Inicio!$W$6</f>
        <v/>
      </c>
      <c r="DV35" s="4">
        <f>SUM(AG35:AP35)*Inicio!$W$7</f>
        <v/>
      </c>
      <c r="DW35" s="4">
        <f>SUM(AQ35:AZ35)*Inicio!$W$8</f>
        <v/>
      </c>
      <c r="DX35" s="4">
        <f>SUM(BA35:BJ35)*Inicio!$W$9</f>
        <v/>
      </c>
      <c r="DY35" s="4">
        <f>SUM(BK35:BT35)*Inicio!$W$10</f>
        <v/>
      </c>
      <c r="DZ35" s="4">
        <f>SUM(BU35:CD35)*Inicio!$W$11</f>
        <v/>
      </c>
      <c r="EA35" s="4">
        <f>SUM(CE35:CN35)*Inicio!$W$12</f>
        <v/>
      </c>
      <c r="EB35" s="4">
        <f>SUM(CO35:CX35)*Inicio!$W$13</f>
        <v/>
      </c>
      <c r="EC35" s="4">
        <f>SUM(CY35:DH35)*Inicio!$W$11</f>
        <v/>
      </c>
      <c r="ED35" s="4">
        <f>SUM(DI35:DR35)*Inicio!$W$12</f>
        <v/>
      </c>
      <c r="EE35" s="4">
        <f>SUM(C35:DR35)</f>
        <v/>
      </c>
      <c r="EF35" s="4">
        <f>SUM(EE32:EE35)</f>
        <v/>
      </c>
      <c r="EG35" s="4">
        <f>SUM(DS35:ED35)</f>
        <v/>
      </c>
      <c r="EH35" s="4">
        <f>SUM(EG32:EG35)</f>
        <v/>
      </c>
      <c r="EI35" s="4">
        <f>EE35+S!EE35+E!EE35+O!EE35</f>
        <v/>
      </c>
      <c r="EJ35" s="4">
        <f>SUM(EI32:EI35)</f>
        <v/>
      </c>
      <c r="EK35" s="4">
        <f>EG35+S!EG35+E!EG35+O!EG35</f>
        <v/>
      </c>
      <c r="EL35" s="4">
        <f>SUM(EK32:EK35)</f>
        <v/>
      </c>
    </row>
    <row r="36" ht="20.25" customHeight="1">
      <c r="B36" s="26" t="inlineStr">
        <is>
          <t>06:45 - 07:00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5">
        <f>SUM(C36:L36)*Inicio!$W$4</f>
        <v/>
      </c>
      <c r="DT36" s="5">
        <f>SUM(M36:V36)*Inicio!$W$5</f>
        <v/>
      </c>
      <c r="DU36" s="5">
        <f>SUM(W36:AF36)*Inicio!$W$6</f>
        <v/>
      </c>
      <c r="DV36" s="5">
        <f>SUM(AG36:AP36)*Inicio!$W$7</f>
        <v/>
      </c>
      <c r="DW36" s="5">
        <f>SUM(AQ36:AZ36)*Inicio!$W$8</f>
        <v/>
      </c>
      <c r="DX36" s="5">
        <f>SUM(BA36:BJ36)*Inicio!$W$9</f>
        <v/>
      </c>
      <c r="DY36" s="5">
        <f>SUM(BK36:BT36)*Inicio!$W$10</f>
        <v/>
      </c>
      <c r="DZ36" s="5">
        <f>SUM(BU36:CD36)*Inicio!$W$11</f>
        <v/>
      </c>
      <c r="EA36" s="5">
        <f>SUM(CE36:CN36)*Inicio!$W$12</f>
        <v/>
      </c>
      <c r="EB36" s="5">
        <f>SUM(CO36:CX36)*Inicio!$W$13</f>
        <v/>
      </c>
      <c r="EC36" s="5">
        <f>SUM(CY36:DH36)*Inicio!$W$11</f>
        <v/>
      </c>
      <c r="ED36" s="5">
        <f>SUM(DI36:DR36)*Inicio!$W$12</f>
        <v/>
      </c>
      <c r="EE36" s="5">
        <f>SUM(C36:DR36)</f>
        <v/>
      </c>
      <c r="EF36" s="5">
        <f>SUM(EE33:EE36)</f>
        <v/>
      </c>
      <c r="EG36" s="5">
        <f>SUM(DS36:ED36)</f>
        <v/>
      </c>
      <c r="EH36" s="5">
        <f>SUM(EG33:EG36)</f>
        <v/>
      </c>
      <c r="EI36" s="5">
        <f>EE36+S!EE36+E!EE36+O!EE36</f>
        <v/>
      </c>
      <c r="EJ36" s="5">
        <f>SUM(EI33:EI36)</f>
        <v/>
      </c>
      <c r="EK36" s="5">
        <f>EG36+S!EG36+E!EG36+O!EG36</f>
        <v/>
      </c>
      <c r="EL36" s="5">
        <f>SUM(EK33:EK36)</f>
        <v/>
      </c>
    </row>
    <row r="37" ht="20.25" customHeight="1">
      <c r="B37" s="27" t="inlineStr">
        <is>
          <t>07:00 - 07:15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  <c r="CE37" s="20" t="n"/>
      <c r="CF37" s="20" t="n"/>
      <c r="CG37" s="20" t="n"/>
      <c r="CH37" s="20" t="n"/>
      <c r="CI37" s="20" t="n"/>
      <c r="CJ37" s="20" t="n"/>
      <c r="CK37" s="20" t="n"/>
      <c r="CL37" s="20" t="n"/>
      <c r="CM37" s="20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0" t="n"/>
      <c r="CZ37" s="20" t="n"/>
      <c r="DA37" s="20" t="n"/>
      <c r="DB37" s="20" t="n"/>
      <c r="DC37" s="20" t="n"/>
      <c r="DD37" s="20" t="n"/>
      <c r="DE37" s="20" t="n"/>
      <c r="DF37" s="20" t="n"/>
      <c r="DG37" s="20" t="n"/>
      <c r="DH37" s="20" t="n"/>
      <c r="DI37" s="20" t="n"/>
      <c r="DJ37" s="20" t="n"/>
      <c r="DK37" s="20" t="n"/>
      <c r="DL37" s="20" t="n"/>
      <c r="DM37" s="20" t="n"/>
      <c r="DN37" s="20" t="n"/>
      <c r="DO37" s="20" t="n"/>
      <c r="DP37" s="20" t="n"/>
      <c r="DQ37" s="20" t="n"/>
      <c r="DR37" s="20" t="n"/>
      <c r="DS37" s="3">
        <f>SUM(C37:L37)*Inicio!$W$4</f>
        <v/>
      </c>
      <c r="DT37" s="3">
        <f>SUM(M37:V37)*Inicio!$W$5</f>
        <v/>
      </c>
      <c r="DU37" s="3">
        <f>SUM(W37:AF37)*Inicio!$W$6</f>
        <v/>
      </c>
      <c r="DV37" s="3">
        <f>SUM(AG37:AP37)*Inicio!$W$7</f>
        <v/>
      </c>
      <c r="DW37" s="3">
        <f>SUM(AQ37:AZ37)*Inicio!$W$8</f>
        <v/>
      </c>
      <c r="DX37" s="3">
        <f>SUM(BA37:BJ37)*Inicio!$W$9</f>
        <v/>
      </c>
      <c r="DY37" s="3">
        <f>SUM(BK37:BT37)*Inicio!$W$10</f>
        <v/>
      </c>
      <c r="DZ37" s="3">
        <f>SUM(BU37:CD37)*Inicio!$W$11</f>
        <v/>
      </c>
      <c r="EA37" s="3">
        <f>SUM(CE37:CN37)*Inicio!$W$12</f>
        <v/>
      </c>
      <c r="EB37" s="3">
        <f>SUM(CO37:CX37)*Inicio!$W$13</f>
        <v/>
      </c>
      <c r="EC37" s="3">
        <f>SUM(CY37:DH37)*Inicio!$W$11</f>
        <v/>
      </c>
      <c r="ED37" s="3">
        <f>SUM(DI37:DR37)*Inicio!$W$12</f>
        <v/>
      </c>
      <c r="EE37" s="3">
        <f>SUM(C37:DR37)</f>
        <v/>
      </c>
      <c r="EF37" s="3">
        <f>SUM(EE34:EE37)</f>
        <v/>
      </c>
      <c r="EG37" s="3">
        <f>SUM(DS37:ED37)</f>
        <v/>
      </c>
      <c r="EH37" s="3">
        <f>SUM(EG34:EG37)</f>
        <v/>
      </c>
      <c r="EI37" s="3">
        <f>EE37+S!EE37+E!EE37+O!EE37</f>
        <v/>
      </c>
      <c r="EJ37" s="3">
        <f>SUM(EI34:EI37)</f>
        <v/>
      </c>
      <c r="EK37" s="3">
        <f>EG37+S!EG37+E!EG37+O!EG37</f>
        <v/>
      </c>
      <c r="EL37" s="3">
        <f>SUM(EK34:EK37)</f>
        <v/>
      </c>
    </row>
    <row r="38" ht="20.25" customHeight="1">
      <c r="B38" s="28" t="inlineStr">
        <is>
          <t>07:15 - 07:30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4">
        <f>SUM(C38:L38)*Inicio!$W$4</f>
        <v/>
      </c>
      <c r="DT38" s="4">
        <f>SUM(M38:V38)*Inicio!$W$5</f>
        <v/>
      </c>
      <c r="DU38" s="4">
        <f>SUM(W38:AF38)*Inicio!$W$6</f>
        <v/>
      </c>
      <c r="DV38" s="4">
        <f>SUM(AG38:AP38)*Inicio!$W$7</f>
        <v/>
      </c>
      <c r="DW38" s="4">
        <f>SUM(AQ38:AZ38)*Inicio!$W$8</f>
        <v/>
      </c>
      <c r="DX38" s="4">
        <f>SUM(BA38:BJ38)*Inicio!$W$9</f>
        <v/>
      </c>
      <c r="DY38" s="4">
        <f>SUM(BK38:BT38)*Inicio!$W$10</f>
        <v/>
      </c>
      <c r="DZ38" s="4">
        <f>SUM(BU38:CD38)*Inicio!$W$11</f>
        <v/>
      </c>
      <c r="EA38" s="4">
        <f>SUM(CE38:CN38)*Inicio!$W$12</f>
        <v/>
      </c>
      <c r="EB38" s="4">
        <f>SUM(CO38:CX38)*Inicio!$W$13</f>
        <v/>
      </c>
      <c r="EC38" s="4">
        <f>SUM(CY38:DH38)*Inicio!$W$11</f>
        <v/>
      </c>
      <c r="ED38" s="4">
        <f>SUM(DI38:DR38)*Inicio!$W$12</f>
        <v/>
      </c>
      <c r="EE38" s="4">
        <f>SUM(C38:DR38)</f>
        <v/>
      </c>
      <c r="EF38" s="4">
        <f>SUM(EE35:EE38)</f>
        <v/>
      </c>
      <c r="EG38" s="4">
        <f>SUM(DS38:ED38)</f>
        <v/>
      </c>
      <c r="EH38" s="4">
        <f>SUM(EG35:EG38)</f>
        <v/>
      </c>
      <c r="EI38" s="4">
        <f>EE38+S!EE38+E!EE38+O!EE38</f>
        <v/>
      </c>
      <c r="EJ38" s="4">
        <f>SUM(EI35:EI38)</f>
        <v/>
      </c>
      <c r="EK38" s="4">
        <f>EG38+S!EG38+E!EG38+O!EG38</f>
        <v/>
      </c>
      <c r="EL38" s="4">
        <f>SUM(EK35:EK38)</f>
        <v/>
      </c>
    </row>
    <row r="39" ht="20.25" customHeight="1">
      <c r="B39" s="28" t="inlineStr">
        <is>
          <t>07:30 - 07:45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4">
        <f>SUM(C39:L39)*Inicio!$W$4</f>
        <v/>
      </c>
      <c r="DT39" s="4">
        <f>SUM(M39:V39)*Inicio!$W$5</f>
        <v/>
      </c>
      <c r="DU39" s="4">
        <f>SUM(W39:AF39)*Inicio!$W$6</f>
        <v/>
      </c>
      <c r="DV39" s="4">
        <f>SUM(AG39:AP39)*Inicio!$W$7</f>
        <v/>
      </c>
      <c r="DW39" s="4">
        <f>SUM(AQ39:AZ39)*Inicio!$W$8</f>
        <v/>
      </c>
      <c r="DX39" s="4">
        <f>SUM(BA39:BJ39)*Inicio!$W$9</f>
        <v/>
      </c>
      <c r="DY39" s="4">
        <f>SUM(BK39:BT39)*Inicio!$W$10</f>
        <v/>
      </c>
      <c r="DZ39" s="4">
        <f>SUM(BU39:CD39)*Inicio!$W$11</f>
        <v/>
      </c>
      <c r="EA39" s="4">
        <f>SUM(CE39:CN39)*Inicio!$W$12</f>
        <v/>
      </c>
      <c r="EB39" s="4">
        <f>SUM(CO39:CX39)*Inicio!$W$13</f>
        <v/>
      </c>
      <c r="EC39" s="4">
        <f>SUM(CY39:DH39)*Inicio!$W$11</f>
        <v/>
      </c>
      <c r="ED39" s="4">
        <f>SUM(DI39:DR39)*Inicio!$W$12</f>
        <v/>
      </c>
      <c r="EE39" s="4">
        <f>SUM(C39:DR39)</f>
        <v/>
      </c>
      <c r="EF39" s="4">
        <f>SUM(EE36:EE39)</f>
        <v/>
      </c>
      <c r="EG39" s="4">
        <f>SUM(DS39:ED39)</f>
        <v/>
      </c>
      <c r="EH39" s="4">
        <f>SUM(EG36:EG39)</f>
        <v/>
      </c>
      <c r="EI39" s="4">
        <f>EE39+S!EE39+E!EE39+O!EE39</f>
        <v/>
      </c>
      <c r="EJ39" s="4">
        <f>SUM(EI36:EI39)</f>
        <v/>
      </c>
      <c r="EK39" s="4">
        <f>EG39+S!EG39+E!EG39+O!EG39</f>
        <v/>
      </c>
      <c r="EL39" s="4">
        <f>SUM(EK36:EK39)</f>
        <v/>
      </c>
    </row>
    <row r="40" ht="20.25" customHeight="1">
      <c r="B40" s="26" t="inlineStr">
        <is>
          <t>07:45 - 08:00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5">
        <f>SUM(C40:L40)*Inicio!$W$4</f>
        <v/>
      </c>
      <c r="DT40" s="5">
        <f>SUM(M40:V40)*Inicio!$W$5</f>
        <v/>
      </c>
      <c r="DU40" s="5">
        <f>SUM(W40:AF40)*Inicio!$W$6</f>
        <v/>
      </c>
      <c r="DV40" s="5">
        <f>SUM(AG40:AP40)*Inicio!$W$7</f>
        <v/>
      </c>
      <c r="DW40" s="5">
        <f>SUM(AQ40:AZ40)*Inicio!$W$8</f>
        <v/>
      </c>
      <c r="DX40" s="5">
        <f>SUM(BA40:BJ40)*Inicio!$W$9</f>
        <v/>
      </c>
      <c r="DY40" s="5">
        <f>SUM(BK40:BT40)*Inicio!$W$10</f>
        <v/>
      </c>
      <c r="DZ40" s="5">
        <f>SUM(BU40:CD40)*Inicio!$W$11</f>
        <v/>
      </c>
      <c r="EA40" s="5">
        <f>SUM(CE40:CN40)*Inicio!$W$12</f>
        <v/>
      </c>
      <c r="EB40" s="5">
        <f>SUM(CO40:CX40)*Inicio!$W$13</f>
        <v/>
      </c>
      <c r="EC40" s="5">
        <f>SUM(CY40:DH40)*Inicio!$W$11</f>
        <v/>
      </c>
      <c r="ED40" s="5">
        <f>SUM(DI40:DR40)*Inicio!$W$12</f>
        <v/>
      </c>
      <c r="EE40" s="5">
        <f>SUM(C40:DR40)</f>
        <v/>
      </c>
      <c r="EF40" s="5">
        <f>SUM(EE37:EE40)</f>
        <v/>
      </c>
      <c r="EG40" s="5">
        <f>SUM(DS40:ED40)</f>
        <v/>
      </c>
      <c r="EH40" s="5">
        <f>SUM(EG37:EG40)</f>
        <v/>
      </c>
      <c r="EI40" s="5">
        <f>EE40+S!EE40+E!EE40+O!EE40</f>
        <v/>
      </c>
      <c r="EJ40" s="5">
        <f>SUM(EI37:EI40)</f>
        <v/>
      </c>
      <c r="EK40" s="5">
        <f>EG40+S!EG40+E!EG40+O!EG40</f>
        <v/>
      </c>
      <c r="EL40" s="5">
        <f>SUM(EK37:EK40)</f>
        <v/>
      </c>
    </row>
    <row r="41" ht="20.25" customHeight="1">
      <c r="B41" s="27" t="inlineStr">
        <is>
          <t>08:00 - 08:15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0" t="n"/>
      <c r="CO41" s="20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0" t="n"/>
      <c r="DA41" s="20" t="n"/>
      <c r="DB41" s="20" t="n"/>
      <c r="DC41" s="20" t="n"/>
      <c r="DD41" s="20" t="n"/>
      <c r="DE41" s="20" t="n"/>
      <c r="DF41" s="20" t="n"/>
      <c r="DG41" s="20" t="n"/>
      <c r="DH41" s="20" t="n"/>
      <c r="DI41" s="20" t="n"/>
      <c r="DJ41" s="20" t="n"/>
      <c r="DK41" s="20" t="n"/>
      <c r="DL41" s="20" t="n"/>
      <c r="DM41" s="20" t="n"/>
      <c r="DN41" s="20" t="n"/>
      <c r="DO41" s="20" t="n"/>
      <c r="DP41" s="20" t="n"/>
      <c r="DQ41" s="20" t="n"/>
      <c r="DR41" s="20" t="n"/>
      <c r="DS41" s="3">
        <f>SUM(C41:L41)*Inicio!$W$4</f>
        <v/>
      </c>
      <c r="DT41" s="3">
        <f>SUM(M41:V41)*Inicio!$W$5</f>
        <v/>
      </c>
      <c r="DU41" s="3">
        <f>SUM(W41:AF41)*Inicio!$W$6</f>
        <v/>
      </c>
      <c r="DV41" s="3">
        <f>SUM(AG41:AP41)*Inicio!$W$7</f>
        <v/>
      </c>
      <c r="DW41" s="3">
        <f>SUM(AQ41:AZ41)*Inicio!$W$8</f>
        <v/>
      </c>
      <c r="DX41" s="3">
        <f>SUM(BA41:BJ41)*Inicio!$W$9</f>
        <v/>
      </c>
      <c r="DY41" s="3">
        <f>SUM(BK41:BT41)*Inicio!$W$10</f>
        <v/>
      </c>
      <c r="DZ41" s="3">
        <f>SUM(BU41:CD41)*Inicio!$W$11</f>
        <v/>
      </c>
      <c r="EA41" s="3">
        <f>SUM(CE41:CN41)*Inicio!$W$12</f>
        <v/>
      </c>
      <c r="EB41" s="3">
        <f>SUM(CO41:CX41)*Inicio!$W$13</f>
        <v/>
      </c>
      <c r="EC41" s="3">
        <f>SUM(CY41:DH41)*Inicio!$W$11</f>
        <v/>
      </c>
      <c r="ED41" s="3">
        <f>SUM(DI41:DR41)*Inicio!$W$12</f>
        <v/>
      </c>
      <c r="EE41" s="3">
        <f>SUM(C41:DR41)</f>
        <v/>
      </c>
      <c r="EF41" s="3">
        <f>SUM(EE38:EE41)</f>
        <v/>
      </c>
      <c r="EG41" s="3">
        <f>SUM(DS41:ED41)</f>
        <v/>
      </c>
      <c r="EH41" s="3">
        <f>SUM(EG38:EG41)</f>
        <v/>
      </c>
      <c r="EI41" s="3">
        <f>EE41+S!EE41+E!EE41+O!EE41</f>
        <v/>
      </c>
      <c r="EJ41" s="3">
        <f>SUM(EI38:EI41)</f>
        <v/>
      </c>
      <c r="EK41" s="3">
        <f>EG41+S!EG41+E!EG41+O!EG41</f>
        <v/>
      </c>
      <c r="EL41" s="3">
        <f>SUM(EK38:EK41)</f>
        <v/>
      </c>
    </row>
    <row r="42" ht="20.25" customHeight="1">
      <c r="B42" s="28" t="inlineStr">
        <is>
          <t>08:15 - 08:30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4">
        <f>SUM(C42:L42)*Inicio!$W$4</f>
        <v/>
      </c>
      <c r="DT42" s="4">
        <f>SUM(M42:V42)*Inicio!$W$5</f>
        <v/>
      </c>
      <c r="DU42" s="4">
        <f>SUM(W42:AF42)*Inicio!$W$6</f>
        <v/>
      </c>
      <c r="DV42" s="4">
        <f>SUM(AG42:AP42)*Inicio!$W$7</f>
        <v/>
      </c>
      <c r="DW42" s="4">
        <f>SUM(AQ42:AZ42)*Inicio!$W$8</f>
        <v/>
      </c>
      <c r="DX42" s="4">
        <f>SUM(BA42:BJ42)*Inicio!$W$9</f>
        <v/>
      </c>
      <c r="DY42" s="4">
        <f>SUM(BK42:BT42)*Inicio!$W$10</f>
        <v/>
      </c>
      <c r="DZ42" s="4">
        <f>SUM(BU42:CD42)*Inicio!$W$11</f>
        <v/>
      </c>
      <c r="EA42" s="4">
        <f>SUM(CE42:CN42)*Inicio!$W$12</f>
        <v/>
      </c>
      <c r="EB42" s="4">
        <f>SUM(CO42:CX42)*Inicio!$W$13</f>
        <v/>
      </c>
      <c r="EC42" s="4">
        <f>SUM(CY42:DH42)*Inicio!$W$11</f>
        <v/>
      </c>
      <c r="ED42" s="4">
        <f>SUM(DI42:DR42)*Inicio!$W$12</f>
        <v/>
      </c>
      <c r="EE42" s="4">
        <f>SUM(C42:DR42)</f>
        <v/>
      </c>
      <c r="EF42" s="4">
        <f>SUM(EE39:EE42)</f>
        <v/>
      </c>
      <c r="EG42" s="4">
        <f>SUM(DS42:ED42)</f>
        <v/>
      </c>
      <c r="EH42" s="4">
        <f>SUM(EG39:EG42)</f>
        <v/>
      </c>
      <c r="EI42" s="4">
        <f>EE42+S!EE42+E!EE42+O!EE42</f>
        <v/>
      </c>
      <c r="EJ42" s="4">
        <f>SUM(EI39:EI42)</f>
        <v/>
      </c>
      <c r="EK42" s="4">
        <f>EG42+S!EG42+E!EG42+O!EG42</f>
        <v/>
      </c>
      <c r="EL42" s="4">
        <f>SUM(EK39:EK42)</f>
        <v/>
      </c>
    </row>
    <row r="43" ht="20.25" customHeight="1">
      <c r="B43" s="28" t="inlineStr">
        <is>
          <t>08:30 - 08:45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4">
        <f>SUM(C43:L43)*Inicio!$W$4</f>
        <v/>
      </c>
      <c r="DT43" s="4">
        <f>SUM(M43:V43)*Inicio!$W$5</f>
        <v/>
      </c>
      <c r="DU43" s="4">
        <f>SUM(W43:AF43)*Inicio!$W$6</f>
        <v/>
      </c>
      <c r="DV43" s="4">
        <f>SUM(AG43:AP43)*Inicio!$W$7</f>
        <v/>
      </c>
      <c r="DW43" s="4">
        <f>SUM(AQ43:AZ43)*Inicio!$W$8</f>
        <v/>
      </c>
      <c r="DX43" s="4">
        <f>SUM(BA43:BJ43)*Inicio!$W$9</f>
        <v/>
      </c>
      <c r="DY43" s="4">
        <f>SUM(BK43:BT43)*Inicio!$W$10</f>
        <v/>
      </c>
      <c r="DZ43" s="4">
        <f>SUM(BU43:CD43)*Inicio!$W$11</f>
        <v/>
      </c>
      <c r="EA43" s="4">
        <f>SUM(CE43:CN43)*Inicio!$W$12</f>
        <v/>
      </c>
      <c r="EB43" s="4">
        <f>SUM(CO43:CX43)*Inicio!$W$13</f>
        <v/>
      </c>
      <c r="EC43" s="4">
        <f>SUM(CY43:DH43)*Inicio!$W$11</f>
        <v/>
      </c>
      <c r="ED43" s="4">
        <f>SUM(DI43:DR43)*Inicio!$W$12</f>
        <v/>
      </c>
      <c r="EE43" s="4">
        <f>SUM(C43:DR43)</f>
        <v/>
      </c>
      <c r="EF43" s="4">
        <f>SUM(EE40:EE43)</f>
        <v/>
      </c>
      <c r="EG43" s="4">
        <f>SUM(DS43:ED43)</f>
        <v/>
      </c>
      <c r="EH43" s="4">
        <f>SUM(EG40:EG43)</f>
        <v/>
      </c>
      <c r="EI43" s="4">
        <f>EE43+S!EE43+E!EE43+O!EE43</f>
        <v/>
      </c>
      <c r="EJ43" s="4">
        <f>SUM(EI40:EI43)</f>
        <v/>
      </c>
      <c r="EK43" s="4">
        <f>EG43+S!EG43+E!EG43+O!EG43</f>
        <v/>
      </c>
      <c r="EL43" s="4">
        <f>SUM(EK40:EK43)</f>
        <v/>
      </c>
    </row>
    <row r="44" ht="20.25" customHeight="1">
      <c r="B44" s="26" t="inlineStr">
        <is>
          <t>08:45 - 09:00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5">
        <f>SUM(C44:L44)*Inicio!$W$4</f>
        <v/>
      </c>
      <c r="DT44" s="5">
        <f>SUM(M44:V44)*Inicio!$W$5</f>
        <v/>
      </c>
      <c r="DU44" s="5">
        <f>SUM(W44:AF44)*Inicio!$W$6</f>
        <v/>
      </c>
      <c r="DV44" s="5">
        <f>SUM(AG44:AP44)*Inicio!$W$7</f>
        <v/>
      </c>
      <c r="DW44" s="5">
        <f>SUM(AQ44:AZ44)*Inicio!$W$8</f>
        <v/>
      </c>
      <c r="DX44" s="5">
        <f>SUM(BA44:BJ44)*Inicio!$W$9</f>
        <v/>
      </c>
      <c r="DY44" s="5">
        <f>SUM(BK44:BT44)*Inicio!$W$10</f>
        <v/>
      </c>
      <c r="DZ44" s="5">
        <f>SUM(BU44:CD44)*Inicio!$W$11</f>
        <v/>
      </c>
      <c r="EA44" s="5">
        <f>SUM(CE44:CN44)*Inicio!$W$12</f>
        <v/>
      </c>
      <c r="EB44" s="5">
        <f>SUM(CO44:CX44)*Inicio!$W$13</f>
        <v/>
      </c>
      <c r="EC44" s="5">
        <f>SUM(CY44:DH44)*Inicio!$W$11</f>
        <v/>
      </c>
      <c r="ED44" s="5">
        <f>SUM(DI44:DR44)*Inicio!$W$12</f>
        <v/>
      </c>
      <c r="EE44" s="5">
        <f>SUM(C44:DR44)</f>
        <v/>
      </c>
      <c r="EF44" s="5">
        <f>SUM(EE41:EE44)</f>
        <v/>
      </c>
      <c r="EG44" s="5">
        <f>SUM(DS44:ED44)</f>
        <v/>
      </c>
      <c r="EH44" s="5">
        <f>SUM(EG41:EG44)</f>
        <v/>
      </c>
      <c r="EI44" s="5">
        <f>EE44+S!EE44+E!EE44+O!EE44</f>
        <v/>
      </c>
      <c r="EJ44" s="5">
        <f>SUM(EI41:EI44)</f>
        <v/>
      </c>
      <c r="EK44" s="5">
        <f>EG44+S!EG44+E!EG44+O!EG44</f>
        <v/>
      </c>
      <c r="EL44" s="5">
        <f>SUM(EK41:EK44)</f>
        <v/>
      </c>
    </row>
    <row r="45" ht="20.25" customHeight="1">
      <c r="B45" s="27" t="inlineStr">
        <is>
          <t>09:00 - 09:15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0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0" t="n"/>
      <c r="DA45" s="20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0" t="n"/>
      <c r="DK45" s="20" t="n"/>
      <c r="DL45" s="20" t="n"/>
      <c r="DM45" s="20" t="n"/>
      <c r="DN45" s="20" t="n"/>
      <c r="DO45" s="20" t="n"/>
      <c r="DP45" s="20" t="n"/>
      <c r="DQ45" s="20" t="n"/>
      <c r="DR45" s="20" t="n"/>
      <c r="DS45" s="3">
        <f>SUM(C45:L45)*Inicio!$W$4</f>
        <v/>
      </c>
      <c r="DT45" s="3">
        <f>SUM(M45:V45)*Inicio!$W$5</f>
        <v/>
      </c>
      <c r="DU45" s="3">
        <f>SUM(W45:AF45)*Inicio!$W$6</f>
        <v/>
      </c>
      <c r="DV45" s="3">
        <f>SUM(AG45:AP45)*Inicio!$W$7</f>
        <v/>
      </c>
      <c r="DW45" s="3">
        <f>SUM(AQ45:AZ45)*Inicio!$W$8</f>
        <v/>
      </c>
      <c r="DX45" s="3">
        <f>SUM(BA45:BJ45)*Inicio!$W$9</f>
        <v/>
      </c>
      <c r="DY45" s="3">
        <f>SUM(BK45:BT45)*Inicio!$W$10</f>
        <v/>
      </c>
      <c r="DZ45" s="3">
        <f>SUM(BU45:CD45)*Inicio!$W$11</f>
        <v/>
      </c>
      <c r="EA45" s="3">
        <f>SUM(CE45:CN45)*Inicio!$W$12</f>
        <v/>
      </c>
      <c r="EB45" s="3">
        <f>SUM(CO45:CX45)*Inicio!$W$13</f>
        <v/>
      </c>
      <c r="EC45" s="3">
        <f>SUM(CY45:DH45)*Inicio!$W$11</f>
        <v/>
      </c>
      <c r="ED45" s="3">
        <f>SUM(DI45:DR45)*Inicio!$W$12</f>
        <v/>
      </c>
      <c r="EE45" s="3">
        <f>SUM(C45:DR45)</f>
        <v/>
      </c>
      <c r="EF45" s="3">
        <f>SUM(EE42:EE45)</f>
        <v/>
      </c>
      <c r="EG45" s="3">
        <f>SUM(DS45:ED45)</f>
        <v/>
      </c>
      <c r="EH45" s="3">
        <f>SUM(EG42:EG45)</f>
        <v/>
      </c>
      <c r="EI45" s="3">
        <f>EE45+S!EE45+E!EE45+O!EE45</f>
        <v/>
      </c>
      <c r="EJ45" s="3">
        <f>SUM(EI42:EI45)</f>
        <v/>
      </c>
      <c r="EK45" s="3">
        <f>EG45+S!EG45+E!EG45+O!EG45</f>
        <v/>
      </c>
      <c r="EL45" s="3">
        <f>SUM(EK42:EK45)</f>
        <v/>
      </c>
    </row>
    <row r="46" ht="20.25" customHeight="1">
      <c r="B46" s="28" t="inlineStr">
        <is>
          <t>09:15 - 09:30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4">
        <f>SUM(C46:L46)*Inicio!$W$4</f>
        <v/>
      </c>
      <c r="DT46" s="4">
        <f>SUM(M46:V46)*Inicio!$W$5</f>
        <v/>
      </c>
      <c r="DU46" s="4">
        <f>SUM(W46:AF46)*Inicio!$W$6</f>
        <v/>
      </c>
      <c r="DV46" s="4">
        <f>SUM(AG46:AP46)*Inicio!$W$7</f>
        <v/>
      </c>
      <c r="DW46" s="4">
        <f>SUM(AQ46:AZ46)*Inicio!$W$8</f>
        <v/>
      </c>
      <c r="DX46" s="4">
        <f>SUM(BA46:BJ46)*Inicio!$W$9</f>
        <v/>
      </c>
      <c r="DY46" s="4">
        <f>SUM(BK46:BT46)*Inicio!$W$10</f>
        <v/>
      </c>
      <c r="DZ46" s="4">
        <f>SUM(BU46:CD46)*Inicio!$W$11</f>
        <v/>
      </c>
      <c r="EA46" s="4">
        <f>SUM(CE46:CN46)*Inicio!$W$12</f>
        <v/>
      </c>
      <c r="EB46" s="4">
        <f>SUM(CO46:CX46)*Inicio!$W$13</f>
        <v/>
      </c>
      <c r="EC46" s="4">
        <f>SUM(CY46:DH46)*Inicio!$W$11</f>
        <v/>
      </c>
      <c r="ED46" s="4">
        <f>SUM(DI46:DR46)*Inicio!$W$12</f>
        <v/>
      </c>
      <c r="EE46" s="4">
        <f>SUM(C46:DR46)</f>
        <v/>
      </c>
      <c r="EF46" s="4">
        <f>SUM(EE43:EE46)</f>
        <v/>
      </c>
      <c r="EG46" s="4">
        <f>SUM(DS46:ED46)</f>
        <v/>
      </c>
      <c r="EH46" s="4">
        <f>SUM(EG43:EG46)</f>
        <v/>
      </c>
      <c r="EI46" s="4">
        <f>EE46+S!EE46+E!EE46+O!EE46</f>
        <v/>
      </c>
      <c r="EJ46" s="4">
        <f>SUM(EI43:EI46)</f>
        <v/>
      </c>
      <c r="EK46" s="4">
        <f>EG46+S!EG46+E!EG46+O!EG46</f>
        <v/>
      </c>
      <c r="EL46" s="4">
        <f>SUM(EK43:EK46)</f>
        <v/>
      </c>
    </row>
    <row r="47" ht="20.25" customHeight="1">
      <c r="B47" s="28" t="inlineStr">
        <is>
          <t>09:30 - 09:45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4">
        <f>SUM(C47:L47)*Inicio!$W$4</f>
        <v/>
      </c>
      <c r="DT47" s="4">
        <f>SUM(M47:V47)*Inicio!$W$5</f>
        <v/>
      </c>
      <c r="DU47" s="4">
        <f>SUM(W47:AF47)*Inicio!$W$6</f>
        <v/>
      </c>
      <c r="DV47" s="4">
        <f>SUM(AG47:AP47)*Inicio!$W$7</f>
        <v/>
      </c>
      <c r="DW47" s="4">
        <f>SUM(AQ47:AZ47)*Inicio!$W$8</f>
        <v/>
      </c>
      <c r="DX47" s="4">
        <f>SUM(BA47:BJ47)*Inicio!$W$9</f>
        <v/>
      </c>
      <c r="DY47" s="4">
        <f>SUM(BK47:BT47)*Inicio!$W$10</f>
        <v/>
      </c>
      <c r="DZ47" s="4">
        <f>SUM(BU47:CD47)*Inicio!$W$11</f>
        <v/>
      </c>
      <c r="EA47" s="4">
        <f>SUM(CE47:CN47)*Inicio!$W$12</f>
        <v/>
      </c>
      <c r="EB47" s="4">
        <f>SUM(CO47:CX47)*Inicio!$W$13</f>
        <v/>
      </c>
      <c r="EC47" s="4">
        <f>SUM(CY47:DH47)*Inicio!$W$11</f>
        <v/>
      </c>
      <c r="ED47" s="4">
        <f>SUM(DI47:DR47)*Inicio!$W$12</f>
        <v/>
      </c>
      <c r="EE47" s="4">
        <f>SUM(C47:DR47)</f>
        <v/>
      </c>
      <c r="EF47" s="4">
        <f>SUM(EE44:EE47)</f>
        <v/>
      </c>
      <c r="EG47" s="4">
        <f>SUM(DS47:ED47)</f>
        <v/>
      </c>
      <c r="EH47" s="4">
        <f>SUM(EG44:EG47)</f>
        <v/>
      </c>
      <c r="EI47" s="4">
        <f>EE47+S!EE47+E!EE47+O!EE47</f>
        <v/>
      </c>
      <c r="EJ47" s="4">
        <f>SUM(EI44:EI47)</f>
        <v/>
      </c>
      <c r="EK47" s="4">
        <f>EG47+S!EG47+E!EG47+O!EG47</f>
        <v/>
      </c>
      <c r="EL47" s="4">
        <f>SUM(EK44:EK47)</f>
        <v/>
      </c>
    </row>
    <row r="48" ht="20.25" customHeight="1">
      <c r="B48" s="26" t="inlineStr">
        <is>
          <t>09:45 - 10:00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5">
        <f>SUM(C48:L48)*Inicio!$W$4</f>
        <v/>
      </c>
      <c r="DT48" s="5">
        <f>SUM(M48:V48)*Inicio!$W$5</f>
        <v/>
      </c>
      <c r="DU48" s="5">
        <f>SUM(W48:AF48)*Inicio!$W$6</f>
        <v/>
      </c>
      <c r="DV48" s="5">
        <f>SUM(AG48:AP48)*Inicio!$W$7</f>
        <v/>
      </c>
      <c r="DW48" s="5">
        <f>SUM(AQ48:AZ48)*Inicio!$W$8</f>
        <v/>
      </c>
      <c r="DX48" s="5">
        <f>SUM(BA48:BJ48)*Inicio!$W$9</f>
        <v/>
      </c>
      <c r="DY48" s="5">
        <f>SUM(BK48:BT48)*Inicio!$W$10</f>
        <v/>
      </c>
      <c r="DZ48" s="5">
        <f>SUM(BU48:CD48)*Inicio!$W$11</f>
        <v/>
      </c>
      <c r="EA48" s="5">
        <f>SUM(CE48:CN48)*Inicio!$W$12</f>
        <v/>
      </c>
      <c r="EB48" s="5">
        <f>SUM(CO48:CX48)*Inicio!$W$13</f>
        <v/>
      </c>
      <c r="EC48" s="5">
        <f>SUM(CY48:DH48)*Inicio!$W$11</f>
        <v/>
      </c>
      <c r="ED48" s="5">
        <f>SUM(DI48:DR48)*Inicio!$W$12</f>
        <v/>
      </c>
      <c r="EE48" s="5">
        <f>SUM(C48:DR48)</f>
        <v/>
      </c>
      <c r="EF48" s="5">
        <f>SUM(EE45:EE48)</f>
        <v/>
      </c>
      <c r="EG48" s="5">
        <f>SUM(DS48:ED48)</f>
        <v/>
      </c>
      <c r="EH48" s="5">
        <f>SUM(EG45:EG48)</f>
        <v/>
      </c>
      <c r="EI48" s="5">
        <f>EE48+S!EE48+E!EE48+O!EE48</f>
        <v/>
      </c>
      <c r="EJ48" s="5">
        <f>SUM(EI45:EI48)</f>
        <v/>
      </c>
      <c r="EK48" s="5">
        <f>EG48+S!EG48+E!EG48+O!EG48</f>
        <v/>
      </c>
      <c r="EL48" s="5">
        <f>SUM(EK45:EK48)</f>
        <v/>
      </c>
    </row>
    <row r="49" ht="20.25" customHeight="1">
      <c r="B49" s="27" t="inlineStr">
        <is>
          <t>10:00 - 10:15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0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0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0" t="n"/>
      <c r="DA49" s="20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0" t="n"/>
      <c r="DK49" s="20" t="n"/>
      <c r="DL49" s="20" t="n"/>
      <c r="DM49" s="20" t="n"/>
      <c r="DN49" s="20" t="n"/>
      <c r="DO49" s="20" t="n"/>
      <c r="DP49" s="20" t="n"/>
      <c r="DQ49" s="20" t="n"/>
      <c r="DR49" s="20" t="n"/>
      <c r="DS49" s="3">
        <f>SUM(C49:L49)*Inicio!$W$4</f>
        <v/>
      </c>
      <c r="DT49" s="3">
        <f>SUM(M49:V49)*Inicio!$W$5</f>
        <v/>
      </c>
      <c r="DU49" s="3">
        <f>SUM(W49:AF49)*Inicio!$W$6</f>
        <v/>
      </c>
      <c r="DV49" s="3">
        <f>SUM(AG49:AP49)*Inicio!$W$7</f>
        <v/>
      </c>
      <c r="DW49" s="3">
        <f>SUM(AQ49:AZ49)*Inicio!$W$8</f>
        <v/>
      </c>
      <c r="DX49" s="3">
        <f>SUM(BA49:BJ49)*Inicio!$W$9</f>
        <v/>
      </c>
      <c r="DY49" s="3">
        <f>SUM(BK49:BT49)*Inicio!$W$10</f>
        <v/>
      </c>
      <c r="DZ49" s="3">
        <f>SUM(BU49:CD49)*Inicio!$W$11</f>
        <v/>
      </c>
      <c r="EA49" s="3">
        <f>SUM(CE49:CN49)*Inicio!$W$12</f>
        <v/>
      </c>
      <c r="EB49" s="3">
        <f>SUM(CO49:CX49)*Inicio!$W$13</f>
        <v/>
      </c>
      <c r="EC49" s="3">
        <f>SUM(CY49:DH49)*Inicio!$W$11</f>
        <v/>
      </c>
      <c r="ED49" s="3">
        <f>SUM(DI49:DR49)*Inicio!$W$12</f>
        <v/>
      </c>
      <c r="EE49" s="3">
        <f>SUM(C49:DR49)</f>
        <v/>
      </c>
      <c r="EF49" s="3">
        <f>SUM(EE46:EE49)</f>
        <v/>
      </c>
      <c r="EG49" s="3">
        <f>SUM(DS49:ED49)</f>
        <v/>
      </c>
      <c r="EH49" s="3">
        <f>SUM(EG46:EG49)</f>
        <v/>
      </c>
      <c r="EI49" s="3">
        <f>EE49+S!EE49+E!EE49+O!EE49</f>
        <v/>
      </c>
      <c r="EJ49" s="3">
        <f>SUM(EI46:EI49)</f>
        <v/>
      </c>
      <c r="EK49" s="3">
        <f>EG49+S!EG49+E!EG49+O!EG49</f>
        <v/>
      </c>
      <c r="EL49" s="3">
        <f>SUM(EK46:EK49)</f>
        <v/>
      </c>
    </row>
    <row r="50" ht="20.25" customHeight="1">
      <c r="B50" s="28" t="inlineStr">
        <is>
          <t>10:15 - 10:30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4">
        <f>SUM(C50:L50)*Inicio!$W$4</f>
        <v/>
      </c>
      <c r="DT50" s="4">
        <f>SUM(M50:V50)*Inicio!$W$5</f>
        <v/>
      </c>
      <c r="DU50" s="4">
        <f>SUM(W50:AF50)*Inicio!$W$6</f>
        <v/>
      </c>
      <c r="DV50" s="4">
        <f>SUM(AG50:AP50)*Inicio!$W$7</f>
        <v/>
      </c>
      <c r="DW50" s="4">
        <f>SUM(AQ50:AZ50)*Inicio!$W$8</f>
        <v/>
      </c>
      <c r="DX50" s="4">
        <f>SUM(BA50:BJ50)*Inicio!$W$9</f>
        <v/>
      </c>
      <c r="DY50" s="4">
        <f>SUM(BK50:BT50)*Inicio!$W$10</f>
        <v/>
      </c>
      <c r="DZ50" s="4">
        <f>SUM(BU50:CD50)*Inicio!$W$11</f>
        <v/>
      </c>
      <c r="EA50" s="4">
        <f>SUM(CE50:CN50)*Inicio!$W$12</f>
        <v/>
      </c>
      <c r="EB50" s="4">
        <f>SUM(CO50:CX50)*Inicio!$W$13</f>
        <v/>
      </c>
      <c r="EC50" s="4">
        <f>SUM(CY50:DH50)*Inicio!$W$11</f>
        <v/>
      </c>
      <c r="ED50" s="4">
        <f>SUM(DI50:DR50)*Inicio!$W$12</f>
        <v/>
      </c>
      <c r="EE50" s="4">
        <f>SUM(C50:DR50)</f>
        <v/>
      </c>
      <c r="EF50" s="4">
        <f>SUM(EE47:EE50)</f>
        <v/>
      </c>
      <c r="EG50" s="4">
        <f>SUM(DS50:ED50)</f>
        <v/>
      </c>
      <c r="EH50" s="4">
        <f>SUM(EG47:EG50)</f>
        <v/>
      </c>
      <c r="EI50" s="4">
        <f>EE50+S!EE50+E!EE50+O!EE50</f>
        <v/>
      </c>
      <c r="EJ50" s="4">
        <f>SUM(EI47:EI50)</f>
        <v/>
      </c>
      <c r="EK50" s="4">
        <f>EG50+S!EG50+E!EG50+O!EG50</f>
        <v/>
      </c>
      <c r="EL50" s="4">
        <f>SUM(EK47:EK50)</f>
        <v/>
      </c>
    </row>
    <row r="51" ht="20.25" customHeight="1">
      <c r="B51" s="28" t="inlineStr">
        <is>
          <t>10:30 - 10:45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4">
        <f>SUM(C51:L51)*Inicio!$W$4</f>
        <v/>
      </c>
      <c r="DT51" s="4">
        <f>SUM(M51:V51)*Inicio!$W$5</f>
        <v/>
      </c>
      <c r="DU51" s="4">
        <f>SUM(W51:AF51)*Inicio!$W$6</f>
        <v/>
      </c>
      <c r="DV51" s="4">
        <f>SUM(AG51:AP51)*Inicio!$W$7</f>
        <v/>
      </c>
      <c r="DW51" s="4">
        <f>SUM(AQ51:AZ51)*Inicio!$W$8</f>
        <v/>
      </c>
      <c r="DX51" s="4">
        <f>SUM(BA51:BJ51)*Inicio!$W$9</f>
        <v/>
      </c>
      <c r="DY51" s="4">
        <f>SUM(BK51:BT51)*Inicio!$W$10</f>
        <v/>
      </c>
      <c r="DZ51" s="4">
        <f>SUM(BU51:CD51)*Inicio!$W$11</f>
        <v/>
      </c>
      <c r="EA51" s="4">
        <f>SUM(CE51:CN51)*Inicio!$W$12</f>
        <v/>
      </c>
      <c r="EB51" s="4">
        <f>SUM(CO51:CX51)*Inicio!$W$13</f>
        <v/>
      </c>
      <c r="EC51" s="4">
        <f>SUM(CY51:DH51)*Inicio!$W$11</f>
        <v/>
      </c>
      <c r="ED51" s="4">
        <f>SUM(DI51:DR51)*Inicio!$W$12</f>
        <v/>
      </c>
      <c r="EE51" s="4">
        <f>SUM(C51:DR51)</f>
        <v/>
      </c>
      <c r="EF51" s="4">
        <f>SUM(EE48:EE51)</f>
        <v/>
      </c>
      <c r="EG51" s="4">
        <f>SUM(DS51:ED51)</f>
        <v/>
      </c>
      <c r="EH51" s="4">
        <f>SUM(EG48:EG51)</f>
        <v/>
      </c>
      <c r="EI51" s="4">
        <f>EE51+S!EE51+E!EE51+O!EE51</f>
        <v/>
      </c>
      <c r="EJ51" s="4">
        <f>SUM(EI48:EI51)</f>
        <v/>
      </c>
      <c r="EK51" s="4">
        <f>EG51+S!EG51+E!EG51+O!EG51</f>
        <v/>
      </c>
      <c r="EL51" s="4">
        <f>SUM(EK48:EK51)</f>
        <v/>
      </c>
    </row>
    <row r="52" ht="20.25" customHeight="1">
      <c r="B52" s="26" t="inlineStr">
        <is>
          <t>10:45 - 11:00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5">
        <f>SUM(C52:L52)*Inicio!$W$4</f>
        <v/>
      </c>
      <c r="DT52" s="5">
        <f>SUM(M52:V52)*Inicio!$W$5</f>
        <v/>
      </c>
      <c r="DU52" s="5">
        <f>SUM(W52:AF52)*Inicio!$W$6</f>
        <v/>
      </c>
      <c r="DV52" s="5">
        <f>SUM(AG52:AP52)*Inicio!$W$7</f>
        <v/>
      </c>
      <c r="DW52" s="5">
        <f>SUM(AQ52:AZ52)*Inicio!$W$8</f>
        <v/>
      </c>
      <c r="DX52" s="5">
        <f>SUM(BA52:BJ52)*Inicio!$W$9</f>
        <v/>
      </c>
      <c r="DY52" s="5">
        <f>SUM(BK52:BT52)*Inicio!$W$10</f>
        <v/>
      </c>
      <c r="DZ52" s="5">
        <f>SUM(BU52:CD52)*Inicio!$W$11</f>
        <v/>
      </c>
      <c r="EA52" s="5">
        <f>SUM(CE52:CN52)*Inicio!$W$12</f>
        <v/>
      </c>
      <c r="EB52" s="5">
        <f>SUM(CO52:CX52)*Inicio!$W$13</f>
        <v/>
      </c>
      <c r="EC52" s="5">
        <f>SUM(CY52:DH52)*Inicio!$W$11</f>
        <v/>
      </c>
      <c r="ED52" s="5">
        <f>SUM(DI52:DR52)*Inicio!$W$12</f>
        <v/>
      </c>
      <c r="EE52" s="5">
        <f>SUM(C52:DR52)</f>
        <v/>
      </c>
      <c r="EF52" s="5">
        <f>SUM(EE49:EE52)</f>
        <v/>
      </c>
      <c r="EG52" s="5">
        <f>SUM(DS52:ED52)</f>
        <v/>
      </c>
      <c r="EH52" s="5">
        <f>SUM(EG49:EG52)</f>
        <v/>
      </c>
      <c r="EI52" s="5">
        <f>EE52+S!EE52+E!EE52+O!EE52</f>
        <v/>
      </c>
      <c r="EJ52" s="5">
        <f>SUM(EI49:EI52)</f>
        <v/>
      </c>
      <c r="EK52" s="5">
        <f>EG52+S!EG52+E!EG52+O!EG52</f>
        <v/>
      </c>
      <c r="EL52" s="5">
        <f>SUM(EK49:EK52)</f>
        <v/>
      </c>
    </row>
    <row r="53" ht="20.25" customHeight="1">
      <c r="B53" s="27" t="inlineStr">
        <is>
          <t>11:00 - 11:15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0" t="n"/>
      <c r="CO53" s="20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0" t="n"/>
      <c r="DA53" s="20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0" t="n"/>
      <c r="DK53" s="20" t="n"/>
      <c r="DL53" s="20" t="n"/>
      <c r="DM53" s="20" t="n"/>
      <c r="DN53" s="20" t="n"/>
      <c r="DO53" s="20" t="n"/>
      <c r="DP53" s="20" t="n"/>
      <c r="DQ53" s="20" t="n"/>
      <c r="DR53" s="20" t="n"/>
      <c r="DS53" s="4">
        <f>SUM(C53:L53)*Inicio!$W$4</f>
        <v/>
      </c>
      <c r="DT53" s="4">
        <f>SUM(M53:V53)*Inicio!$W$5</f>
        <v/>
      </c>
      <c r="DU53" s="4">
        <f>SUM(W53:AF53)*Inicio!$W$6</f>
        <v/>
      </c>
      <c r="DV53" s="4">
        <f>SUM(AG53:AP53)*Inicio!$W$7</f>
        <v/>
      </c>
      <c r="DW53" s="4">
        <f>SUM(AQ53:AZ53)*Inicio!$W$8</f>
        <v/>
      </c>
      <c r="DX53" s="4">
        <f>SUM(BA53:BJ53)*Inicio!$W$9</f>
        <v/>
      </c>
      <c r="DY53" s="4">
        <f>SUM(BK53:BT53)*Inicio!$W$10</f>
        <v/>
      </c>
      <c r="DZ53" s="4">
        <f>SUM(BU53:CD53)*Inicio!$W$11</f>
        <v/>
      </c>
      <c r="EA53" s="4">
        <f>SUM(CE53:CN53)*Inicio!$W$12</f>
        <v/>
      </c>
      <c r="EB53" s="4">
        <f>SUM(CO53:CX53)*Inicio!$W$13</f>
        <v/>
      </c>
      <c r="EC53" s="4">
        <f>SUM(CY53:DH53)*Inicio!$W$11</f>
        <v/>
      </c>
      <c r="ED53" s="4">
        <f>SUM(DI53:DR53)*Inicio!$W$12</f>
        <v/>
      </c>
      <c r="EE53" s="4">
        <f>SUM(C53:DR53)</f>
        <v/>
      </c>
      <c r="EF53" s="4">
        <f>SUM(EE50:EE53)</f>
        <v/>
      </c>
      <c r="EG53" s="4">
        <f>SUM(DS53:ED53)</f>
        <v/>
      </c>
      <c r="EH53" s="4">
        <f>SUM(EG50:EG53)</f>
        <v/>
      </c>
      <c r="EI53" s="4">
        <f>EE53+S!EE53+E!EE53+O!EE53</f>
        <v/>
      </c>
      <c r="EJ53" s="4">
        <f>SUM(EI50:EI53)</f>
        <v/>
      </c>
      <c r="EK53" s="4">
        <f>EG53+S!EG53+E!EG53+O!EG53</f>
        <v/>
      </c>
      <c r="EL53" s="4">
        <f>SUM(EK50:EK53)</f>
        <v/>
      </c>
    </row>
    <row r="54" ht="20.25" customHeight="1">
      <c r="B54" s="28" t="inlineStr">
        <is>
          <t>11:15 - 11:30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4">
        <f>SUM(C54:L54)*Inicio!$W$4</f>
        <v/>
      </c>
      <c r="DT54" s="4">
        <f>SUM(M54:V54)*Inicio!$W$5</f>
        <v/>
      </c>
      <c r="DU54" s="4">
        <f>SUM(W54:AF54)*Inicio!$W$6</f>
        <v/>
      </c>
      <c r="DV54" s="4">
        <f>SUM(AG54:AP54)*Inicio!$W$7</f>
        <v/>
      </c>
      <c r="DW54" s="4">
        <f>SUM(AQ54:AZ54)*Inicio!$W$8</f>
        <v/>
      </c>
      <c r="DX54" s="4">
        <f>SUM(BA54:BJ54)*Inicio!$W$9</f>
        <v/>
      </c>
      <c r="DY54" s="4">
        <f>SUM(BK54:BT54)*Inicio!$W$10</f>
        <v/>
      </c>
      <c r="DZ54" s="4">
        <f>SUM(BU54:CD54)*Inicio!$W$11</f>
        <v/>
      </c>
      <c r="EA54" s="4">
        <f>SUM(CE54:CN54)*Inicio!$W$12</f>
        <v/>
      </c>
      <c r="EB54" s="4">
        <f>SUM(CO54:CX54)*Inicio!$W$13</f>
        <v/>
      </c>
      <c r="EC54" s="4">
        <f>SUM(CY54:DH54)*Inicio!$W$11</f>
        <v/>
      </c>
      <c r="ED54" s="4">
        <f>SUM(DI54:DR54)*Inicio!$W$12</f>
        <v/>
      </c>
      <c r="EE54" s="4">
        <f>SUM(C54:DR54)</f>
        <v/>
      </c>
      <c r="EF54" s="4">
        <f>SUM(EE51:EE54)</f>
        <v/>
      </c>
      <c r="EG54" s="4">
        <f>SUM(DS54:ED54)</f>
        <v/>
      </c>
      <c r="EH54" s="4">
        <f>SUM(EG51:EG54)</f>
        <v/>
      </c>
      <c r="EI54" s="4">
        <f>EE54+S!EE54+E!EE54+O!EE54</f>
        <v/>
      </c>
      <c r="EJ54" s="4">
        <f>SUM(EI51:EI54)</f>
        <v/>
      </c>
      <c r="EK54" s="4">
        <f>EG54+S!EG54+E!EG54+O!EG54</f>
        <v/>
      </c>
      <c r="EL54" s="4">
        <f>SUM(EK51:EK54)</f>
        <v/>
      </c>
    </row>
    <row r="55" ht="20.25" customHeight="1">
      <c r="B55" s="28" t="inlineStr">
        <is>
          <t>11:30 - 11:45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4">
        <f>SUM(C55:L55)*Inicio!$W$4</f>
        <v/>
      </c>
      <c r="DT55" s="4">
        <f>SUM(M55:V55)*Inicio!$W$5</f>
        <v/>
      </c>
      <c r="DU55" s="4">
        <f>SUM(W55:AF55)*Inicio!$W$6</f>
        <v/>
      </c>
      <c r="DV55" s="4">
        <f>SUM(AG55:AP55)*Inicio!$W$7</f>
        <v/>
      </c>
      <c r="DW55" s="4">
        <f>SUM(AQ55:AZ55)*Inicio!$W$8</f>
        <v/>
      </c>
      <c r="DX55" s="4">
        <f>SUM(BA55:BJ55)*Inicio!$W$9</f>
        <v/>
      </c>
      <c r="DY55" s="4">
        <f>SUM(BK55:BT55)*Inicio!$W$10</f>
        <v/>
      </c>
      <c r="DZ55" s="4">
        <f>SUM(BU55:CD55)*Inicio!$W$11</f>
        <v/>
      </c>
      <c r="EA55" s="4">
        <f>SUM(CE55:CN55)*Inicio!$W$12</f>
        <v/>
      </c>
      <c r="EB55" s="4">
        <f>SUM(CO55:CX55)*Inicio!$W$13</f>
        <v/>
      </c>
      <c r="EC55" s="4">
        <f>SUM(CY55:DH55)*Inicio!$W$11</f>
        <v/>
      </c>
      <c r="ED55" s="4">
        <f>SUM(DI55:DR55)*Inicio!$W$12</f>
        <v/>
      </c>
      <c r="EE55" s="4">
        <f>SUM(C55:DR55)</f>
        <v/>
      </c>
      <c r="EF55" s="4">
        <f>SUM(EE52:EE55)</f>
        <v/>
      </c>
      <c r="EG55" s="4">
        <f>SUM(DS55:ED55)</f>
        <v/>
      </c>
      <c r="EH55" s="4">
        <f>SUM(EG52:EG55)</f>
        <v/>
      </c>
      <c r="EI55" s="4">
        <f>EE55+S!EE55+E!EE55+O!EE55</f>
        <v/>
      </c>
      <c r="EJ55" s="4">
        <f>SUM(EI52:EI55)</f>
        <v/>
      </c>
      <c r="EK55" s="4">
        <f>EG55+S!EG55+E!EG55+O!EG55</f>
        <v/>
      </c>
      <c r="EL55" s="4">
        <f>SUM(EK52:EK55)</f>
        <v/>
      </c>
    </row>
    <row r="56" ht="20.25" customHeight="1">
      <c r="B56" s="26" t="inlineStr">
        <is>
          <t>11:45 - 12:00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4">
        <f>SUM(C56:L56)*Inicio!$W$4</f>
        <v/>
      </c>
      <c r="DT56" s="4">
        <f>SUM(M56:V56)*Inicio!$W$5</f>
        <v/>
      </c>
      <c r="DU56" s="4">
        <f>SUM(W56:AF56)*Inicio!$W$6</f>
        <v/>
      </c>
      <c r="DV56" s="4">
        <f>SUM(AG56:AP56)*Inicio!$W$7</f>
        <v/>
      </c>
      <c r="DW56" s="4">
        <f>SUM(AQ56:AZ56)*Inicio!$W$8</f>
        <v/>
      </c>
      <c r="DX56" s="4">
        <f>SUM(BA56:BJ56)*Inicio!$W$9</f>
        <v/>
      </c>
      <c r="DY56" s="4">
        <f>SUM(BK56:BT56)*Inicio!$W$10</f>
        <v/>
      </c>
      <c r="DZ56" s="4">
        <f>SUM(BU56:CD56)*Inicio!$W$11</f>
        <v/>
      </c>
      <c r="EA56" s="4">
        <f>SUM(CE56:CN56)*Inicio!$W$12</f>
        <v/>
      </c>
      <c r="EB56" s="4">
        <f>SUM(CO56:CX56)*Inicio!$W$13</f>
        <v/>
      </c>
      <c r="EC56" s="4">
        <f>SUM(CY56:DH56)*Inicio!$W$11</f>
        <v/>
      </c>
      <c r="ED56" s="4">
        <f>SUM(DI56:DR56)*Inicio!$W$12</f>
        <v/>
      </c>
      <c r="EE56" s="4">
        <f>SUM(C56:DR56)</f>
        <v/>
      </c>
      <c r="EF56" s="4">
        <f>SUM(EE53:EE56)</f>
        <v/>
      </c>
      <c r="EG56" s="4">
        <f>SUM(DS56:ED56)</f>
        <v/>
      </c>
      <c r="EH56" s="4">
        <f>SUM(EG53:EG56)</f>
        <v/>
      </c>
      <c r="EI56" s="4">
        <f>EE56+S!EE56+E!EE56+O!EE56</f>
        <v/>
      </c>
      <c r="EJ56" s="4">
        <f>SUM(EI53:EI56)</f>
        <v/>
      </c>
      <c r="EK56" s="4">
        <f>EG56+S!EG56+E!EG56+O!EG56</f>
        <v/>
      </c>
      <c r="EL56" s="4">
        <f>SUM(EK53:EK56)</f>
        <v/>
      </c>
    </row>
    <row r="57" ht="20.25" customHeight="1">
      <c r="B57" s="27" t="inlineStr">
        <is>
          <t>12:00 - 12:15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0" t="n"/>
      <c r="CO57" s="20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0" t="n"/>
      <c r="DA57" s="20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0" t="n"/>
      <c r="DK57" s="20" t="n"/>
      <c r="DL57" s="20" t="n"/>
      <c r="DM57" s="20" t="n"/>
      <c r="DN57" s="20" t="n"/>
      <c r="DO57" s="20" t="n"/>
      <c r="DP57" s="20" t="n"/>
      <c r="DQ57" s="20" t="n"/>
      <c r="DR57" s="20" t="n"/>
      <c r="DS57" s="3">
        <f>SUM(C57:L57)*Inicio!$W$4</f>
        <v/>
      </c>
      <c r="DT57" s="3">
        <f>SUM(M57:V57)*Inicio!$W$5</f>
        <v/>
      </c>
      <c r="DU57" s="3">
        <f>SUM(W57:AF57)*Inicio!$W$6</f>
        <v/>
      </c>
      <c r="DV57" s="3">
        <f>SUM(AG57:AP57)*Inicio!$W$7</f>
        <v/>
      </c>
      <c r="DW57" s="3">
        <f>SUM(AQ57:AZ57)*Inicio!$W$8</f>
        <v/>
      </c>
      <c r="DX57" s="3">
        <f>SUM(BA57:BJ57)*Inicio!$W$9</f>
        <v/>
      </c>
      <c r="DY57" s="3">
        <f>SUM(BK57:BT57)*Inicio!$W$10</f>
        <v/>
      </c>
      <c r="DZ57" s="3">
        <f>SUM(BU57:CD57)*Inicio!$W$11</f>
        <v/>
      </c>
      <c r="EA57" s="3">
        <f>SUM(CE57:CN57)*Inicio!$W$12</f>
        <v/>
      </c>
      <c r="EB57" s="3">
        <f>SUM(CO57:CX57)*Inicio!$W$13</f>
        <v/>
      </c>
      <c r="EC57" s="3">
        <f>SUM(CY57:DH57)*Inicio!$W$11</f>
        <v/>
      </c>
      <c r="ED57" s="3">
        <f>SUM(DI57:DR57)*Inicio!$W$12</f>
        <v/>
      </c>
      <c r="EE57" s="3">
        <f>SUM(C57:DR57)</f>
        <v/>
      </c>
      <c r="EF57" s="3">
        <f>SUM(EE54:EE57)</f>
        <v/>
      </c>
      <c r="EG57" s="3">
        <f>SUM(DS57:ED57)</f>
        <v/>
      </c>
      <c r="EH57" s="3">
        <f>SUM(EG54:EG57)</f>
        <v/>
      </c>
      <c r="EI57" s="3">
        <f>EE57+S!EE57+E!EE57+O!EE57</f>
        <v/>
      </c>
      <c r="EJ57" s="3">
        <f>SUM(EI54:EI57)</f>
        <v/>
      </c>
      <c r="EK57" s="3">
        <f>EG57+S!EG57+E!EG57+O!EG57</f>
        <v/>
      </c>
      <c r="EL57" s="3">
        <f>SUM(EK54:EK57)</f>
        <v/>
      </c>
    </row>
    <row r="58" ht="20.25" customHeight="1">
      <c r="B58" s="28" t="inlineStr">
        <is>
          <t>12:15 - 12:30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4">
        <f>SUM(C58:L58)*Inicio!$W$4</f>
        <v/>
      </c>
      <c r="DT58" s="4">
        <f>SUM(M58:V58)*Inicio!$W$5</f>
        <v/>
      </c>
      <c r="DU58" s="4">
        <f>SUM(W58:AF58)*Inicio!$W$6</f>
        <v/>
      </c>
      <c r="DV58" s="4">
        <f>SUM(AG58:AP58)*Inicio!$W$7</f>
        <v/>
      </c>
      <c r="DW58" s="4">
        <f>SUM(AQ58:AZ58)*Inicio!$W$8</f>
        <v/>
      </c>
      <c r="DX58" s="4">
        <f>SUM(BA58:BJ58)*Inicio!$W$9</f>
        <v/>
      </c>
      <c r="DY58" s="4">
        <f>SUM(BK58:BT58)*Inicio!$W$10</f>
        <v/>
      </c>
      <c r="DZ58" s="4">
        <f>SUM(BU58:CD58)*Inicio!$W$11</f>
        <v/>
      </c>
      <c r="EA58" s="4">
        <f>SUM(CE58:CN58)*Inicio!$W$12</f>
        <v/>
      </c>
      <c r="EB58" s="4">
        <f>SUM(CO58:CX58)*Inicio!$W$13</f>
        <v/>
      </c>
      <c r="EC58" s="4">
        <f>SUM(CY58:DH58)*Inicio!$W$11</f>
        <v/>
      </c>
      <c r="ED58" s="4">
        <f>SUM(DI58:DR58)*Inicio!$W$12</f>
        <v/>
      </c>
      <c r="EE58" s="4">
        <f>SUM(C58:DR58)</f>
        <v/>
      </c>
      <c r="EF58" s="4">
        <f>SUM(EE55:EE58)</f>
        <v/>
      </c>
      <c r="EG58" s="4">
        <f>SUM(DS58:ED58)</f>
        <v/>
      </c>
      <c r="EH58" s="4">
        <f>SUM(EG55:EG58)</f>
        <v/>
      </c>
      <c r="EI58" s="4">
        <f>EE58+S!EE58+E!EE58+O!EE58</f>
        <v/>
      </c>
      <c r="EJ58" s="4">
        <f>SUM(EI55:EI58)</f>
        <v/>
      </c>
      <c r="EK58" s="4">
        <f>EG58+S!EG58+E!EG58+O!EG58</f>
        <v/>
      </c>
      <c r="EL58" s="4">
        <f>SUM(EK55:EK58)</f>
        <v/>
      </c>
    </row>
    <row r="59" ht="20.25" customHeight="1">
      <c r="B59" s="28" t="inlineStr">
        <is>
          <t>12:30 - 12:45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4">
        <f>SUM(C59:L59)*Inicio!$W$4</f>
        <v/>
      </c>
      <c r="DT59" s="4">
        <f>SUM(M59:V59)*Inicio!$W$5</f>
        <v/>
      </c>
      <c r="DU59" s="4">
        <f>SUM(W59:AF59)*Inicio!$W$6</f>
        <v/>
      </c>
      <c r="DV59" s="4">
        <f>SUM(AG59:AP59)*Inicio!$W$7</f>
        <v/>
      </c>
      <c r="DW59" s="4">
        <f>SUM(AQ59:AZ59)*Inicio!$W$8</f>
        <v/>
      </c>
      <c r="DX59" s="4">
        <f>SUM(BA59:BJ59)*Inicio!$W$9</f>
        <v/>
      </c>
      <c r="DY59" s="4">
        <f>SUM(BK59:BT59)*Inicio!$W$10</f>
        <v/>
      </c>
      <c r="DZ59" s="4">
        <f>SUM(BU59:CD59)*Inicio!$W$11</f>
        <v/>
      </c>
      <c r="EA59" s="4">
        <f>SUM(CE59:CN59)*Inicio!$W$12</f>
        <v/>
      </c>
      <c r="EB59" s="4">
        <f>SUM(CO59:CX59)*Inicio!$W$13</f>
        <v/>
      </c>
      <c r="EC59" s="4">
        <f>SUM(CY59:DH59)*Inicio!$W$11</f>
        <v/>
      </c>
      <c r="ED59" s="4">
        <f>SUM(DI59:DR59)*Inicio!$W$12</f>
        <v/>
      </c>
      <c r="EE59" s="4">
        <f>SUM(C59:DR59)</f>
        <v/>
      </c>
      <c r="EF59" s="4">
        <f>SUM(EE56:EE59)</f>
        <v/>
      </c>
      <c r="EG59" s="4">
        <f>SUM(DS59:ED59)</f>
        <v/>
      </c>
      <c r="EH59" s="4">
        <f>SUM(EG56:EG59)</f>
        <v/>
      </c>
      <c r="EI59" s="4">
        <f>EE59+S!EE59+E!EE59+O!EE59</f>
        <v/>
      </c>
      <c r="EJ59" s="4">
        <f>SUM(EI56:EI59)</f>
        <v/>
      </c>
      <c r="EK59" s="4">
        <f>EG59+S!EG59+E!EG59+O!EG59</f>
        <v/>
      </c>
      <c r="EL59" s="4">
        <f>SUM(EK56:EK59)</f>
        <v/>
      </c>
    </row>
    <row r="60" ht="20.25" customHeight="1">
      <c r="B60" s="26" t="inlineStr">
        <is>
          <t>12:45 - 13:00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5">
        <f>SUM(C60:L60)*Inicio!$W$4</f>
        <v/>
      </c>
      <c r="DT60" s="5">
        <f>SUM(M60:V60)*Inicio!$W$5</f>
        <v/>
      </c>
      <c r="DU60" s="5">
        <f>SUM(W60:AF60)*Inicio!$W$6</f>
        <v/>
      </c>
      <c r="DV60" s="5">
        <f>SUM(AG60:AP60)*Inicio!$W$7</f>
        <v/>
      </c>
      <c r="DW60" s="5">
        <f>SUM(AQ60:AZ60)*Inicio!$W$8</f>
        <v/>
      </c>
      <c r="DX60" s="5">
        <f>SUM(BA60:BJ60)*Inicio!$W$9</f>
        <v/>
      </c>
      <c r="DY60" s="5">
        <f>SUM(BK60:BT60)*Inicio!$W$10</f>
        <v/>
      </c>
      <c r="DZ60" s="5">
        <f>SUM(BU60:CD60)*Inicio!$W$11</f>
        <v/>
      </c>
      <c r="EA60" s="5">
        <f>SUM(CE60:CN60)*Inicio!$W$12</f>
        <v/>
      </c>
      <c r="EB60" s="5">
        <f>SUM(CO60:CX60)*Inicio!$W$13</f>
        <v/>
      </c>
      <c r="EC60" s="5">
        <f>SUM(CY60:DH60)*Inicio!$W$11</f>
        <v/>
      </c>
      <c r="ED60" s="5">
        <f>SUM(DI60:DR60)*Inicio!$W$12</f>
        <v/>
      </c>
      <c r="EE60" s="5">
        <f>SUM(C60:DR60)</f>
        <v/>
      </c>
      <c r="EF60" s="5">
        <f>SUM(EE57:EE60)</f>
        <v/>
      </c>
      <c r="EG60" s="5">
        <f>SUM(DS60:ED60)</f>
        <v/>
      </c>
      <c r="EH60" s="5">
        <f>SUM(EG57:EG60)</f>
        <v/>
      </c>
      <c r="EI60" s="5">
        <f>EE60+S!EE60+E!EE60+O!EE60</f>
        <v/>
      </c>
      <c r="EJ60" s="5">
        <f>SUM(EI57:EI60)</f>
        <v/>
      </c>
      <c r="EK60" s="5">
        <f>EG60+S!EG60+E!EG60+O!EG60</f>
        <v/>
      </c>
      <c r="EL60" s="5">
        <f>SUM(EK57:EK60)</f>
        <v/>
      </c>
    </row>
    <row r="61" ht="20.25" customHeight="1">
      <c r="B61" s="27" t="inlineStr">
        <is>
          <t>13:00 - 13:15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0" t="n"/>
      <c r="CO61" s="20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0" t="n"/>
      <c r="DA61" s="20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0" t="n"/>
      <c r="DK61" s="20" t="n"/>
      <c r="DL61" s="20" t="n"/>
      <c r="DM61" s="20" t="n"/>
      <c r="DN61" s="20" t="n"/>
      <c r="DO61" s="20" t="n"/>
      <c r="DP61" s="20" t="n"/>
      <c r="DQ61" s="20" t="n"/>
      <c r="DR61" s="20" t="n"/>
      <c r="DS61" s="3">
        <f>SUM(C61:L61)*Inicio!$W$4</f>
        <v/>
      </c>
      <c r="DT61" s="3">
        <f>SUM(M61:V61)*Inicio!$W$5</f>
        <v/>
      </c>
      <c r="DU61" s="3">
        <f>SUM(W61:AF61)*Inicio!$W$6</f>
        <v/>
      </c>
      <c r="DV61" s="3">
        <f>SUM(AG61:AP61)*Inicio!$W$7</f>
        <v/>
      </c>
      <c r="DW61" s="3">
        <f>SUM(AQ61:AZ61)*Inicio!$W$8</f>
        <v/>
      </c>
      <c r="DX61" s="3">
        <f>SUM(BA61:BJ61)*Inicio!$W$9</f>
        <v/>
      </c>
      <c r="DY61" s="3">
        <f>SUM(BK61:BT61)*Inicio!$W$10</f>
        <v/>
      </c>
      <c r="DZ61" s="3">
        <f>SUM(BU61:CD61)*Inicio!$W$11</f>
        <v/>
      </c>
      <c r="EA61" s="3">
        <f>SUM(CE61:CN61)*Inicio!$W$12</f>
        <v/>
      </c>
      <c r="EB61" s="3">
        <f>SUM(CO61:CX61)*Inicio!$W$13</f>
        <v/>
      </c>
      <c r="EC61" s="3">
        <f>SUM(CY61:DH61)*Inicio!$W$11</f>
        <v/>
      </c>
      <c r="ED61" s="3">
        <f>SUM(DI61:DR61)*Inicio!$W$12</f>
        <v/>
      </c>
      <c r="EE61" s="3">
        <f>SUM(C61:DR61)</f>
        <v/>
      </c>
      <c r="EF61" s="3">
        <f>SUM(EE58:EE61)</f>
        <v/>
      </c>
      <c r="EG61" s="3">
        <f>SUM(DS61:ED61)</f>
        <v/>
      </c>
      <c r="EH61" s="3">
        <f>SUM(EG58:EG61)</f>
        <v/>
      </c>
      <c r="EI61" s="3">
        <f>EE61+S!EE61+E!EE61+O!EE61</f>
        <v/>
      </c>
      <c r="EJ61" s="3">
        <f>SUM(EI58:EI61)</f>
        <v/>
      </c>
      <c r="EK61" s="3">
        <f>EG61+S!EG61+E!EG61+O!EG61</f>
        <v/>
      </c>
      <c r="EL61" s="3">
        <f>SUM(EK58:EK61)</f>
        <v/>
      </c>
    </row>
    <row r="62" ht="20.25" customHeight="1">
      <c r="B62" s="28" t="inlineStr">
        <is>
          <t>13:15 - 13:30</t>
        </is>
      </c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4">
        <f>SUM(C62:L62)*Inicio!$W$4</f>
        <v/>
      </c>
      <c r="DT62" s="4">
        <f>SUM(M62:V62)*Inicio!$W$5</f>
        <v/>
      </c>
      <c r="DU62" s="4">
        <f>SUM(W62:AF62)*Inicio!$W$6</f>
        <v/>
      </c>
      <c r="DV62" s="4">
        <f>SUM(AG62:AP62)*Inicio!$W$7</f>
        <v/>
      </c>
      <c r="DW62" s="4">
        <f>SUM(AQ62:AZ62)*Inicio!$W$8</f>
        <v/>
      </c>
      <c r="DX62" s="4">
        <f>SUM(BA62:BJ62)*Inicio!$W$9</f>
        <v/>
      </c>
      <c r="DY62" s="4">
        <f>SUM(BK62:BT62)*Inicio!$W$10</f>
        <v/>
      </c>
      <c r="DZ62" s="4">
        <f>SUM(BU62:CD62)*Inicio!$W$11</f>
        <v/>
      </c>
      <c r="EA62" s="4">
        <f>SUM(CE62:CN62)*Inicio!$W$12</f>
        <v/>
      </c>
      <c r="EB62" s="4">
        <f>SUM(CO62:CX62)*Inicio!$W$13</f>
        <v/>
      </c>
      <c r="EC62" s="4">
        <f>SUM(CY62:DH62)*Inicio!$W$11</f>
        <v/>
      </c>
      <c r="ED62" s="4">
        <f>SUM(DI62:DR62)*Inicio!$W$12</f>
        <v/>
      </c>
      <c r="EE62" s="4">
        <f>SUM(C62:DR62)</f>
        <v/>
      </c>
      <c r="EF62" s="4">
        <f>SUM(EE59:EE62)</f>
        <v/>
      </c>
      <c r="EG62" s="4">
        <f>SUM(DS62:ED62)</f>
        <v/>
      </c>
      <c r="EH62" s="4">
        <f>SUM(EG59:EG62)</f>
        <v/>
      </c>
      <c r="EI62" s="4">
        <f>EE62+S!EE62+E!EE62+O!EE62</f>
        <v/>
      </c>
      <c r="EJ62" s="4">
        <f>SUM(EI59:EI62)</f>
        <v/>
      </c>
      <c r="EK62" s="4">
        <f>EG62+S!EG62+E!EG62+O!EG62</f>
        <v/>
      </c>
      <c r="EL62" s="4">
        <f>SUM(EK59:EK62)</f>
        <v/>
      </c>
    </row>
    <row r="63" ht="20.25" customHeight="1">
      <c r="B63" s="28" t="inlineStr">
        <is>
          <t>13:30 - 13:45</t>
        </is>
      </c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4">
        <f>SUM(C63:L63)*Inicio!$W$4</f>
        <v/>
      </c>
      <c r="DT63" s="4">
        <f>SUM(M63:V63)*Inicio!$W$5</f>
        <v/>
      </c>
      <c r="DU63" s="4">
        <f>SUM(W63:AF63)*Inicio!$W$6</f>
        <v/>
      </c>
      <c r="DV63" s="4">
        <f>SUM(AG63:AP63)*Inicio!$W$7</f>
        <v/>
      </c>
      <c r="DW63" s="4">
        <f>SUM(AQ63:AZ63)*Inicio!$W$8</f>
        <v/>
      </c>
      <c r="DX63" s="4">
        <f>SUM(BA63:BJ63)*Inicio!$W$9</f>
        <v/>
      </c>
      <c r="DY63" s="4">
        <f>SUM(BK63:BT63)*Inicio!$W$10</f>
        <v/>
      </c>
      <c r="DZ63" s="4">
        <f>SUM(BU63:CD63)*Inicio!$W$11</f>
        <v/>
      </c>
      <c r="EA63" s="4">
        <f>SUM(CE63:CN63)*Inicio!$W$12</f>
        <v/>
      </c>
      <c r="EB63" s="4">
        <f>SUM(CO63:CX63)*Inicio!$W$13</f>
        <v/>
      </c>
      <c r="EC63" s="4">
        <f>SUM(CY63:DH63)*Inicio!$W$11</f>
        <v/>
      </c>
      <c r="ED63" s="4">
        <f>SUM(DI63:DR63)*Inicio!$W$12</f>
        <v/>
      </c>
      <c r="EE63" s="4">
        <f>SUM(C63:DR63)</f>
        <v/>
      </c>
      <c r="EF63" s="4">
        <f>SUM(EE60:EE63)</f>
        <v/>
      </c>
      <c r="EG63" s="4">
        <f>SUM(DS63:ED63)</f>
        <v/>
      </c>
      <c r="EH63" s="4">
        <f>SUM(EG60:EG63)</f>
        <v/>
      </c>
      <c r="EI63" s="4">
        <f>EE63+S!EE63+E!EE63+O!EE63</f>
        <v/>
      </c>
      <c r="EJ63" s="4">
        <f>SUM(EI60:EI63)</f>
        <v/>
      </c>
      <c r="EK63" s="4">
        <f>EG63+S!EG63+E!EG63+O!EG63</f>
        <v/>
      </c>
      <c r="EL63" s="4">
        <f>SUM(EK60:EK63)</f>
        <v/>
      </c>
    </row>
    <row r="64" ht="20.25" customHeight="1">
      <c r="B64" s="26" t="inlineStr">
        <is>
          <t>13:45 - 14:00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5">
        <f>SUM(C64:L64)*Inicio!$W$4</f>
        <v/>
      </c>
      <c r="DT64" s="5">
        <f>SUM(M64:V64)*Inicio!$W$5</f>
        <v/>
      </c>
      <c r="DU64" s="5">
        <f>SUM(W64:AF64)*Inicio!$W$6</f>
        <v/>
      </c>
      <c r="DV64" s="5">
        <f>SUM(AG64:AP64)*Inicio!$W$7</f>
        <v/>
      </c>
      <c r="DW64" s="5">
        <f>SUM(AQ64:AZ64)*Inicio!$W$8</f>
        <v/>
      </c>
      <c r="DX64" s="5">
        <f>SUM(BA64:BJ64)*Inicio!$W$9</f>
        <v/>
      </c>
      <c r="DY64" s="5">
        <f>SUM(BK64:BT64)*Inicio!$W$10</f>
        <v/>
      </c>
      <c r="DZ64" s="5">
        <f>SUM(BU64:CD64)*Inicio!$W$11</f>
        <v/>
      </c>
      <c r="EA64" s="5">
        <f>SUM(CE64:CN64)*Inicio!$W$12</f>
        <v/>
      </c>
      <c r="EB64" s="5">
        <f>SUM(CO64:CX64)*Inicio!$W$13</f>
        <v/>
      </c>
      <c r="EC64" s="5">
        <f>SUM(CY64:DH64)*Inicio!$W$11</f>
        <v/>
      </c>
      <c r="ED64" s="5">
        <f>SUM(DI64:DR64)*Inicio!$W$12</f>
        <v/>
      </c>
      <c r="EE64" s="5">
        <f>SUM(C64:DR64)</f>
        <v/>
      </c>
      <c r="EF64" s="5">
        <f>SUM(EE61:EE64)</f>
        <v/>
      </c>
      <c r="EG64" s="5">
        <f>SUM(DS64:ED64)</f>
        <v/>
      </c>
      <c r="EH64" s="5">
        <f>SUM(EG61:EG64)</f>
        <v/>
      </c>
      <c r="EI64" s="5">
        <f>EE64+S!EE64+E!EE64+O!EE64</f>
        <v/>
      </c>
      <c r="EJ64" s="5">
        <f>SUM(EI61:EI64)</f>
        <v/>
      </c>
      <c r="EK64" s="5">
        <f>EG64+S!EG64+E!EG64+O!EG64</f>
        <v/>
      </c>
      <c r="EL64" s="5">
        <f>SUM(EK61:EK64)</f>
        <v/>
      </c>
    </row>
    <row r="65" ht="20.25" customHeight="1">
      <c r="B65" s="27" t="inlineStr">
        <is>
          <t>14:00 - 14:15</t>
        </is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/>
      <c r="CF65" s="20" t="n"/>
      <c r="CG65" s="20" t="n"/>
      <c r="CH65" s="20" t="n"/>
      <c r="CI65" s="20" t="n"/>
      <c r="CJ65" s="20" t="n"/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0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3">
        <f>SUM(C65:L65)*Inicio!$W$4</f>
        <v/>
      </c>
      <c r="DT65" s="3">
        <f>SUM(M65:V65)*Inicio!$W$5</f>
        <v/>
      </c>
      <c r="DU65" s="3">
        <f>SUM(W65:AF65)*Inicio!$W$6</f>
        <v/>
      </c>
      <c r="DV65" s="3">
        <f>SUM(AG65:AP65)*Inicio!$W$7</f>
        <v/>
      </c>
      <c r="DW65" s="3">
        <f>SUM(AQ65:AZ65)*Inicio!$W$8</f>
        <v/>
      </c>
      <c r="DX65" s="3">
        <f>SUM(BA65:BJ65)*Inicio!$W$9</f>
        <v/>
      </c>
      <c r="DY65" s="3">
        <f>SUM(BK65:BT65)*Inicio!$W$10</f>
        <v/>
      </c>
      <c r="DZ65" s="3">
        <f>SUM(BU65:CD65)*Inicio!$W$11</f>
        <v/>
      </c>
      <c r="EA65" s="3">
        <f>SUM(CE65:CN65)*Inicio!$W$12</f>
        <v/>
      </c>
      <c r="EB65" s="3">
        <f>SUM(CO65:CX65)*Inicio!$W$13</f>
        <v/>
      </c>
      <c r="EC65" s="3">
        <f>SUM(CY65:DH65)*Inicio!$W$11</f>
        <v/>
      </c>
      <c r="ED65" s="3">
        <f>SUM(DI65:DR65)*Inicio!$W$12</f>
        <v/>
      </c>
      <c r="EE65" s="3">
        <f>SUM(C65:DR65)</f>
        <v/>
      </c>
      <c r="EF65" s="3">
        <f>SUM(EE62:EE65)</f>
        <v/>
      </c>
      <c r="EG65" s="3">
        <f>SUM(DS65:ED65)</f>
        <v/>
      </c>
      <c r="EH65" s="3">
        <f>SUM(EG62:EG65)</f>
        <v/>
      </c>
      <c r="EI65" s="3">
        <f>EE65+S!EE65+E!EE65+O!EE65</f>
        <v/>
      </c>
      <c r="EJ65" s="3">
        <f>SUM(EI62:EI65)</f>
        <v/>
      </c>
      <c r="EK65" s="3">
        <f>EG65+S!EG65+E!EG65+O!EG65</f>
        <v/>
      </c>
      <c r="EL65" s="3">
        <f>SUM(EK62:EK65)</f>
        <v/>
      </c>
    </row>
    <row r="66" ht="20.25" customHeight="1">
      <c r="B66" s="28" t="inlineStr">
        <is>
          <t>14:15 - 14:30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4">
        <f>SUM(C66:L66)*Inicio!$W$4</f>
        <v/>
      </c>
      <c r="DT66" s="4">
        <f>SUM(M66:V66)*Inicio!$W$5</f>
        <v/>
      </c>
      <c r="DU66" s="4">
        <f>SUM(W66:AF66)*Inicio!$W$6</f>
        <v/>
      </c>
      <c r="DV66" s="4">
        <f>SUM(AG66:AP66)*Inicio!$W$7</f>
        <v/>
      </c>
      <c r="DW66" s="4">
        <f>SUM(AQ66:AZ66)*Inicio!$W$8</f>
        <v/>
      </c>
      <c r="DX66" s="4">
        <f>SUM(BA66:BJ66)*Inicio!$W$9</f>
        <v/>
      </c>
      <c r="DY66" s="4">
        <f>SUM(BK66:BT66)*Inicio!$W$10</f>
        <v/>
      </c>
      <c r="DZ66" s="4">
        <f>SUM(BU66:CD66)*Inicio!$W$11</f>
        <v/>
      </c>
      <c r="EA66" s="4">
        <f>SUM(CE66:CN66)*Inicio!$W$12</f>
        <v/>
      </c>
      <c r="EB66" s="4">
        <f>SUM(CO66:CX66)*Inicio!$W$13</f>
        <v/>
      </c>
      <c r="EC66" s="4">
        <f>SUM(CY66:DH66)*Inicio!$W$11</f>
        <v/>
      </c>
      <c r="ED66" s="4">
        <f>SUM(DI66:DR66)*Inicio!$W$12</f>
        <v/>
      </c>
      <c r="EE66" s="4">
        <f>SUM(C66:DR66)</f>
        <v/>
      </c>
      <c r="EF66" s="4">
        <f>SUM(EE63:EE66)</f>
        <v/>
      </c>
      <c r="EG66" s="4">
        <f>SUM(DS66:ED66)</f>
        <v/>
      </c>
      <c r="EH66" s="4">
        <f>SUM(EG63:EG66)</f>
        <v/>
      </c>
      <c r="EI66" s="4">
        <f>EE66+S!EE66+E!EE66+O!EE66</f>
        <v/>
      </c>
      <c r="EJ66" s="4">
        <f>SUM(EI63:EI66)</f>
        <v/>
      </c>
      <c r="EK66" s="4">
        <f>EG66+S!EG66+E!EG66+O!EG66</f>
        <v/>
      </c>
      <c r="EL66" s="4">
        <f>SUM(EK63:EK66)</f>
        <v/>
      </c>
    </row>
    <row r="67" ht="20.25" customHeight="1">
      <c r="B67" s="28" t="inlineStr">
        <is>
          <t>14:30 - 14:45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4">
        <f>SUM(C67:L67)*Inicio!$W$4</f>
        <v/>
      </c>
      <c r="DT67" s="4">
        <f>SUM(M67:V67)*Inicio!$W$5</f>
        <v/>
      </c>
      <c r="DU67" s="4">
        <f>SUM(W67:AF67)*Inicio!$W$6</f>
        <v/>
      </c>
      <c r="DV67" s="4">
        <f>SUM(AG67:AP67)*Inicio!$W$7</f>
        <v/>
      </c>
      <c r="DW67" s="4">
        <f>SUM(AQ67:AZ67)*Inicio!$W$8</f>
        <v/>
      </c>
      <c r="DX67" s="4">
        <f>SUM(BA67:BJ67)*Inicio!$W$9</f>
        <v/>
      </c>
      <c r="DY67" s="4">
        <f>SUM(BK67:BT67)*Inicio!$W$10</f>
        <v/>
      </c>
      <c r="DZ67" s="4">
        <f>SUM(BU67:CD67)*Inicio!$W$11</f>
        <v/>
      </c>
      <c r="EA67" s="4">
        <f>SUM(CE67:CN67)*Inicio!$W$12</f>
        <v/>
      </c>
      <c r="EB67" s="4">
        <f>SUM(CO67:CX67)*Inicio!$W$13</f>
        <v/>
      </c>
      <c r="EC67" s="4">
        <f>SUM(CY67:DH67)*Inicio!$W$11</f>
        <v/>
      </c>
      <c r="ED67" s="4">
        <f>SUM(DI67:DR67)*Inicio!$W$12</f>
        <v/>
      </c>
      <c r="EE67" s="4">
        <f>SUM(C67:DR67)</f>
        <v/>
      </c>
      <c r="EF67" s="4">
        <f>SUM(EE64:EE67)</f>
        <v/>
      </c>
      <c r="EG67" s="4">
        <f>SUM(DS67:ED67)</f>
        <v/>
      </c>
      <c r="EH67" s="4">
        <f>SUM(EG64:EG67)</f>
        <v/>
      </c>
      <c r="EI67" s="4">
        <f>EE67+S!EE67+E!EE67+O!EE67</f>
        <v/>
      </c>
      <c r="EJ67" s="4">
        <f>SUM(EI64:EI67)</f>
        <v/>
      </c>
      <c r="EK67" s="4">
        <f>EG67+S!EG67+E!EG67+O!EG67</f>
        <v/>
      </c>
      <c r="EL67" s="4">
        <f>SUM(EK64:EK67)</f>
        <v/>
      </c>
    </row>
    <row r="68" ht="20.25" customHeight="1">
      <c r="B68" s="26" t="inlineStr">
        <is>
          <t>14:45 - 15:00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5">
        <f>SUM(C68:L68)*Inicio!$W$4</f>
        <v/>
      </c>
      <c r="DT68" s="5">
        <f>SUM(M68:V68)*Inicio!$W$5</f>
        <v/>
      </c>
      <c r="DU68" s="5">
        <f>SUM(W68:AF68)*Inicio!$W$6</f>
        <v/>
      </c>
      <c r="DV68" s="5">
        <f>SUM(AG68:AP68)*Inicio!$W$7</f>
        <v/>
      </c>
      <c r="DW68" s="5">
        <f>SUM(AQ68:AZ68)*Inicio!$W$8</f>
        <v/>
      </c>
      <c r="DX68" s="5">
        <f>SUM(BA68:BJ68)*Inicio!$W$9</f>
        <v/>
      </c>
      <c r="DY68" s="5">
        <f>SUM(BK68:BT68)*Inicio!$W$10</f>
        <v/>
      </c>
      <c r="DZ68" s="5">
        <f>SUM(BU68:CD68)*Inicio!$W$11</f>
        <v/>
      </c>
      <c r="EA68" s="5">
        <f>SUM(CE68:CN68)*Inicio!$W$12</f>
        <v/>
      </c>
      <c r="EB68" s="5">
        <f>SUM(CO68:CX68)*Inicio!$W$13</f>
        <v/>
      </c>
      <c r="EC68" s="5">
        <f>SUM(CY68:DH68)*Inicio!$W$11</f>
        <v/>
      </c>
      <c r="ED68" s="5">
        <f>SUM(DI68:DR68)*Inicio!$W$12</f>
        <v/>
      </c>
      <c r="EE68" s="5">
        <f>SUM(C68:DR68)</f>
        <v/>
      </c>
      <c r="EF68" s="5">
        <f>SUM(EE65:EE68)</f>
        <v/>
      </c>
      <c r="EG68" s="5">
        <f>SUM(DS68:ED68)</f>
        <v/>
      </c>
      <c r="EH68" s="5">
        <f>SUM(EG65:EG68)</f>
        <v/>
      </c>
      <c r="EI68" s="5">
        <f>EE68+S!EE68+E!EE68+O!EE68</f>
        <v/>
      </c>
      <c r="EJ68" s="5">
        <f>SUM(EI65:EI68)</f>
        <v/>
      </c>
      <c r="EK68" s="5">
        <f>EG68+S!EG68+E!EG68+O!EG68</f>
        <v/>
      </c>
      <c r="EL68" s="5">
        <f>SUM(EK65:EK68)</f>
        <v/>
      </c>
    </row>
    <row r="69" ht="20.25" customHeight="1">
      <c r="B69" s="27" t="inlineStr">
        <is>
          <t>15:00 - 15:15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  <c r="CD69" s="20" t="n"/>
      <c r="CE69" s="20" t="n"/>
      <c r="CF69" s="20" t="n"/>
      <c r="CG69" s="20" t="n"/>
      <c r="CH69" s="20" t="n"/>
      <c r="CI69" s="20" t="n"/>
      <c r="CJ69" s="20" t="n"/>
      <c r="CK69" s="20" t="n"/>
      <c r="CL69" s="20" t="n"/>
      <c r="CM69" s="20" t="n"/>
      <c r="CN69" s="20" t="n"/>
      <c r="CO69" s="20" t="n"/>
      <c r="CP69" s="20" t="n"/>
      <c r="CQ69" s="20" t="n"/>
      <c r="CR69" s="20" t="n"/>
      <c r="CS69" s="20" t="n"/>
      <c r="CT69" s="20" t="n"/>
      <c r="CU69" s="20" t="n"/>
      <c r="CV69" s="20" t="n"/>
      <c r="CW69" s="20" t="n"/>
      <c r="CX69" s="20" t="n"/>
      <c r="CY69" s="20" t="n"/>
      <c r="CZ69" s="20" t="n"/>
      <c r="DA69" s="20" t="n"/>
      <c r="DB69" s="20" t="n"/>
      <c r="DC69" s="20" t="n"/>
      <c r="DD69" s="20" t="n"/>
      <c r="DE69" s="20" t="n"/>
      <c r="DF69" s="20" t="n"/>
      <c r="DG69" s="20" t="n"/>
      <c r="DH69" s="20" t="n"/>
      <c r="DI69" s="20" t="n"/>
      <c r="DJ69" s="20" t="n"/>
      <c r="DK69" s="20" t="n"/>
      <c r="DL69" s="20" t="n"/>
      <c r="DM69" s="20" t="n"/>
      <c r="DN69" s="20" t="n"/>
      <c r="DO69" s="20" t="n"/>
      <c r="DP69" s="20" t="n"/>
      <c r="DQ69" s="20" t="n"/>
      <c r="DR69" s="20" t="n"/>
      <c r="DS69" s="3">
        <f>SUM(C69:L69)*Inicio!$W$4</f>
        <v/>
      </c>
      <c r="DT69" s="3">
        <f>SUM(M69:V69)*Inicio!$W$5</f>
        <v/>
      </c>
      <c r="DU69" s="3">
        <f>SUM(W69:AF69)*Inicio!$W$6</f>
        <v/>
      </c>
      <c r="DV69" s="3">
        <f>SUM(AG69:AP69)*Inicio!$W$7</f>
        <v/>
      </c>
      <c r="DW69" s="3">
        <f>SUM(AQ69:AZ69)*Inicio!$W$8</f>
        <v/>
      </c>
      <c r="DX69" s="3">
        <f>SUM(BA69:BJ69)*Inicio!$W$9</f>
        <v/>
      </c>
      <c r="DY69" s="3">
        <f>SUM(BK69:BT69)*Inicio!$W$10</f>
        <v/>
      </c>
      <c r="DZ69" s="3">
        <f>SUM(BU69:CD69)*Inicio!$W$11</f>
        <v/>
      </c>
      <c r="EA69" s="3">
        <f>SUM(CE69:CN69)*Inicio!$W$12</f>
        <v/>
      </c>
      <c r="EB69" s="3">
        <f>SUM(CO69:CX69)*Inicio!$W$13</f>
        <v/>
      </c>
      <c r="EC69" s="3">
        <f>SUM(CY69:DH69)*Inicio!$W$11</f>
        <v/>
      </c>
      <c r="ED69" s="3">
        <f>SUM(DI69:DR69)*Inicio!$W$12</f>
        <v/>
      </c>
      <c r="EE69" s="3">
        <f>SUM(C69:DR69)</f>
        <v/>
      </c>
      <c r="EF69" s="3">
        <f>SUM(EE66:EE69)</f>
        <v/>
      </c>
      <c r="EG69" s="3">
        <f>SUM(DS69:ED69)</f>
        <v/>
      </c>
      <c r="EH69" s="3">
        <f>SUM(EG66:EG69)</f>
        <v/>
      </c>
      <c r="EI69" s="3">
        <f>EE69+S!EE69+E!EE69+O!EE69</f>
        <v/>
      </c>
      <c r="EJ69" s="3">
        <f>SUM(EI66:EI69)</f>
        <v/>
      </c>
      <c r="EK69" s="3">
        <f>EG69+S!EG69+E!EG69+O!EG69</f>
        <v/>
      </c>
      <c r="EL69" s="3">
        <f>SUM(EK66:EK69)</f>
        <v/>
      </c>
    </row>
    <row r="70" ht="20.25" customHeight="1">
      <c r="B70" s="28" t="inlineStr">
        <is>
          <t>15:15 - 15:30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4">
        <f>SUM(C70:L70)*Inicio!$W$4</f>
        <v/>
      </c>
      <c r="DT70" s="4">
        <f>SUM(M70:V70)*Inicio!$W$5</f>
        <v/>
      </c>
      <c r="DU70" s="4">
        <f>SUM(W70:AF70)*Inicio!$W$6</f>
        <v/>
      </c>
      <c r="DV70" s="4">
        <f>SUM(AG70:AP70)*Inicio!$W$7</f>
        <v/>
      </c>
      <c r="DW70" s="4">
        <f>SUM(AQ70:AZ70)*Inicio!$W$8</f>
        <v/>
      </c>
      <c r="DX70" s="4">
        <f>SUM(BA70:BJ70)*Inicio!$W$9</f>
        <v/>
      </c>
      <c r="DY70" s="4">
        <f>SUM(BK70:BT70)*Inicio!$W$10</f>
        <v/>
      </c>
      <c r="DZ70" s="4">
        <f>SUM(BU70:CD70)*Inicio!$W$11</f>
        <v/>
      </c>
      <c r="EA70" s="4">
        <f>SUM(CE70:CN70)*Inicio!$W$12</f>
        <v/>
      </c>
      <c r="EB70" s="4">
        <f>SUM(CO70:CX70)*Inicio!$W$13</f>
        <v/>
      </c>
      <c r="EC70" s="4">
        <f>SUM(CY70:DH70)*Inicio!$W$11</f>
        <v/>
      </c>
      <c r="ED70" s="4">
        <f>SUM(DI70:DR70)*Inicio!$W$12</f>
        <v/>
      </c>
      <c r="EE70" s="4">
        <f>SUM(C70:DR70)</f>
        <v/>
      </c>
      <c r="EF70" s="4">
        <f>SUM(EE67:EE70)</f>
        <v/>
      </c>
      <c r="EG70" s="4">
        <f>SUM(DS70:ED70)</f>
        <v/>
      </c>
      <c r="EH70" s="4">
        <f>SUM(EG67:EG70)</f>
        <v/>
      </c>
      <c r="EI70" s="4">
        <f>EE70+S!EE70+E!EE70+O!EE70</f>
        <v/>
      </c>
      <c r="EJ70" s="4">
        <f>SUM(EI67:EI70)</f>
        <v/>
      </c>
      <c r="EK70" s="4">
        <f>EG70+S!EG70+E!EG70+O!EG70</f>
        <v/>
      </c>
      <c r="EL70" s="4">
        <f>SUM(EK67:EK70)</f>
        <v/>
      </c>
    </row>
    <row r="71" ht="20.25" customHeight="1">
      <c r="B71" s="28" t="inlineStr">
        <is>
          <t>15:30 - 15:45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4">
        <f>SUM(C71:L71)*Inicio!$W$4</f>
        <v/>
      </c>
      <c r="DT71" s="4">
        <f>SUM(M71:V71)*Inicio!$W$5</f>
        <v/>
      </c>
      <c r="DU71" s="4">
        <f>SUM(W71:AF71)*Inicio!$W$6</f>
        <v/>
      </c>
      <c r="DV71" s="4">
        <f>SUM(AG71:AP71)*Inicio!$W$7</f>
        <v/>
      </c>
      <c r="DW71" s="4">
        <f>SUM(AQ71:AZ71)*Inicio!$W$8</f>
        <v/>
      </c>
      <c r="DX71" s="4">
        <f>SUM(BA71:BJ71)*Inicio!$W$9</f>
        <v/>
      </c>
      <c r="DY71" s="4">
        <f>SUM(BK71:BT71)*Inicio!$W$10</f>
        <v/>
      </c>
      <c r="DZ71" s="4">
        <f>SUM(BU71:CD71)*Inicio!$W$11</f>
        <v/>
      </c>
      <c r="EA71" s="4">
        <f>SUM(CE71:CN71)*Inicio!$W$12</f>
        <v/>
      </c>
      <c r="EB71" s="4">
        <f>SUM(CO71:CX71)*Inicio!$W$13</f>
        <v/>
      </c>
      <c r="EC71" s="4">
        <f>SUM(CY71:DH71)*Inicio!$W$11</f>
        <v/>
      </c>
      <c r="ED71" s="4">
        <f>SUM(DI71:DR71)*Inicio!$W$12</f>
        <v/>
      </c>
      <c r="EE71" s="4">
        <f>SUM(C71:DR71)</f>
        <v/>
      </c>
      <c r="EF71" s="4">
        <f>SUM(EE68:EE71)</f>
        <v/>
      </c>
      <c r="EG71" s="4">
        <f>SUM(DS71:ED71)</f>
        <v/>
      </c>
      <c r="EH71" s="4">
        <f>SUM(EG68:EG71)</f>
        <v/>
      </c>
      <c r="EI71" s="4">
        <f>EE71+S!EE71+E!EE71+O!EE71</f>
        <v/>
      </c>
      <c r="EJ71" s="4">
        <f>SUM(EI68:EI71)</f>
        <v/>
      </c>
      <c r="EK71" s="4">
        <f>EG71+S!EG71+E!EG71+O!EG71</f>
        <v/>
      </c>
      <c r="EL71" s="4">
        <f>SUM(EK68:EK71)</f>
        <v/>
      </c>
    </row>
    <row r="72" ht="20.25" customHeight="1">
      <c r="B72" s="26" t="inlineStr">
        <is>
          <t>15:45 - 16:00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5">
        <f>SUM(C72:L72)*Inicio!$W$4</f>
        <v/>
      </c>
      <c r="DT72" s="5">
        <f>SUM(M72:V72)*Inicio!$W$5</f>
        <v/>
      </c>
      <c r="DU72" s="5">
        <f>SUM(W72:AF72)*Inicio!$W$6</f>
        <v/>
      </c>
      <c r="DV72" s="5">
        <f>SUM(AG72:AP72)*Inicio!$W$7</f>
        <v/>
      </c>
      <c r="DW72" s="5">
        <f>SUM(AQ72:AZ72)*Inicio!$W$8</f>
        <v/>
      </c>
      <c r="DX72" s="5">
        <f>SUM(BA72:BJ72)*Inicio!$W$9</f>
        <v/>
      </c>
      <c r="DY72" s="5">
        <f>SUM(BK72:BT72)*Inicio!$W$10</f>
        <v/>
      </c>
      <c r="DZ72" s="5">
        <f>SUM(BU72:CD72)*Inicio!$W$11</f>
        <v/>
      </c>
      <c r="EA72" s="5">
        <f>SUM(CE72:CN72)*Inicio!$W$12</f>
        <v/>
      </c>
      <c r="EB72" s="5">
        <f>SUM(CO72:CX72)*Inicio!$W$13</f>
        <v/>
      </c>
      <c r="EC72" s="5">
        <f>SUM(CY72:DH72)*Inicio!$W$11</f>
        <v/>
      </c>
      <c r="ED72" s="5">
        <f>SUM(DI72:DR72)*Inicio!$W$12</f>
        <v/>
      </c>
      <c r="EE72" s="5">
        <f>SUM(C72:DR72)</f>
        <v/>
      </c>
      <c r="EF72" s="5">
        <f>SUM(EE69:EE72)</f>
        <v/>
      </c>
      <c r="EG72" s="5">
        <f>SUM(DS72:ED72)</f>
        <v/>
      </c>
      <c r="EH72" s="5">
        <f>SUM(EG69:EG72)</f>
        <v/>
      </c>
      <c r="EI72" s="5">
        <f>EE72+S!EE72+E!EE72+O!EE72</f>
        <v/>
      </c>
      <c r="EJ72" s="5">
        <f>SUM(EI69:EI72)</f>
        <v/>
      </c>
      <c r="EK72" s="5">
        <f>EG72+S!EG72+E!EG72+O!EG72</f>
        <v/>
      </c>
      <c r="EL72" s="5">
        <f>SUM(EK69:EK72)</f>
        <v/>
      </c>
    </row>
    <row r="73" ht="20.25" customHeight="1">
      <c r="B73" s="27" t="inlineStr">
        <is>
          <t>16:00 - 16:15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n"/>
      <c r="CF73" s="20" t="n"/>
      <c r="CG73" s="20" t="n"/>
      <c r="CH73" s="20" t="n"/>
      <c r="CI73" s="20" t="n"/>
      <c r="CJ73" s="20" t="n"/>
      <c r="CK73" s="20" t="n"/>
      <c r="CL73" s="20" t="n"/>
      <c r="CM73" s="20" t="n"/>
      <c r="CN73" s="20" t="n"/>
      <c r="CO73" s="20" t="n"/>
      <c r="CP73" s="20" t="n"/>
      <c r="CQ73" s="20" t="n"/>
      <c r="CR73" s="20" t="n"/>
      <c r="CS73" s="20" t="n"/>
      <c r="CT73" s="20" t="n"/>
      <c r="CU73" s="20" t="n"/>
      <c r="CV73" s="20" t="n"/>
      <c r="CW73" s="20" t="n"/>
      <c r="CX73" s="20" t="n"/>
      <c r="CY73" s="20" t="n"/>
      <c r="CZ73" s="20" t="n"/>
      <c r="DA73" s="20" t="n"/>
      <c r="DB73" s="20" t="n"/>
      <c r="DC73" s="20" t="n"/>
      <c r="DD73" s="20" t="n"/>
      <c r="DE73" s="20" t="n"/>
      <c r="DF73" s="20" t="n"/>
      <c r="DG73" s="20" t="n"/>
      <c r="DH73" s="20" t="n"/>
      <c r="DI73" s="20" t="n"/>
      <c r="DJ73" s="20" t="n"/>
      <c r="DK73" s="20" t="n"/>
      <c r="DL73" s="20" t="n"/>
      <c r="DM73" s="20" t="n"/>
      <c r="DN73" s="20" t="n"/>
      <c r="DO73" s="20" t="n"/>
      <c r="DP73" s="20" t="n"/>
      <c r="DQ73" s="20" t="n"/>
      <c r="DR73" s="20" t="n"/>
      <c r="DS73" s="3">
        <f>SUM(C73:L73)*Inicio!$W$4</f>
        <v/>
      </c>
      <c r="DT73" s="3">
        <f>SUM(M73:V73)*Inicio!$W$5</f>
        <v/>
      </c>
      <c r="DU73" s="3">
        <f>SUM(W73:AF73)*Inicio!$W$6</f>
        <v/>
      </c>
      <c r="DV73" s="3">
        <f>SUM(AG73:AP73)*Inicio!$W$7</f>
        <v/>
      </c>
      <c r="DW73" s="3">
        <f>SUM(AQ73:AZ73)*Inicio!$W$8</f>
        <v/>
      </c>
      <c r="DX73" s="3">
        <f>SUM(BA73:BJ73)*Inicio!$W$9</f>
        <v/>
      </c>
      <c r="DY73" s="3">
        <f>SUM(BK73:BT73)*Inicio!$W$10</f>
        <v/>
      </c>
      <c r="DZ73" s="3">
        <f>SUM(BU73:CD73)*Inicio!$W$11</f>
        <v/>
      </c>
      <c r="EA73" s="3">
        <f>SUM(CE73:CN73)*Inicio!$W$12</f>
        <v/>
      </c>
      <c r="EB73" s="3">
        <f>SUM(CO73:CX73)*Inicio!$W$13</f>
        <v/>
      </c>
      <c r="EC73" s="3">
        <f>SUM(CY73:DH73)*Inicio!$W$11</f>
        <v/>
      </c>
      <c r="ED73" s="3">
        <f>SUM(DI73:DR73)*Inicio!$W$12</f>
        <v/>
      </c>
      <c r="EE73" s="3">
        <f>SUM(C73:DR73)</f>
        <v/>
      </c>
      <c r="EF73" s="3">
        <f>SUM(EE70:EE73)</f>
        <v/>
      </c>
      <c r="EG73" s="3">
        <f>SUM(DS73:ED73)</f>
        <v/>
      </c>
      <c r="EH73" s="3">
        <f>SUM(EG70:EG73)</f>
        <v/>
      </c>
      <c r="EI73" s="3">
        <f>EE73+S!EE73+E!EE73+O!EE73</f>
        <v/>
      </c>
      <c r="EJ73" s="3">
        <f>SUM(EI70:EI73)</f>
        <v/>
      </c>
      <c r="EK73" s="3">
        <f>EG73+S!EG73+E!EG73+O!EG73</f>
        <v/>
      </c>
      <c r="EL73" s="3">
        <f>SUM(EK70:EK73)</f>
        <v/>
      </c>
    </row>
    <row r="74" ht="20.25" customHeight="1">
      <c r="B74" s="28" t="inlineStr">
        <is>
          <t>16:15 - 16:30</t>
        </is>
      </c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4">
        <f>SUM(C74:L74)*Inicio!$W$4</f>
        <v/>
      </c>
      <c r="DT74" s="4">
        <f>SUM(M74:V74)*Inicio!$W$5</f>
        <v/>
      </c>
      <c r="DU74" s="4">
        <f>SUM(W74:AF74)*Inicio!$W$6</f>
        <v/>
      </c>
      <c r="DV74" s="4">
        <f>SUM(AG74:AP74)*Inicio!$W$7</f>
        <v/>
      </c>
      <c r="DW74" s="4">
        <f>SUM(AQ74:AZ74)*Inicio!$W$8</f>
        <v/>
      </c>
      <c r="DX74" s="4">
        <f>SUM(BA74:BJ74)*Inicio!$W$9</f>
        <v/>
      </c>
      <c r="DY74" s="4">
        <f>SUM(BK74:BT74)*Inicio!$W$10</f>
        <v/>
      </c>
      <c r="DZ74" s="4">
        <f>SUM(BU74:CD74)*Inicio!$W$11</f>
        <v/>
      </c>
      <c r="EA74" s="4">
        <f>SUM(CE74:CN74)*Inicio!$W$12</f>
        <v/>
      </c>
      <c r="EB74" s="4">
        <f>SUM(CO74:CX74)*Inicio!$W$13</f>
        <v/>
      </c>
      <c r="EC74" s="4">
        <f>SUM(CY74:DH74)*Inicio!$W$11</f>
        <v/>
      </c>
      <c r="ED74" s="4">
        <f>SUM(DI74:DR74)*Inicio!$W$12</f>
        <v/>
      </c>
      <c r="EE74" s="4">
        <f>SUM(C74:DR74)</f>
        <v/>
      </c>
      <c r="EF74" s="4">
        <f>SUM(EE71:EE74)</f>
        <v/>
      </c>
      <c r="EG74" s="4">
        <f>SUM(DS74:ED74)</f>
        <v/>
      </c>
      <c r="EH74" s="4">
        <f>SUM(EG71:EG74)</f>
        <v/>
      </c>
      <c r="EI74" s="4">
        <f>EE74+S!EE74+E!EE74+O!EE74</f>
        <v/>
      </c>
      <c r="EJ74" s="4">
        <f>SUM(EI71:EI74)</f>
        <v/>
      </c>
      <c r="EK74" s="4">
        <f>EG74+S!EG74+E!EG74+O!EG74</f>
        <v/>
      </c>
      <c r="EL74" s="4">
        <f>SUM(EK71:EK74)</f>
        <v/>
      </c>
    </row>
    <row r="75" ht="20.25" customHeight="1">
      <c r="B75" s="28" t="inlineStr">
        <is>
          <t>16:30 - 16:45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4">
        <f>SUM(C75:L75)*Inicio!$W$4</f>
        <v/>
      </c>
      <c r="DT75" s="4">
        <f>SUM(M75:V75)*Inicio!$W$5</f>
        <v/>
      </c>
      <c r="DU75" s="4">
        <f>SUM(W75:AF75)*Inicio!$W$6</f>
        <v/>
      </c>
      <c r="DV75" s="4">
        <f>SUM(AG75:AP75)*Inicio!$W$7</f>
        <v/>
      </c>
      <c r="DW75" s="4">
        <f>SUM(AQ75:AZ75)*Inicio!$W$8</f>
        <v/>
      </c>
      <c r="DX75" s="4">
        <f>SUM(BA75:BJ75)*Inicio!$W$9</f>
        <v/>
      </c>
      <c r="DY75" s="4">
        <f>SUM(BK75:BT75)*Inicio!$W$10</f>
        <v/>
      </c>
      <c r="DZ75" s="4">
        <f>SUM(BU75:CD75)*Inicio!$W$11</f>
        <v/>
      </c>
      <c r="EA75" s="4">
        <f>SUM(CE75:CN75)*Inicio!$W$12</f>
        <v/>
      </c>
      <c r="EB75" s="4">
        <f>SUM(CO75:CX75)*Inicio!$W$13</f>
        <v/>
      </c>
      <c r="EC75" s="4">
        <f>SUM(CY75:DH75)*Inicio!$W$11</f>
        <v/>
      </c>
      <c r="ED75" s="4">
        <f>SUM(DI75:DR75)*Inicio!$W$12</f>
        <v/>
      </c>
      <c r="EE75" s="4">
        <f>SUM(C75:DR75)</f>
        <v/>
      </c>
      <c r="EF75" s="4">
        <f>SUM(EE72:EE75)</f>
        <v/>
      </c>
      <c r="EG75" s="4">
        <f>SUM(DS75:ED75)</f>
        <v/>
      </c>
      <c r="EH75" s="4">
        <f>SUM(EG72:EG75)</f>
        <v/>
      </c>
      <c r="EI75" s="4">
        <f>EE75+S!EE75+E!EE75+O!EE75</f>
        <v/>
      </c>
      <c r="EJ75" s="4">
        <f>SUM(EI72:EI75)</f>
        <v/>
      </c>
      <c r="EK75" s="4">
        <f>EG75+S!EG75+E!EG75+O!EG75</f>
        <v/>
      </c>
      <c r="EL75" s="4">
        <f>SUM(EK72:EK75)</f>
        <v/>
      </c>
    </row>
    <row r="76" ht="20.25" customHeight="1">
      <c r="B76" s="26" t="inlineStr">
        <is>
          <t>16:45 - 17:00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5">
        <f>SUM(C76:L76)*Inicio!$W$4</f>
        <v/>
      </c>
      <c r="DT76" s="5">
        <f>SUM(M76:V76)*Inicio!$W$5</f>
        <v/>
      </c>
      <c r="DU76" s="5">
        <f>SUM(W76:AF76)*Inicio!$W$6</f>
        <v/>
      </c>
      <c r="DV76" s="5">
        <f>SUM(AG76:AP76)*Inicio!$W$7</f>
        <v/>
      </c>
      <c r="DW76" s="5">
        <f>SUM(AQ76:AZ76)*Inicio!$W$8</f>
        <v/>
      </c>
      <c r="DX76" s="5">
        <f>SUM(BA76:BJ76)*Inicio!$W$9</f>
        <v/>
      </c>
      <c r="DY76" s="5">
        <f>SUM(BK76:BT76)*Inicio!$W$10</f>
        <v/>
      </c>
      <c r="DZ76" s="5">
        <f>SUM(BU76:CD76)*Inicio!$W$11</f>
        <v/>
      </c>
      <c r="EA76" s="5">
        <f>SUM(CE76:CN76)*Inicio!$W$12</f>
        <v/>
      </c>
      <c r="EB76" s="5">
        <f>SUM(CO76:CX76)*Inicio!$W$13</f>
        <v/>
      </c>
      <c r="EC76" s="5">
        <f>SUM(CY76:DH76)*Inicio!$W$11</f>
        <v/>
      </c>
      <c r="ED76" s="5">
        <f>SUM(DI76:DR76)*Inicio!$W$12</f>
        <v/>
      </c>
      <c r="EE76" s="5">
        <f>SUM(C76:DR76)</f>
        <v/>
      </c>
      <c r="EF76" s="5">
        <f>SUM(EE73:EE76)</f>
        <v/>
      </c>
      <c r="EG76" s="5">
        <f>SUM(DS76:ED76)</f>
        <v/>
      </c>
      <c r="EH76" s="5">
        <f>SUM(EG73:EG76)</f>
        <v/>
      </c>
      <c r="EI76" s="5">
        <f>EE76+S!EE76+E!EE76+O!EE76</f>
        <v/>
      </c>
      <c r="EJ76" s="5">
        <f>SUM(EI73:EI76)</f>
        <v/>
      </c>
      <c r="EK76" s="5">
        <f>EG76+S!EG76+E!EG76+O!EG76</f>
        <v/>
      </c>
      <c r="EL76" s="5">
        <f>SUM(EK73:EK76)</f>
        <v/>
      </c>
    </row>
    <row r="77" ht="20.25" customHeight="1">
      <c r="B77" s="27" t="inlineStr">
        <is>
          <t>17:00 - 17:15</t>
        </is>
      </c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n"/>
      <c r="CF77" s="20" t="n"/>
      <c r="CG77" s="20" t="n"/>
      <c r="CH77" s="20" t="n"/>
      <c r="CI77" s="20" t="n"/>
      <c r="CJ77" s="20" t="n"/>
      <c r="CK77" s="20" t="n"/>
      <c r="CL77" s="20" t="n"/>
      <c r="CM77" s="20" t="n"/>
      <c r="CN77" s="20" t="n"/>
      <c r="CO77" s="20" t="n"/>
      <c r="CP77" s="20" t="n"/>
      <c r="CQ77" s="20" t="n"/>
      <c r="CR77" s="20" t="n"/>
      <c r="CS77" s="20" t="n"/>
      <c r="CT77" s="20" t="n"/>
      <c r="CU77" s="20" t="n"/>
      <c r="CV77" s="20" t="n"/>
      <c r="CW77" s="20" t="n"/>
      <c r="CX77" s="20" t="n"/>
      <c r="CY77" s="20" t="n"/>
      <c r="CZ77" s="20" t="n"/>
      <c r="DA77" s="20" t="n"/>
      <c r="DB77" s="20" t="n"/>
      <c r="DC77" s="20" t="n"/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20" t="n"/>
      <c r="DN77" s="20" t="n"/>
      <c r="DO77" s="20" t="n"/>
      <c r="DP77" s="20" t="n"/>
      <c r="DQ77" s="20" t="n"/>
      <c r="DR77" s="20" t="n"/>
      <c r="DS77" s="3">
        <f>SUM(C77:L77)*Inicio!$W$4</f>
        <v/>
      </c>
      <c r="DT77" s="3">
        <f>SUM(M77:V77)*Inicio!$W$5</f>
        <v/>
      </c>
      <c r="DU77" s="3">
        <f>SUM(W77:AF77)*Inicio!$W$6</f>
        <v/>
      </c>
      <c r="DV77" s="3">
        <f>SUM(AG77:AP77)*Inicio!$W$7</f>
        <v/>
      </c>
      <c r="DW77" s="3">
        <f>SUM(AQ77:AZ77)*Inicio!$W$8</f>
        <v/>
      </c>
      <c r="DX77" s="3">
        <f>SUM(BA77:BJ77)*Inicio!$W$9</f>
        <v/>
      </c>
      <c r="DY77" s="3">
        <f>SUM(BK77:BT77)*Inicio!$W$10</f>
        <v/>
      </c>
      <c r="DZ77" s="3">
        <f>SUM(BU77:CD77)*Inicio!$W$11</f>
        <v/>
      </c>
      <c r="EA77" s="3">
        <f>SUM(CE77:CN77)*Inicio!$W$12</f>
        <v/>
      </c>
      <c r="EB77" s="3">
        <f>SUM(CO77:CX77)*Inicio!$W$13</f>
        <v/>
      </c>
      <c r="EC77" s="3">
        <f>SUM(CY77:DH77)*Inicio!$W$11</f>
        <v/>
      </c>
      <c r="ED77" s="3">
        <f>SUM(DI77:DR77)*Inicio!$W$12</f>
        <v/>
      </c>
      <c r="EE77" s="3">
        <f>SUM(C77:DR77)</f>
        <v/>
      </c>
      <c r="EF77" s="3">
        <f>SUM(EE74:EE77)</f>
        <v/>
      </c>
      <c r="EG77" s="3">
        <f>SUM(DS77:ED77)</f>
        <v/>
      </c>
      <c r="EH77" s="3">
        <f>SUM(EG74:EG77)</f>
        <v/>
      </c>
      <c r="EI77" s="3">
        <f>EE77+S!EE77+E!EE77+O!EE77</f>
        <v/>
      </c>
      <c r="EJ77" s="3">
        <f>SUM(EI74:EI77)</f>
        <v/>
      </c>
      <c r="EK77" s="3">
        <f>EG77+S!EG77+E!EG77+O!EG77</f>
        <v/>
      </c>
      <c r="EL77" s="3">
        <f>SUM(EK74:EK77)</f>
        <v/>
      </c>
    </row>
    <row r="78" ht="20.25" customHeight="1">
      <c r="B78" s="28" t="inlineStr">
        <is>
          <t>17:15 - 17:30</t>
        </is>
      </c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4">
        <f>SUM(C78:L78)*Inicio!$W$4</f>
        <v/>
      </c>
      <c r="DT78" s="4">
        <f>SUM(M78:V78)*Inicio!$W$5</f>
        <v/>
      </c>
      <c r="DU78" s="4">
        <f>SUM(W78:AF78)*Inicio!$W$6</f>
        <v/>
      </c>
      <c r="DV78" s="4">
        <f>SUM(AG78:AP78)*Inicio!$W$7</f>
        <v/>
      </c>
      <c r="DW78" s="4">
        <f>SUM(AQ78:AZ78)*Inicio!$W$8</f>
        <v/>
      </c>
      <c r="DX78" s="4">
        <f>SUM(BA78:BJ78)*Inicio!$W$9</f>
        <v/>
      </c>
      <c r="DY78" s="4">
        <f>SUM(BK78:BT78)*Inicio!$W$10</f>
        <v/>
      </c>
      <c r="DZ78" s="4">
        <f>SUM(BU78:CD78)*Inicio!$W$11</f>
        <v/>
      </c>
      <c r="EA78" s="4">
        <f>SUM(CE78:CN78)*Inicio!$W$12</f>
        <v/>
      </c>
      <c r="EB78" s="4">
        <f>SUM(CO78:CX78)*Inicio!$W$13</f>
        <v/>
      </c>
      <c r="EC78" s="4">
        <f>SUM(CY78:DH78)*Inicio!$W$11</f>
        <v/>
      </c>
      <c r="ED78" s="4">
        <f>SUM(DI78:DR78)*Inicio!$W$12</f>
        <v/>
      </c>
      <c r="EE78" s="4">
        <f>SUM(C78:DR78)</f>
        <v/>
      </c>
      <c r="EF78" s="4">
        <f>SUM(EE75:EE78)</f>
        <v/>
      </c>
      <c r="EG78" s="4">
        <f>SUM(DS78:ED78)</f>
        <v/>
      </c>
      <c r="EH78" s="4">
        <f>SUM(EG75:EG78)</f>
        <v/>
      </c>
      <c r="EI78" s="4">
        <f>EE78+S!EE78+E!EE78+O!EE78</f>
        <v/>
      </c>
      <c r="EJ78" s="4">
        <f>SUM(EI75:EI78)</f>
        <v/>
      </c>
      <c r="EK78" s="4">
        <f>EG78+S!EG78+E!EG78+O!EG78</f>
        <v/>
      </c>
      <c r="EL78" s="4">
        <f>SUM(EK75:EK78)</f>
        <v/>
      </c>
    </row>
    <row r="79" ht="20.25" customHeight="1">
      <c r="B79" s="28" t="inlineStr">
        <is>
          <t>17:30 - 17:45</t>
        </is>
      </c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4">
        <f>SUM(C79:L79)*Inicio!$W$4</f>
        <v/>
      </c>
      <c r="DT79" s="4">
        <f>SUM(M79:V79)*Inicio!$W$5</f>
        <v/>
      </c>
      <c r="DU79" s="4">
        <f>SUM(W79:AF79)*Inicio!$W$6</f>
        <v/>
      </c>
      <c r="DV79" s="4">
        <f>SUM(AG79:AP79)*Inicio!$W$7</f>
        <v/>
      </c>
      <c r="DW79" s="4">
        <f>SUM(AQ79:AZ79)*Inicio!$W$8</f>
        <v/>
      </c>
      <c r="DX79" s="4">
        <f>SUM(BA79:BJ79)*Inicio!$W$9</f>
        <v/>
      </c>
      <c r="DY79" s="4">
        <f>SUM(BK79:BT79)*Inicio!$W$10</f>
        <v/>
      </c>
      <c r="DZ79" s="4">
        <f>SUM(BU79:CD79)*Inicio!$W$11</f>
        <v/>
      </c>
      <c r="EA79" s="4">
        <f>SUM(CE79:CN79)*Inicio!$W$12</f>
        <v/>
      </c>
      <c r="EB79" s="4">
        <f>SUM(CO79:CX79)*Inicio!$W$13</f>
        <v/>
      </c>
      <c r="EC79" s="4">
        <f>SUM(CY79:DH79)*Inicio!$W$11</f>
        <v/>
      </c>
      <c r="ED79" s="4">
        <f>SUM(DI79:DR79)*Inicio!$W$12</f>
        <v/>
      </c>
      <c r="EE79" s="4">
        <f>SUM(C79:DR79)</f>
        <v/>
      </c>
      <c r="EF79" s="4">
        <f>SUM(EE76:EE79)</f>
        <v/>
      </c>
      <c r="EG79" s="4">
        <f>SUM(DS79:ED79)</f>
        <v/>
      </c>
      <c r="EH79" s="4">
        <f>SUM(EG76:EG79)</f>
        <v/>
      </c>
      <c r="EI79" s="4">
        <f>EE79+S!EE79+E!EE79+O!EE79</f>
        <v/>
      </c>
      <c r="EJ79" s="4">
        <f>SUM(EI76:EI79)</f>
        <v/>
      </c>
      <c r="EK79" s="4">
        <f>EG79+S!EG79+E!EG79+O!EG79</f>
        <v/>
      </c>
      <c r="EL79" s="4">
        <f>SUM(EK76:EK79)</f>
        <v/>
      </c>
    </row>
    <row r="80" ht="20.25" customHeight="1">
      <c r="B80" s="26" t="inlineStr">
        <is>
          <t>17:45 - 18:00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5">
        <f>SUM(C80:L80)*Inicio!$W$4</f>
        <v/>
      </c>
      <c r="DT80" s="5">
        <f>SUM(M80:V80)*Inicio!$W$5</f>
        <v/>
      </c>
      <c r="DU80" s="5">
        <f>SUM(W80:AF80)*Inicio!$W$6</f>
        <v/>
      </c>
      <c r="DV80" s="5">
        <f>SUM(AG80:AP80)*Inicio!$W$7</f>
        <v/>
      </c>
      <c r="DW80" s="5">
        <f>SUM(AQ80:AZ80)*Inicio!$W$8</f>
        <v/>
      </c>
      <c r="DX80" s="5">
        <f>SUM(BA80:BJ80)*Inicio!$W$9</f>
        <v/>
      </c>
      <c r="DY80" s="5">
        <f>SUM(BK80:BT80)*Inicio!$W$10</f>
        <v/>
      </c>
      <c r="DZ80" s="5">
        <f>SUM(BU80:CD80)*Inicio!$W$11</f>
        <v/>
      </c>
      <c r="EA80" s="5">
        <f>SUM(CE80:CN80)*Inicio!$W$12</f>
        <v/>
      </c>
      <c r="EB80" s="5">
        <f>SUM(CO80:CX80)*Inicio!$W$13</f>
        <v/>
      </c>
      <c r="EC80" s="5">
        <f>SUM(CY80:DH80)*Inicio!$W$11</f>
        <v/>
      </c>
      <c r="ED80" s="5">
        <f>SUM(DI80:DR80)*Inicio!$W$12</f>
        <v/>
      </c>
      <c r="EE80" s="5">
        <f>SUM(C80:DR80)</f>
        <v/>
      </c>
      <c r="EF80" s="5">
        <f>SUM(EE77:EE80)</f>
        <v/>
      </c>
      <c r="EG80" s="5">
        <f>SUM(DS80:ED80)</f>
        <v/>
      </c>
      <c r="EH80" s="5">
        <f>SUM(EG77:EG80)</f>
        <v/>
      </c>
      <c r="EI80" s="5">
        <f>EE80+S!EE80+E!EE80+O!EE80</f>
        <v/>
      </c>
      <c r="EJ80" s="5">
        <f>SUM(EI77:EI80)</f>
        <v/>
      </c>
      <c r="EK80" s="5">
        <f>EG80+S!EG80+E!EG80+O!EG80</f>
        <v/>
      </c>
      <c r="EL80" s="5">
        <f>SUM(EK77:EK80)</f>
        <v/>
      </c>
    </row>
    <row r="81" ht="20.25" customHeight="1">
      <c r="B81" s="27" t="inlineStr">
        <is>
          <t>18:00 - 18:15</t>
        </is>
      </c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20" t="n"/>
      <c r="CD81" s="20" t="n"/>
      <c r="CE81" s="20" t="n"/>
      <c r="CF81" s="20" t="n"/>
      <c r="CG81" s="20" t="n"/>
      <c r="CH81" s="20" t="n"/>
      <c r="CI81" s="20" t="n"/>
      <c r="CJ81" s="20" t="n"/>
      <c r="CK81" s="20" t="n"/>
      <c r="CL81" s="20" t="n"/>
      <c r="CM81" s="20" t="n"/>
      <c r="CN81" s="20" t="n"/>
      <c r="CO81" s="20" t="n"/>
      <c r="CP81" s="20" t="n"/>
      <c r="CQ81" s="20" t="n"/>
      <c r="CR81" s="20" t="n"/>
      <c r="CS81" s="20" t="n"/>
      <c r="CT81" s="20" t="n"/>
      <c r="CU81" s="20" t="n"/>
      <c r="CV81" s="20" t="n"/>
      <c r="CW81" s="20" t="n"/>
      <c r="CX81" s="20" t="n"/>
      <c r="CY81" s="20" t="n"/>
      <c r="CZ81" s="20" t="n"/>
      <c r="DA81" s="20" t="n"/>
      <c r="DB81" s="20" t="n"/>
      <c r="DC81" s="20" t="n"/>
      <c r="DD81" s="20" t="n"/>
      <c r="DE81" s="20" t="n"/>
      <c r="DF81" s="20" t="n"/>
      <c r="DG81" s="20" t="n"/>
      <c r="DH81" s="20" t="n"/>
      <c r="DI81" s="20" t="n"/>
      <c r="DJ81" s="20" t="n"/>
      <c r="DK81" s="20" t="n"/>
      <c r="DL81" s="20" t="n"/>
      <c r="DM81" s="20" t="n"/>
      <c r="DN81" s="20" t="n"/>
      <c r="DO81" s="20" t="n"/>
      <c r="DP81" s="20" t="n"/>
      <c r="DQ81" s="20" t="n"/>
      <c r="DR81" s="20" t="n"/>
      <c r="DS81" s="3">
        <f>SUM(C81:L81)*Inicio!$W$4</f>
        <v/>
      </c>
      <c r="DT81" s="3">
        <f>SUM(M81:V81)*Inicio!$W$5</f>
        <v/>
      </c>
      <c r="DU81" s="3">
        <f>SUM(W81:AF81)*Inicio!$W$6</f>
        <v/>
      </c>
      <c r="DV81" s="3">
        <f>SUM(AG81:AP81)*Inicio!$W$7</f>
        <v/>
      </c>
      <c r="DW81" s="3">
        <f>SUM(AQ81:AZ81)*Inicio!$W$8</f>
        <v/>
      </c>
      <c r="DX81" s="3">
        <f>SUM(BA81:BJ81)*Inicio!$W$9</f>
        <v/>
      </c>
      <c r="DY81" s="3">
        <f>SUM(BK81:BT81)*Inicio!$W$10</f>
        <v/>
      </c>
      <c r="DZ81" s="3">
        <f>SUM(BU81:CD81)*Inicio!$W$11</f>
        <v/>
      </c>
      <c r="EA81" s="3">
        <f>SUM(CE81:CN81)*Inicio!$W$12</f>
        <v/>
      </c>
      <c r="EB81" s="3">
        <f>SUM(CO81:CX81)*Inicio!$W$13</f>
        <v/>
      </c>
      <c r="EC81" s="3">
        <f>SUM(CY81:DH81)*Inicio!$W$11</f>
        <v/>
      </c>
      <c r="ED81" s="3">
        <f>SUM(DI81:DR81)*Inicio!$W$12</f>
        <v/>
      </c>
      <c r="EE81" s="3">
        <f>SUM(C81:DR81)</f>
        <v/>
      </c>
      <c r="EF81" s="3">
        <f>SUM(EE78:EE81)</f>
        <v/>
      </c>
      <c r="EG81" s="3">
        <f>SUM(DS81:ED81)</f>
        <v/>
      </c>
      <c r="EH81" s="3">
        <f>SUM(EG78:EG81)</f>
        <v/>
      </c>
      <c r="EI81" s="3">
        <f>EE81+S!EE81+E!EE81+O!EE81</f>
        <v/>
      </c>
      <c r="EJ81" s="3">
        <f>SUM(EI78:EI81)</f>
        <v/>
      </c>
      <c r="EK81" s="3">
        <f>EG81+S!EG81+E!EG81+O!EG81</f>
        <v/>
      </c>
      <c r="EL81" s="3">
        <f>SUM(EK78:EK81)</f>
        <v/>
      </c>
    </row>
    <row r="82" ht="20.25" customHeight="1">
      <c r="B82" s="28" t="inlineStr">
        <is>
          <t>18:15 - 18:30</t>
        </is>
      </c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4">
        <f>SUM(C82:L82)*Inicio!$W$4</f>
        <v/>
      </c>
      <c r="DT82" s="4">
        <f>SUM(M82:V82)*Inicio!$W$5</f>
        <v/>
      </c>
      <c r="DU82" s="4">
        <f>SUM(W82:AF82)*Inicio!$W$6</f>
        <v/>
      </c>
      <c r="DV82" s="4">
        <f>SUM(AG82:AP82)*Inicio!$W$7</f>
        <v/>
      </c>
      <c r="DW82" s="4">
        <f>SUM(AQ82:AZ82)*Inicio!$W$8</f>
        <v/>
      </c>
      <c r="DX82" s="4">
        <f>SUM(BA82:BJ82)*Inicio!$W$9</f>
        <v/>
      </c>
      <c r="DY82" s="4">
        <f>SUM(BK82:BT82)*Inicio!$W$10</f>
        <v/>
      </c>
      <c r="DZ82" s="4">
        <f>SUM(BU82:CD82)*Inicio!$W$11</f>
        <v/>
      </c>
      <c r="EA82" s="4">
        <f>SUM(CE82:CN82)*Inicio!$W$12</f>
        <v/>
      </c>
      <c r="EB82" s="4">
        <f>SUM(CO82:CX82)*Inicio!$W$13</f>
        <v/>
      </c>
      <c r="EC82" s="4">
        <f>SUM(CY82:DH82)*Inicio!$W$11</f>
        <v/>
      </c>
      <c r="ED82" s="4">
        <f>SUM(DI82:DR82)*Inicio!$W$12</f>
        <v/>
      </c>
      <c r="EE82" s="4">
        <f>SUM(C82:DR82)</f>
        <v/>
      </c>
      <c r="EF82" s="4">
        <f>SUM(EE79:EE82)</f>
        <v/>
      </c>
      <c r="EG82" s="4">
        <f>SUM(DS82:ED82)</f>
        <v/>
      </c>
      <c r="EH82" s="4">
        <f>SUM(EG79:EG82)</f>
        <v/>
      </c>
      <c r="EI82" s="4">
        <f>EE82+S!EE82+E!EE82+O!EE82</f>
        <v/>
      </c>
      <c r="EJ82" s="4">
        <f>SUM(EI79:EI82)</f>
        <v/>
      </c>
      <c r="EK82" s="4">
        <f>EG82+S!EG82+E!EG82+O!EG82</f>
        <v/>
      </c>
      <c r="EL82" s="4">
        <f>SUM(EK79:EK82)</f>
        <v/>
      </c>
    </row>
    <row r="83" ht="20.25" customHeight="1">
      <c r="B83" s="28" t="inlineStr">
        <is>
          <t>18:30 - 18:45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4">
        <f>SUM(C83:L83)*Inicio!$W$4</f>
        <v/>
      </c>
      <c r="DT83" s="4">
        <f>SUM(M83:V83)*Inicio!$W$5</f>
        <v/>
      </c>
      <c r="DU83" s="4">
        <f>SUM(W83:AF83)*Inicio!$W$6</f>
        <v/>
      </c>
      <c r="DV83" s="4">
        <f>SUM(AG83:AP83)*Inicio!$W$7</f>
        <v/>
      </c>
      <c r="DW83" s="4">
        <f>SUM(AQ83:AZ83)*Inicio!$W$8</f>
        <v/>
      </c>
      <c r="DX83" s="4">
        <f>SUM(BA83:BJ83)*Inicio!$W$9</f>
        <v/>
      </c>
      <c r="DY83" s="4">
        <f>SUM(BK83:BT83)*Inicio!$W$10</f>
        <v/>
      </c>
      <c r="DZ83" s="4">
        <f>SUM(BU83:CD83)*Inicio!$W$11</f>
        <v/>
      </c>
      <c r="EA83" s="4">
        <f>SUM(CE83:CN83)*Inicio!$W$12</f>
        <v/>
      </c>
      <c r="EB83" s="4">
        <f>SUM(CO83:CX83)*Inicio!$W$13</f>
        <v/>
      </c>
      <c r="EC83" s="4">
        <f>SUM(CY83:DH83)*Inicio!$W$11</f>
        <v/>
      </c>
      <c r="ED83" s="4">
        <f>SUM(DI83:DR83)*Inicio!$W$12</f>
        <v/>
      </c>
      <c r="EE83" s="4">
        <f>SUM(C83:DR83)</f>
        <v/>
      </c>
      <c r="EF83" s="4">
        <f>SUM(EE80:EE83)</f>
        <v/>
      </c>
      <c r="EG83" s="4">
        <f>SUM(DS83:ED83)</f>
        <v/>
      </c>
      <c r="EH83" s="4">
        <f>SUM(EG80:EG83)</f>
        <v/>
      </c>
      <c r="EI83" s="4">
        <f>EE83+S!EE83+E!EE83+O!EE83</f>
        <v/>
      </c>
      <c r="EJ83" s="4">
        <f>SUM(EI80:EI83)</f>
        <v/>
      </c>
      <c r="EK83" s="4">
        <f>EG83+S!EG83+E!EG83+O!EG83</f>
        <v/>
      </c>
      <c r="EL83" s="4">
        <f>SUM(EK80:EK83)</f>
        <v/>
      </c>
    </row>
    <row r="84" ht="20.25" customHeight="1">
      <c r="B84" s="26" t="inlineStr">
        <is>
          <t>18:45 - 19:00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5">
        <f>SUM(C84:L84)*Inicio!$W$4</f>
        <v/>
      </c>
      <c r="DT84" s="5">
        <f>SUM(M84:V84)*Inicio!$W$5</f>
        <v/>
      </c>
      <c r="DU84" s="5">
        <f>SUM(W84:AF84)*Inicio!$W$6</f>
        <v/>
      </c>
      <c r="DV84" s="5">
        <f>SUM(AG84:AP84)*Inicio!$W$7</f>
        <v/>
      </c>
      <c r="DW84" s="5">
        <f>SUM(AQ84:AZ84)*Inicio!$W$8</f>
        <v/>
      </c>
      <c r="DX84" s="5">
        <f>SUM(BA84:BJ84)*Inicio!$W$9</f>
        <v/>
      </c>
      <c r="DY84" s="5">
        <f>SUM(BK84:BT84)*Inicio!$W$10</f>
        <v/>
      </c>
      <c r="DZ84" s="5">
        <f>SUM(BU84:CD84)*Inicio!$W$11</f>
        <v/>
      </c>
      <c r="EA84" s="5">
        <f>SUM(CE84:CN84)*Inicio!$W$12</f>
        <v/>
      </c>
      <c r="EB84" s="5">
        <f>SUM(CO84:CX84)*Inicio!$W$13</f>
        <v/>
      </c>
      <c r="EC84" s="5">
        <f>SUM(CY84:DH84)*Inicio!$W$11</f>
        <v/>
      </c>
      <c r="ED84" s="5">
        <f>SUM(DI84:DR84)*Inicio!$W$12</f>
        <v/>
      </c>
      <c r="EE84" s="5">
        <f>SUM(C84:DR84)</f>
        <v/>
      </c>
      <c r="EF84" s="5">
        <f>SUM(EE81:EE84)</f>
        <v/>
      </c>
      <c r="EG84" s="5">
        <f>SUM(DS84:ED84)</f>
        <v/>
      </c>
      <c r="EH84" s="5">
        <f>SUM(EG81:EG84)</f>
        <v/>
      </c>
      <c r="EI84" s="5">
        <f>EE84+S!EE84+E!EE84+O!EE84</f>
        <v/>
      </c>
      <c r="EJ84" s="5">
        <f>SUM(EI81:EI84)</f>
        <v/>
      </c>
      <c r="EK84" s="5">
        <f>EG84+S!EG84+E!EG84+O!EG84</f>
        <v/>
      </c>
      <c r="EL84" s="5">
        <f>SUM(EK81:EK84)</f>
        <v/>
      </c>
    </row>
    <row r="85" ht="20.25" customHeight="1">
      <c r="B85" s="27" t="inlineStr">
        <is>
          <t>19:00 - 19:15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  <c r="CE85" s="20" t="n"/>
      <c r="CF85" s="20" t="n"/>
      <c r="CG85" s="20" t="n"/>
      <c r="CH85" s="20" t="n"/>
      <c r="CI85" s="20" t="n"/>
      <c r="CJ85" s="20" t="n"/>
      <c r="CK85" s="20" t="n"/>
      <c r="CL85" s="20" t="n"/>
      <c r="CM85" s="20" t="n"/>
      <c r="CN85" s="20" t="n"/>
      <c r="CO85" s="20" t="n"/>
      <c r="CP85" s="20" t="n"/>
      <c r="CQ85" s="20" t="n"/>
      <c r="CR85" s="20" t="n"/>
      <c r="CS85" s="20" t="n"/>
      <c r="CT85" s="20" t="n"/>
      <c r="CU85" s="20" t="n"/>
      <c r="CV85" s="20" t="n"/>
      <c r="CW85" s="20" t="n"/>
      <c r="CX85" s="20" t="n"/>
      <c r="CY85" s="20" t="n"/>
      <c r="CZ85" s="20" t="n"/>
      <c r="DA85" s="20" t="n"/>
      <c r="DB85" s="20" t="n"/>
      <c r="DC85" s="20" t="n"/>
      <c r="DD85" s="20" t="n"/>
      <c r="DE85" s="20" t="n"/>
      <c r="DF85" s="20" t="n"/>
      <c r="DG85" s="20" t="n"/>
      <c r="DH85" s="20" t="n"/>
      <c r="DI85" s="20" t="n"/>
      <c r="DJ85" s="20" t="n"/>
      <c r="DK85" s="20" t="n"/>
      <c r="DL85" s="20" t="n"/>
      <c r="DM85" s="20" t="n"/>
      <c r="DN85" s="20" t="n"/>
      <c r="DO85" s="20" t="n"/>
      <c r="DP85" s="20" t="n"/>
      <c r="DQ85" s="20" t="n"/>
      <c r="DR85" s="20" t="n"/>
      <c r="DS85" s="3">
        <f>SUM(C85:L85)*Inicio!$W$4</f>
        <v/>
      </c>
      <c r="DT85" s="3">
        <f>SUM(M85:V85)*Inicio!$W$5</f>
        <v/>
      </c>
      <c r="DU85" s="3">
        <f>SUM(W85:AF85)*Inicio!$W$6</f>
        <v/>
      </c>
      <c r="DV85" s="3">
        <f>SUM(AG85:AP85)*Inicio!$W$7</f>
        <v/>
      </c>
      <c r="DW85" s="3">
        <f>SUM(AQ85:AZ85)*Inicio!$W$8</f>
        <v/>
      </c>
      <c r="DX85" s="3">
        <f>SUM(BA85:BJ85)*Inicio!$W$9</f>
        <v/>
      </c>
      <c r="DY85" s="3">
        <f>SUM(BK85:BT85)*Inicio!$W$10</f>
        <v/>
      </c>
      <c r="DZ85" s="3">
        <f>SUM(BU85:CD85)*Inicio!$W$11</f>
        <v/>
      </c>
      <c r="EA85" s="3">
        <f>SUM(CE85:CN85)*Inicio!$W$12</f>
        <v/>
      </c>
      <c r="EB85" s="3">
        <f>SUM(CO85:CX85)*Inicio!$W$13</f>
        <v/>
      </c>
      <c r="EC85" s="3">
        <f>SUM(CY85:DH85)*Inicio!$W$11</f>
        <v/>
      </c>
      <c r="ED85" s="3">
        <f>SUM(DI85:DR85)*Inicio!$W$12</f>
        <v/>
      </c>
      <c r="EE85" s="3">
        <f>SUM(C85:DR85)</f>
        <v/>
      </c>
      <c r="EF85" s="3">
        <f>SUM(EE82:EE85)</f>
        <v/>
      </c>
      <c r="EG85" s="3">
        <f>SUM(DS85:ED85)</f>
        <v/>
      </c>
      <c r="EH85" s="3">
        <f>SUM(EG82:EG85)</f>
        <v/>
      </c>
      <c r="EI85" s="3">
        <f>EE85+S!EE85+E!EE85+O!EE85</f>
        <v/>
      </c>
      <c r="EJ85" s="3">
        <f>SUM(EI82:EI85)</f>
        <v/>
      </c>
      <c r="EK85" s="3">
        <f>EG85+S!EG85+E!EG85+O!EG85</f>
        <v/>
      </c>
      <c r="EL85" s="3">
        <f>SUM(EK82:EK85)</f>
        <v/>
      </c>
    </row>
    <row r="86" ht="20.25" customHeight="1">
      <c r="B86" s="28" t="inlineStr">
        <is>
          <t>19:15 - 19:30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4">
        <f>SUM(C86:L86)*Inicio!$W$4</f>
        <v/>
      </c>
      <c r="DT86" s="4">
        <f>SUM(M86:V86)*Inicio!$W$5</f>
        <v/>
      </c>
      <c r="DU86" s="4">
        <f>SUM(W86:AF86)*Inicio!$W$6</f>
        <v/>
      </c>
      <c r="DV86" s="4">
        <f>SUM(AG86:AP86)*Inicio!$W$7</f>
        <v/>
      </c>
      <c r="DW86" s="4">
        <f>SUM(AQ86:AZ86)*Inicio!$W$8</f>
        <v/>
      </c>
      <c r="DX86" s="4">
        <f>SUM(BA86:BJ86)*Inicio!$W$9</f>
        <v/>
      </c>
      <c r="DY86" s="4">
        <f>SUM(BK86:BT86)*Inicio!$W$10</f>
        <v/>
      </c>
      <c r="DZ86" s="4">
        <f>SUM(BU86:CD86)*Inicio!$W$11</f>
        <v/>
      </c>
      <c r="EA86" s="4">
        <f>SUM(CE86:CN86)*Inicio!$W$12</f>
        <v/>
      </c>
      <c r="EB86" s="4">
        <f>SUM(CO86:CX86)*Inicio!$W$13</f>
        <v/>
      </c>
      <c r="EC86" s="4">
        <f>SUM(CY86:DH86)*Inicio!$W$11</f>
        <v/>
      </c>
      <c r="ED86" s="4">
        <f>SUM(DI86:DR86)*Inicio!$W$12</f>
        <v/>
      </c>
      <c r="EE86" s="4">
        <f>SUM(C86:DR86)</f>
        <v/>
      </c>
      <c r="EF86" s="4">
        <f>SUM(EE83:EE86)</f>
        <v/>
      </c>
      <c r="EG86" s="4">
        <f>SUM(DS86:ED86)</f>
        <v/>
      </c>
      <c r="EH86" s="4">
        <f>SUM(EG83:EG86)</f>
        <v/>
      </c>
      <c r="EI86" s="4">
        <f>EE86+S!EE86+E!EE86+O!EE86</f>
        <v/>
      </c>
      <c r="EJ86" s="4">
        <f>SUM(EI83:EI86)</f>
        <v/>
      </c>
      <c r="EK86" s="4">
        <f>EG86+S!EG86+E!EG86+O!EG86</f>
        <v/>
      </c>
      <c r="EL86" s="4">
        <f>SUM(EK83:EK86)</f>
        <v/>
      </c>
    </row>
    <row r="87" ht="20.25" customHeight="1">
      <c r="B87" s="28" t="inlineStr">
        <is>
          <t>19:30 - 19:45</t>
        </is>
      </c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4">
        <f>SUM(C87:L87)*Inicio!$W$4</f>
        <v/>
      </c>
      <c r="DT87" s="4">
        <f>SUM(M87:V87)*Inicio!$W$5</f>
        <v/>
      </c>
      <c r="DU87" s="4">
        <f>SUM(W87:AF87)*Inicio!$W$6</f>
        <v/>
      </c>
      <c r="DV87" s="4">
        <f>SUM(AG87:AP87)*Inicio!$W$7</f>
        <v/>
      </c>
      <c r="DW87" s="4">
        <f>SUM(AQ87:AZ87)*Inicio!$W$8</f>
        <v/>
      </c>
      <c r="DX87" s="4">
        <f>SUM(BA87:BJ87)*Inicio!$W$9</f>
        <v/>
      </c>
      <c r="DY87" s="4">
        <f>SUM(BK87:BT87)*Inicio!$W$10</f>
        <v/>
      </c>
      <c r="DZ87" s="4">
        <f>SUM(BU87:CD87)*Inicio!$W$11</f>
        <v/>
      </c>
      <c r="EA87" s="4">
        <f>SUM(CE87:CN87)*Inicio!$W$12</f>
        <v/>
      </c>
      <c r="EB87" s="4">
        <f>SUM(CO87:CX87)*Inicio!$W$13</f>
        <v/>
      </c>
      <c r="EC87" s="4">
        <f>SUM(CY87:DH87)*Inicio!$W$11</f>
        <v/>
      </c>
      <c r="ED87" s="4">
        <f>SUM(DI87:DR87)*Inicio!$W$12</f>
        <v/>
      </c>
      <c r="EE87" s="4">
        <f>SUM(C87:DR87)</f>
        <v/>
      </c>
      <c r="EF87" s="4">
        <f>SUM(EE84:EE87)</f>
        <v/>
      </c>
      <c r="EG87" s="4">
        <f>SUM(DS87:ED87)</f>
        <v/>
      </c>
      <c r="EH87" s="4">
        <f>SUM(EG84:EG87)</f>
        <v/>
      </c>
      <c r="EI87" s="4">
        <f>EE87+S!EE87+E!EE87+O!EE87</f>
        <v/>
      </c>
      <c r="EJ87" s="4">
        <f>SUM(EI84:EI87)</f>
        <v/>
      </c>
      <c r="EK87" s="4">
        <f>EG87+S!EG87+E!EG87+O!EG87</f>
        <v/>
      </c>
      <c r="EL87" s="4">
        <f>SUM(EK84:EK87)</f>
        <v/>
      </c>
    </row>
    <row r="88" ht="20.25" customHeight="1">
      <c r="B88" s="26" t="inlineStr">
        <is>
          <t>19:45 - 20:00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5">
        <f>SUM(C88:L88)*Inicio!$W$4</f>
        <v/>
      </c>
      <c r="DT88" s="5">
        <f>SUM(M88:V88)*Inicio!$W$5</f>
        <v/>
      </c>
      <c r="DU88" s="5">
        <f>SUM(W88:AF88)*Inicio!$W$6</f>
        <v/>
      </c>
      <c r="DV88" s="5">
        <f>SUM(AG88:AP88)*Inicio!$W$7</f>
        <v/>
      </c>
      <c r="DW88" s="5">
        <f>SUM(AQ88:AZ88)*Inicio!$W$8</f>
        <v/>
      </c>
      <c r="DX88" s="5">
        <f>SUM(BA88:BJ88)*Inicio!$W$9</f>
        <v/>
      </c>
      <c r="DY88" s="5">
        <f>SUM(BK88:BT88)*Inicio!$W$10</f>
        <v/>
      </c>
      <c r="DZ88" s="5">
        <f>SUM(BU88:CD88)*Inicio!$W$11</f>
        <v/>
      </c>
      <c r="EA88" s="5">
        <f>SUM(CE88:CN88)*Inicio!$W$12</f>
        <v/>
      </c>
      <c r="EB88" s="5">
        <f>SUM(CO88:CX88)*Inicio!$W$13</f>
        <v/>
      </c>
      <c r="EC88" s="5">
        <f>SUM(CY88:DH88)*Inicio!$W$11</f>
        <v/>
      </c>
      <c r="ED88" s="5">
        <f>SUM(DI88:DR88)*Inicio!$W$12</f>
        <v/>
      </c>
      <c r="EE88" s="5">
        <f>SUM(C88:DR88)</f>
        <v/>
      </c>
      <c r="EF88" s="5">
        <f>SUM(EE85:EE88)</f>
        <v/>
      </c>
      <c r="EG88" s="5">
        <f>SUM(DS88:ED88)</f>
        <v/>
      </c>
      <c r="EH88" s="5">
        <f>SUM(EG85:EG88)</f>
        <v/>
      </c>
      <c r="EI88" s="5">
        <f>EE88+S!EE88+E!EE88+O!EE88</f>
        <v/>
      </c>
      <c r="EJ88" s="5">
        <f>SUM(EI85:EI88)</f>
        <v/>
      </c>
      <c r="EK88" s="5">
        <f>EG88+S!EG88+E!EG88+O!EG88</f>
        <v/>
      </c>
      <c r="EL88" s="5">
        <f>SUM(EK85:EK88)</f>
        <v/>
      </c>
    </row>
    <row r="89" ht="20.25" customHeight="1">
      <c r="B89" s="27" t="inlineStr">
        <is>
          <t>20:00 - 20:15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  <c r="CE89" s="20" t="n"/>
      <c r="CF89" s="20" t="n"/>
      <c r="CG89" s="20" t="n"/>
      <c r="CH89" s="20" t="n"/>
      <c r="CI89" s="20" t="n"/>
      <c r="CJ89" s="20" t="n"/>
      <c r="CK89" s="20" t="n"/>
      <c r="CL89" s="20" t="n"/>
      <c r="CM89" s="20" t="n"/>
      <c r="CN89" s="20" t="n"/>
      <c r="CO89" s="20" t="n"/>
      <c r="CP89" s="20" t="n"/>
      <c r="CQ89" s="20" t="n"/>
      <c r="CR89" s="20" t="n"/>
      <c r="CS89" s="20" t="n"/>
      <c r="CT89" s="20" t="n"/>
      <c r="CU89" s="20" t="n"/>
      <c r="CV89" s="20" t="n"/>
      <c r="CW89" s="20" t="n"/>
      <c r="CX89" s="20" t="n"/>
      <c r="CY89" s="20" t="n"/>
      <c r="CZ89" s="20" t="n"/>
      <c r="DA89" s="20" t="n"/>
      <c r="DB89" s="20" t="n"/>
      <c r="DC89" s="20" t="n"/>
      <c r="DD89" s="20" t="n"/>
      <c r="DE89" s="20" t="n"/>
      <c r="DF89" s="20" t="n"/>
      <c r="DG89" s="20" t="n"/>
      <c r="DH89" s="20" t="n"/>
      <c r="DI89" s="20" t="n"/>
      <c r="DJ89" s="20" t="n"/>
      <c r="DK89" s="20" t="n"/>
      <c r="DL89" s="20" t="n"/>
      <c r="DM89" s="20" t="n"/>
      <c r="DN89" s="20" t="n"/>
      <c r="DO89" s="20" t="n"/>
      <c r="DP89" s="20" t="n"/>
      <c r="DQ89" s="20" t="n"/>
      <c r="DR89" s="20" t="n"/>
      <c r="DS89" s="3">
        <f>SUM(C89:L89)*Inicio!$W$4</f>
        <v/>
      </c>
      <c r="DT89" s="3">
        <f>SUM(M89:V89)*Inicio!$W$5</f>
        <v/>
      </c>
      <c r="DU89" s="3">
        <f>SUM(W89:AF89)*Inicio!$W$6</f>
        <v/>
      </c>
      <c r="DV89" s="3">
        <f>SUM(AG89:AP89)*Inicio!$W$7</f>
        <v/>
      </c>
      <c r="DW89" s="3">
        <f>SUM(AQ89:AZ89)*Inicio!$W$8</f>
        <v/>
      </c>
      <c r="DX89" s="3">
        <f>SUM(BA89:BJ89)*Inicio!$W$9</f>
        <v/>
      </c>
      <c r="DY89" s="3">
        <f>SUM(BK89:BT89)*Inicio!$W$10</f>
        <v/>
      </c>
      <c r="DZ89" s="3">
        <f>SUM(BU89:CD89)*Inicio!$W$11</f>
        <v/>
      </c>
      <c r="EA89" s="3">
        <f>SUM(CE89:CN89)*Inicio!$W$12</f>
        <v/>
      </c>
      <c r="EB89" s="3">
        <f>SUM(CO89:CX89)*Inicio!$W$13</f>
        <v/>
      </c>
      <c r="EC89" s="3">
        <f>SUM(CY89:DH89)*Inicio!$W$11</f>
        <v/>
      </c>
      <c r="ED89" s="3">
        <f>SUM(DI89:DR89)*Inicio!$W$12</f>
        <v/>
      </c>
      <c r="EE89" s="3">
        <f>SUM(C89:DR89)</f>
        <v/>
      </c>
      <c r="EF89" s="3">
        <f>SUM(EE86:EE89)</f>
        <v/>
      </c>
      <c r="EG89" s="3">
        <f>SUM(DS89:ED89)</f>
        <v/>
      </c>
      <c r="EH89" s="3">
        <f>SUM(EG86:EG89)</f>
        <v/>
      </c>
      <c r="EI89" s="3">
        <f>EE89+S!EE89+E!EE89+O!EE89</f>
        <v/>
      </c>
      <c r="EJ89" s="3">
        <f>SUM(EI86:EI89)</f>
        <v/>
      </c>
      <c r="EK89" s="3">
        <f>EG89+S!EG89+E!EG89+O!EG89</f>
        <v/>
      </c>
      <c r="EL89" s="3">
        <f>SUM(EK86:EK89)</f>
        <v/>
      </c>
    </row>
    <row r="90" ht="20.25" customHeight="1">
      <c r="B90" s="28" t="inlineStr">
        <is>
          <t>20:15 - 20:30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4">
        <f>SUM(C90:L90)*Inicio!$W$4</f>
        <v/>
      </c>
      <c r="DT90" s="4">
        <f>SUM(M90:V90)*Inicio!$W$5</f>
        <v/>
      </c>
      <c r="DU90" s="4">
        <f>SUM(W90:AF90)*Inicio!$W$6</f>
        <v/>
      </c>
      <c r="DV90" s="4">
        <f>SUM(AG90:AP90)*Inicio!$W$7</f>
        <v/>
      </c>
      <c r="DW90" s="4">
        <f>SUM(AQ90:AZ90)*Inicio!$W$8</f>
        <v/>
      </c>
      <c r="DX90" s="4">
        <f>SUM(BA90:BJ90)*Inicio!$W$9</f>
        <v/>
      </c>
      <c r="DY90" s="4">
        <f>SUM(BK90:BT90)*Inicio!$W$10</f>
        <v/>
      </c>
      <c r="DZ90" s="4">
        <f>SUM(BU90:CD90)*Inicio!$W$11</f>
        <v/>
      </c>
      <c r="EA90" s="4">
        <f>SUM(CE90:CN90)*Inicio!$W$12</f>
        <v/>
      </c>
      <c r="EB90" s="4">
        <f>SUM(CO90:CX90)*Inicio!$W$13</f>
        <v/>
      </c>
      <c r="EC90" s="4">
        <f>SUM(CY90:DH90)*Inicio!$W$11</f>
        <v/>
      </c>
      <c r="ED90" s="4">
        <f>SUM(DI90:DR90)*Inicio!$W$12</f>
        <v/>
      </c>
      <c r="EE90" s="4">
        <f>SUM(C90:DR90)</f>
        <v/>
      </c>
      <c r="EF90" s="4">
        <f>SUM(EE87:EE90)</f>
        <v/>
      </c>
      <c r="EG90" s="4">
        <f>SUM(DS90:ED90)</f>
        <v/>
      </c>
      <c r="EH90" s="4">
        <f>SUM(EG87:EG90)</f>
        <v/>
      </c>
      <c r="EI90" s="4">
        <f>EE90+S!EE90+E!EE90+O!EE90</f>
        <v/>
      </c>
      <c r="EJ90" s="4">
        <f>SUM(EI87:EI90)</f>
        <v/>
      </c>
      <c r="EK90" s="4">
        <f>EG90+S!EG90+E!EG90+O!EG90</f>
        <v/>
      </c>
      <c r="EL90" s="4">
        <f>SUM(EK87:EK90)</f>
        <v/>
      </c>
    </row>
    <row r="91" ht="20.25" customHeight="1">
      <c r="B91" s="28" t="inlineStr">
        <is>
          <t>20:30 - 20:45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4">
        <f>SUM(C91:L91)*Inicio!$W$4</f>
        <v/>
      </c>
      <c r="DT91" s="4">
        <f>SUM(M91:V91)*Inicio!$W$5</f>
        <v/>
      </c>
      <c r="DU91" s="4">
        <f>SUM(W91:AF91)*Inicio!$W$6</f>
        <v/>
      </c>
      <c r="DV91" s="4">
        <f>SUM(AG91:AP91)*Inicio!$W$7</f>
        <v/>
      </c>
      <c r="DW91" s="4">
        <f>SUM(AQ91:AZ91)*Inicio!$W$8</f>
        <v/>
      </c>
      <c r="DX91" s="4">
        <f>SUM(BA91:BJ91)*Inicio!$W$9</f>
        <v/>
      </c>
      <c r="DY91" s="4">
        <f>SUM(BK91:BT91)*Inicio!$W$10</f>
        <v/>
      </c>
      <c r="DZ91" s="4">
        <f>SUM(BU91:CD91)*Inicio!$W$11</f>
        <v/>
      </c>
      <c r="EA91" s="4">
        <f>SUM(CE91:CN91)*Inicio!$W$12</f>
        <v/>
      </c>
      <c r="EB91" s="4">
        <f>SUM(CO91:CX91)*Inicio!$W$13</f>
        <v/>
      </c>
      <c r="EC91" s="4">
        <f>SUM(CY91:DH91)*Inicio!$W$11</f>
        <v/>
      </c>
      <c r="ED91" s="4">
        <f>SUM(DI91:DR91)*Inicio!$W$12</f>
        <v/>
      </c>
      <c r="EE91" s="4">
        <f>SUM(C91:DR91)</f>
        <v/>
      </c>
      <c r="EF91" s="4">
        <f>SUM(EE88:EE91)</f>
        <v/>
      </c>
      <c r="EG91" s="4">
        <f>SUM(DS91:ED91)</f>
        <v/>
      </c>
      <c r="EH91" s="4">
        <f>SUM(EG88:EG91)</f>
        <v/>
      </c>
      <c r="EI91" s="4">
        <f>EE91+S!EE91+E!EE91+O!EE91</f>
        <v/>
      </c>
      <c r="EJ91" s="4">
        <f>SUM(EI88:EI91)</f>
        <v/>
      </c>
      <c r="EK91" s="4">
        <f>EG91+S!EG91+E!EG91+O!EG91</f>
        <v/>
      </c>
      <c r="EL91" s="4">
        <f>SUM(EK88:EK91)</f>
        <v/>
      </c>
    </row>
    <row r="92" ht="20.25" customHeight="1">
      <c r="B92" s="26" t="inlineStr">
        <is>
          <t>20:45 - 21:00</t>
        </is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5">
        <f>SUM(C92:L92)*Inicio!$W$4</f>
        <v/>
      </c>
      <c r="DT92" s="5">
        <f>SUM(M92:V92)*Inicio!$W$5</f>
        <v/>
      </c>
      <c r="DU92" s="5">
        <f>SUM(W92:AF92)*Inicio!$W$6</f>
        <v/>
      </c>
      <c r="DV92" s="5">
        <f>SUM(AG92:AP92)*Inicio!$W$7</f>
        <v/>
      </c>
      <c r="DW92" s="5">
        <f>SUM(AQ92:AZ92)*Inicio!$W$8</f>
        <v/>
      </c>
      <c r="DX92" s="5">
        <f>SUM(BA92:BJ92)*Inicio!$W$9</f>
        <v/>
      </c>
      <c r="DY92" s="5">
        <f>SUM(BK92:BT92)*Inicio!$W$10</f>
        <v/>
      </c>
      <c r="DZ92" s="5">
        <f>SUM(BU92:CD92)*Inicio!$W$11</f>
        <v/>
      </c>
      <c r="EA92" s="5">
        <f>SUM(CE92:CN92)*Inicio!$W$12</f>
        <v/>
      </c>
      <c r="EB92" s="5">
        <f>SUM(CO92:CX92)*Inicio!$W$13</f>
        <v/>
      </c>
      <c r="EC92" s="5">
        <f>SUM(CY92:DH92)*Inicio!$W$11</f>
        <v/>
      </c>
      <c r="ED92" s="5">
        <f>SUM(DI92:DR92)*Inicio!$W$12</f>
        <v/>
      </c>
      <c r="EE92" s="5">
        <f>SUM(C92:DR92)</f>
        <v/>
      </c>
      <c r="EF92" s="5">
        <f>SUM(EE89:EE92)</f>
        <v/>
      </c>
      <c r="EG92" s="5">
        <f>SUM(DS92:ED92)</f>
        <v/>
      </c>
      <c r="EH92" s="5">
        <f>SUM(EG89:EG92)</f>
        <v/>
      </c>
      <c r="EI92" s="5">
        <f>EE92+S!EE92+E!EE92+O!EE92</f>
        <v/>
      </c>
      <c r="EJ92" s="5">
        <f>SUM(EI89:EI92)</f>
        <v/>
      </c>
      <c r="EK92" s="5">
        <f>EG92+S!EG92+E!EG92+O!EG92</f>
        <v/>
      </c>
      <c r="EL92" s="5">
        <f>SUM(EK89:EK92)</f>
        <v/>
      </c>
    </row>
    <row r="93" ht="20.25" customHeight="1">
      <c r="B93" s="27" t="inlineStr">
        <is>
          <t>21:00 - 21:15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  <c r="CE93" s="20" t="n"/>
      <c r="CF93" s="20" t="n"/>
      <c r="CG93" s="20" t="n"/>
      <c r="CH93" s="20" t="n"/>
      <c r="CI93" s="20" t="n"/>
      <c r="CJ93" s="20" t="n"/>
      <c r="CK93" s="20" t="n"/>
      <c r="CL93" s="20" t="n"/>
      <c r="CM93" s="20" t="n"/>
      <c r="CN93" s="20" t="n"/>
      <c r="CO93" s="20" t="n"/>
      <c r="CP93" s="20" t="n"/>
      <c r="CQ93" s="20" t="n"/>
      <c r="CR93" s="20" t="n"/>
      <c r="CS93" s="20" t="n"/>
      <c r="CT93" s="20" t="n"/>
      <c r="CU93" s="20" t="n"/>
      <c r="CV93" s="20" t="n"/>
      <c r="CW93" s="20" t="n"/>
      <c r="CX93" s="20" t="n"/>
      <c r="CY93" s="20" t="n"/>
      <c r="CZ93" s="20" t="n"/>
      <c r="DA93" s="20" t="n"/>
      <c r="DB93" s="20" t="n"/>
      <c r="DC93" s="20" t="n"/>
      <c r="DD93" s="20" t="n"/>
      <c r="DE93" s="20" t="n"/>
      <c r="DF93" s="20" t="n"/>
      <c r="DG93" s="20" t="n"/>
      <c r="DH93" s="20" t="n"/>
      <c r="DI93" s="20" t="n"/>
      <c r="DJ93" s="20" t="n"/>
      <c r="DK93" s="20" t="n"/>
      <c r="DL93" s="20" t="n"/>
      <c r="DM93" s="20" t="n"/>
      <c r="DN93" s="20" t="n"/>
      <c r="DO93" s="20" t="n"/>
      <c r="DP93" s="20" t="n"/>
      <c r="DQ93" s="20" t="n"/>
      <c r="DR93" s="20" t="n"/>
      <c r="DS93" s="3">
        <f>SUM(C93:L93)*Inicio!$W$4</f>
        <v/>
      </c>
      <c r="DT93" s="3">
        <f>SUM(M93:V93)*Inicio!$W$5</f>
        <v/>
      </c>
      <c r="DU93" s="3">
        <f>SUM(W93:AF93)*Inicio!$W$6</f>
        <v/>
      </c>
      <c r="DV93" s="3">
        <f>SUM(AG93:AP93)*Inicio!$W$7</f>
        <v/>
      </c>
      <c r="DW93" s="3">
        <f>SUM(AQ93:AZ93)*Inicio!$W$8</f>
        <v/>
      </c>
      <c r="DX93" s="3">
        <f>SUM(BA93:BJ93)*Inicio!$W$9</f>
        <v/>
      </c>
      <c r="DY93" s="3">
        <f>SUM(BK93:BT93)*Inicio!$W$10</f>
        <v/>
      </c>
      <c r="DZ93" s="3">
        <f>SUM(BU93:CD93)*Inicio!$W$11</f>
        <v/>
      </c>
      <c r="EA93" s="3">
        <f>SUM(CE93:CN93)*Inicio!$W$12</f>
        <v/>
      </c>
      <c r="EB93" s="3">
        <f>SUM(CO93:CX93)*Inicio!$W$13</f>
        <v/>
      </c>
      <c r="EC93" s="3">
        <f>SUM(CY93:DH93)*Inicio!$W$11</f>
        <v/>
      </c>
      <c r="ED93" s="3">
        <f>SUM(DI93:DR93)*Inicio!$W$12</f>
        <v/>
      </c>
      <c r="EE93" s="3">
        <f>SUM(C93:DR93)</f>
        <v/>
      </c>
      <c r="EF93" s="3">
        <f>SUM(EE90:EE93)</f>
        <v/>
      </c>
      <c r="EG93" s="3">
        <f>SUM(DS93:ED93)</f>
        <v/>
      </c>
      <c r="EH93" s="3">
        <f>SUM(EG90:EG93)</f>
        <v/>
      </c>
      <c r="EI93" s="3">
        <f>EE93+S!EE93+E!EE93+O!EE93</f>
        <v/>
      </c>
      <c r="EJ93" s="3">
        <f>SUM(EI90:EI93)</f>
        <v/>
      </c>
      <c r="EK93" s="3">
        <f>EG93+S!EG93+E!EG93+O!EG93</f>
        <v/>
      </c>
      <c r="EL93" s="3">
        <f>SUM(EK90:EK93)</f>
        <v/>
      </c>
    </row>
    <row r="94" ht="20.25" customHeight="1">
      <c r="B94" s="28" t="inlineStr">
        <is>
          <t>21:15 - 21:30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4">
        <f>SUM(C94:L94)*Inicio!$W$4</f>
        <v/>
      </c>
      <c r="DT94" s="4">
        <f>SUM(M94:V94)*Inicio!$W$5</f>
        <v/>
      </c>
      <c r="DU94" s="4">
        <f>SUM(W94:AF94)*Inicio!$W$6</f>
        <v/>
      </c>
      <c r="DV94" s="4">
        <f>SUM(AG94:AP94)*Inicio!$W$7</f>
        <v/>
      </c>
      <c r="DW94" s="4">
        <f>SUM(AQ94:AZ94)*Inicio!$W$8</f>
        <v/>
      </c>
      <c r="DX94" s="4">
        <f>SUM(BA94:BJ94)*Inicio!$W$9</f>
        <v/>
      </c>
      <c r="DY94" s="4">
        <f>SUM(BK94:BT94)*Inicio!$W$10</f>
        <v/>
      </c>
      <c r="DZ94" s="4">
        <f>SUM(BU94:CD94)*Inicio!$W$11</f>
        <v/>
      </c>
      <c r="EA94" s="4">
        <f>SUM(CE94:CN94)*Inicio!$W$12</f>
        <v/>
      </c>
      <c r="EB94" s="4">
        <f>SUM(CO94:CX94)*Inicio!$W$13</f>
        <v/>
      </c>
      <c r="EC94" s="4">
        <f>SUM(CY94:DH94)*Inicio!$W$11</f>
        <v/>
      </c>
      <c r="ED94" s="4">
        <f>SUM(DI94:DR94)*Inicio!$W$12</f>
        <v/>
      </c>
      <c r="EE94" s="4">
        <f>SUM(C94:DR94)</f>
        <v/>
      </c>
      <c r="EF94" s="4">
        <f>SUM(EE91:EE94)</f>
        <v/>
      </c>
      <c r="EG94" s="4">
        <f>SUM(DS94:ED94)</f>
        <v/>
      </c>
      <c r="EH94" s="4">
        <f>SUM(EG91:EG94)</f>
        <v/>
      </c>
      <c r="EI94" s="4">
        <f>EE94+S!EE94+E!EE94+O!EE94</f>
        <v/>
      </c>
      <c r="EJ94" s="4">
        <f>SUM(EI91:EI94)</f>
        <v/>
      </c>
      <c r="EK94" s="4">
        <f>EG94+S!EG94+E!EG94+O!EG94</f>
        <v/>
      </c>
      <c r="EL94" s="4">
        <f>SUM(EK91:EK94)</f>
        <v/>
      </c>
    </row>
    <row r="95" ht="20.25" customHeight="1">
      <c r="B95" s="28" t="inlineStr">
        <is>
          <t>21:30 - 21:45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4">
        <f>SUM(C95:L95)*Inicio!$W$4</f>
        <v/>
      </c>
      <c r="DT95" s="4">
        <f>SUM(M95:V95)*Inicio!$W$5</f>
        <v/>
      </c>
      <c r="DU95" s="4">
        <f>SUM(W95:AF95)*Inicio!$W$6</f>
        <v/>
      </c>
      <c r="DV95" s="4">
        <f>SUM(AG95:AP95)*Inicio!$W$7</f>
        <v/>
      </c>
      <c r="DW95" s="4">
        <f>SUM(AQ95:AZ95)*Inicio!$W$8</f>
        <v/>
      </c>
      <c r="DX95" s="4">
        <f>SUM(BA95:BJ95)*Inicio!$W$9</f>
        <v/>
      </c>
      <c r="DY95" s="4">
        <f>SUM(BK95:BT95)*Inicio!$W$10</f>
        <v/>
      </c>
      <c r="DZ95" s="4">
        <f>SUM(BU95:CD95)*Inicio!$W$11</f>
        <v/>
      </c>
      <c r="EA95" s="4">
        <f>SUM(CE95:CN95)*Inicio!$W$12</f>
        <v/>
      </c>
      <c r="EB95" s="4">
        <f>SUM(CO95:CX95)*Inicio!$W$13</f>
        <v/>
      </c>
      <c r="EC95" s="4">
        <f>SUM(CY95:DH95)*Inicio!$W$11</f>
        <v/>
      </c>
      <c r="ED95" s="4">
        <f>SUM(DI95:DR95)*Inicio!$W$12</f>
        <v/>
      </c>
      <c r="EE95" s="4">
        <f>SUM(C95:DR95)</f>
        <v/>
      </c>
      <c r="EF95" s="4">
        <f>SUM(EE92:EE95)</f>
        <v/>
      </c>
      <c r="EG95" s="4">
        <f>SUM(DS95:ED95)</f>
        <v/>
      </c>
      <c r="EH95" s="4">
        <f>SUM(EG92:EG95)</f>
        <v/>
      </c>
      <c r="EI95" s="4">
        <f>EE95+S!EE95+E!EE95+O!EE95</f>
        <v/>
      </c>
      <c r="EJ95" s="4">
        <f>SUM(EI92:EI95)</f>
        <v/>
      </c>
      <c r="EK95" s="4">
        <f>EG95+S!EG95+E!EG95+O!EG95</f>
        <v/>
      </c>
      <c r="EL95" s="4">
        <f>SUM(EK92:EK95)</f>
        <v/>
      </c>
    </row>
    <row r="96" ht="20.25" customHeight="1">
      <c r="B96" s="26" t="inlineStr">
        <is>
          <t>21:45 - 22:00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5">
        <f>SUM(C96:L96)*Inicio!$W$4</f>
        <v/>
      </c>
      <c r="DT96" s="5">
        <f>SUM(M96:V96)*Inicio!$W$5</f>
        <v/>
      </c>
      <c r="DU96" s="5">
        <f>SUM(W96:AF96)*Inicio!$W$6</f>
        <v/>
      </c>
      <c r="DV96" s="5">
        <f>SUM(AG96:AP96)*Inicio!$W$7</f>
        <v/>
      </c>
      <c r="DW96" s="5">
        <f>SUM(AQ96:AZ96)*Inicio!$W$8</f>
        <v/>
      </c>
      <c r="DX96" s="5">
        <f>SUM(BA96:BJ96)*Inicio!$W$9</f>
        <v/>
      </c>
      <c r="DY96" s="5">
        <f>SUM(BK96:BT96)*Inicio!$W$10</f>
        <v/>
      </c>
      <c r="DZ96" s="5">
        <f>SUM(BU96:CD96)*Inicio!$W$11</f>
        <v/>
      </c>
      <c r="EA96" s="5">
        <f>SUM(CE96:CN96)*Inicio!$W$12</f>
        <v/>
      </c>
      <c r="EB96" s="5">
        <f>SUM(CO96:CX96)*Inicio!$W$13</f>
        <v/>
      </c>
      <c r="EC96" s="5">
        <f>SUM(CY96:DH96)*Inicio!$W$11</f>
        <v/>
      </c>
      <c r="ED96" s="5">
        <f>SUM(DI96:DR96)*Inicio!$W$12</f>
        <v/>
      </c>
      <c r="EE96" s="5">
        <f>SUM(C96:DR96)</f>
        <v/>
      </c>
      <c r="EF96" s="5">
        <f>SUM(EE93:EE96)</f>
        <v/>
      </c>
      <c r="EG96" s="5">
        <f>SUM(DS96:ED96)</f>
        <v/>
      </c>
      <c r="EH96" s="5">
        <f>SUM(EG93:EG96)</f>
        <v/>
      </c>
      <c r="EI96" s="5">
        <f>EE96+S!EE96+E!EE96+O!EE96</f>
        <v/>
      </c>
      <c r="EJ96" s="5">
        <f>SUM(EI93:EI96)</f>
        <v/>
      </c>
      <c r="EK96" s="5">
        <f>EG96+S!EG96+E!EG96+O!EG96</f>
        <v/>
      </c>
      <c r="EL96" s="5">
        <f>SUM(EK93:EK96)</f>
        <v/>
      </c>
    </row>
    <row r="97" ht="20.25" customHeight="1">
      <c r="B97" s="27" t="inlineStr">
        <is>
          <t>22:00 - 22:15</t>
        </is>
      </c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/>
      <c r="BT97" s="20" t="n"/>
      <c r="BU97" s="20" t="n"/>
      <c r="BV97" s="20" t="n"/>
      <c r="BW97" s="20" t="n"/>
      <c r="BX97" s="20" t="n"/>
      <c r="BY97" s="20" t="n"/>
      <c r="BZ97" s="20" t="n"/>
      <c r="CA97" s="20" t="n"/>
      <c r="CB97" s="20" t="n"/>
      <c r="CC97" s="20" t="n"/>
      <c r="CD97" s="20" t="n"/>
      <c r="CE97" s="20" t="n"/>
      <c r="CF97" s="20" t="n"/>
      <c r="CG97" s="20" t="n"/>
      <c r="CH97" s="20" t="n"/>
      <c r="CI97" s="20" t="n"/>
      <c r="CJ97" s="20" t="n"/>
      <c r="CK97" s="20" t="n"/>
      <c r="CL97" s="20" t="n"/>
      <c r="CM97" s="20" t="n"/>
      <c r="CN97" s="20" t="n"/>
      <c r="CO97" s="20" t="n"/>
      <c r="CP97" s="20" t="n"/>
      <c r="CQ97" s="20" t="n"/>
      <c r="CR97" s="20" t="n"/>
      <c r="CS97" s="20" t="n"/>
      <c r="CT97" s="20" t="n"/>
      <c r="CU97" s="20" t="n"/>
      <c r="CV97" s="20" t="n"/>
      <c r="CW97" s="20" t="n"/>
      <c r="CX97" s="20" t="n"/>
      <c r="CY97" s="20" t="n"/>
      <c r="CZ97" s="20" t="n"/>
      <c r="DA97" s="20" t="n"/>
      <c r="DB97" s="20" t="n"/>
      <c r="DC97" s="20" t="n"/>
      <c r="DD97" s="20" t="n"/>
      <c r="DE97" s="20" t="n"/>
      <c r="DF97" s="20" t="n"/>
      <c r="DG97" s="20" t="n"/>
      <c r="DH97" s="20" t="n"/>
      <c r="DI97" s="20" t="n"/>
      <c r="DJ97" s="20" t="n"/>
      <c r="DK97" s="20" t="n"/>
      <c r="DL97" s="20" t="n"/>
      <c r="DM97" s="20" t="n"/>
      <c r="DN97" s="20" t="n"/>
      <c r="DO97" s="20" t="n"/>
      <c r="DP97" s="20" t="n"/>
      <c r="DQ97" s="20" t="n"/>
      <c r="DR97" s="20" t="n"/>
      <c r="DS97" s="3">
        <f>SUM(C97:L97)*Inicio!$W$4</f>
        <v/>
      </c>
      <c r="DT97" s="3">
        <f>SUM(M97:V97)*Inicio!$W$5</f>
        <v/>
      </c>
      <c r="DU97" s="3">
        <f>SUM(W97:AF97)*Inicio!$W$6</f>
        <v/>
      </c>
      <c r="DV97" s="3">
        <f>SUM(AG97:AP97)*Inicio!$W$7</f>
        <v/>
      </c>
      <c r="DW97" s="3">
        <f>SUM(AQ97:AZ97)*Inicio!$W$8</f>
        <v/>
      </c>
      <c r="DX97" s="3">
        <f>SUM(BA97:BJ97)*Inicio!$W$9</f>
        <v/>
      </c>
      <c r="DY97" s="3">
        <f>SUM(BK97:BT97)*Inicio!$W$10</f>
        <v/>
      </c>
      <c r="DZ97" s="3">
        <f>SUM(BU97:CD97)*Inicio!$W$11</f>
        <v/>
      </c>
      <c r="EA97" s="3">
        <f>SUM(CE97:CN97)*Inicio!$W$12</f>
        <v/>
      </c>
      <c r="EB97" s="3">
        <f>SUM(CO97:CX97)*Inicio!$W$13</f>
        <v/>
      </c>
      <c r="EC97" s="3">
        <f>SUM(CY97:DH97)*Inicio!$W$11</f>
        <v/>
      </c>
      <c r="ED97" s="3">
        <f>SUM(DI97:DR97)*Inicio!$W$12</f>
        <v/>
      </c>
      <c r="EE97" s="3">
        <f>SUM(C97:DR97)</f>
        <v/>
      </c>
      <c r="EF97" s="3">
        <f>SUM(EE94:EE97)</f>
        <v/>
      </c>
      <c r="EG97" s="3">
        <f>SUM(DS97:ED97)</f>
        <v/>
      </c>
      <c r="EH97" s="3">
        <f>SUM(EG94:EG97)</f>
        <v/>
      </c>
      <c r="EI97" s="3">
        <f>EE97+S!EE97+E!EE97+O!EE97</f>
        <v/>
      </c>
      <c r="EJ97" s="3">
        <f>SUM(EI94:EI97)</f>
        <v/>
      </c>
      <c r="EK97" s="3">
        <f>EG97+S!EG97+E!EG97+O!EG97</f>
        <v/>
      </c>
      <c r="EL97" s="3">
        <f>SUM(EK94:EK97)</f>
        <v/>
      </c>
    </row>
    <row r="98" ht="20.25" customHeight="1">
      <c r="B98" s="28" t="inlineStr">
        <is>
          <t>22:15 - 22:30</t>
        </is>
      </c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4">
        <f>SUM(C98:L98)*Inicio!$W$4</f>
        <v/>
      </c>
      <c r="DT98" s="4">
        <f>SUM(M98:V98)*Inicio!$W$5</f>
        <v/>
      </c>
      <c r="DU98" s="4">
        <f>SUM(W98:AF98)*Inicio!$W$6</f>
        <v/>
      </c>
      <c r="DV98" s="4">
        <f>SUM(AG98:AP98)*Inicio!$W$7</f>
        <v/>
      </c>
      <c r="DW98" s="4">
        <f>SUM(AQ98:AZ98)*Inicio!$W$8</f>
        <v/>
      </c>
      <c r="DX98" s="4">
        <f>SUM(BA98:BJ98)*Inicio!$W$9</f>
        <v/>
      </c>
      <c r="DY98" s="4">
        <f>SUM(BK98:BT98)*Inicio!$W$10</f>
        <v/>
      </c>
      <c r="DZ98" s="4">
        <f>SUM(BU98:CD98)*Inicio!$W$11</f>
        <v/>
      </c>
      <c r="EA98" s="4">
        <f>SUM(CE98:CN98)*Inicio!$W$12</f>
        <v/>
      </c>
      <c r="EB98" s="4">
        <f>SUM(CO98:CX98)*Inicio!$W$13</f>
        <v/>
      </c>
      <c r="EC98" s="4">
        <f>SUM(CY98:DH98)*Inicio!$W$11</f>
        <v/>
      </c>
      <c r="ED98" s="4">
        <f>SUM(DI98:DR98)*Inicio!$W$12</f>
        <v/>
      </c>
      <c r="EE98" s="4">
        <f>SUM(C98:DR98)</f>
        <v/>
      </c>
      <c r="EF98" s="4">
        <f>SUM(EE95:EE98)</f>
        <v/>
      </c>
      <c r="EG98" s="4">
        <f>SUM(DS98:ED98)</f>
        <v/>
      </c>
      <c r="EH98" s="4">
        <f>SUM(EG95:EG98)</f>
        <v/>
      </c>
      <c r="EI98" s="4">
        <f>EE98+S!EE98+E!EE98+O!EE98</f>
        <v/>
      </c>
      <c r="EJ98" s="4">
        <f>SUM(EI95:EI98)</f>
        <v/>
      </c>
      <c r="EK98" s="4">
        <f>EG98+S!EG98+E!EG98+O!EG98</f>
        <v/>
      </c>
      <c r="EL98" s="4">
        <f>SUM(EK95:EK98)</f>
        <v/>
      </c>
    </row>
    <row r="99" ht="20.25" customHeight="1">
      <c r="B99" s="28" t="inlineStr">
        <is>
          <t>22:30 - 22:45</t>
        </is>
      </c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4">
        <f>SUM(C99:L99)*Inicio!$W$4</f>
        <v/>
      </c>
      <c r="DT99" s="4">
        <f>SUM(M99:V99)*Inicio!$W$5</f>
        <v/>
      </c>
      <c r="DU99" s="4">
        <f>SUM(W99:AF99)*Inicio!$W$6</f>
        <v/>
      </c>
      <c r="DV99" s="4">
        <f>SUM(AG99:AP99)*Inicio!$W$7</f>
        <v/>
      </c>
      <c r="DW99" s="4">
        <f>SUM(AQ99:AZ99)*Inicio!$W$8</f>
        <v/>
      </c>
      <c r="DX99" s="4">
        <f>SUM(BA99:BJ99)*Inicio!$W$9</f>
        <v/>
      </c>
      <c r="DY99" s="4">
        <f>SUM(BK99:BT99)*Inicio!$W$10</f>
        <v/>
      </c>
      <c r="DZ99" s="4">
        <f>SUM(BU99:CD99)*Inicio!$W$11</f>
        <v/>
      </c>
      <c r="EA99" s="4">
        <f>SUM(CE99:CN99)*Inicio!$W$12</f>
        <v/>
      </c>
      <c r="EB99" s="4">
        <f>SUM(CO99:CX99)*Inicio!$W$13</f>
        <v/>
      </c>
      <c r="EC99" s="4">
        <f>SUM(CY99:DH99)*Inicio!$W$11</f>
        <v/>
      </c>
      <c r="ED99" s="4">
        <f>SUM(DI99:DR99)*Inicio!$W$12</f>
        <v/>
      </c>
      <c r="EE99" s="4">
        <f>SUM(C99:DR99)</f>
        <v/>
      </c>
      <c r="EF99" s="4">
        <f>SUM(EE96:EE99)</f>
        <v/>
      </c>
      <c r="EG99" s="4">
        <f>SUM(DS99:ED99)</f>
        <v/>
      </c>
      <c r="EH99" s="4">
        <f>SUM(EG96:EG99)</f>
        <v/>
      </c>
      <c r="EI99" s="4">
        <f>EE99+S!EE99+E!EE99+O!EE99</f>
        <v/>
      </c>
      <c r="EJ99" s="4">
        <f>SUM(EI96:EI99)</f>
        <v/>
      </c>
      <c r="EK99" s="4">
        <f>EG99+S!EG99+E!EG99+O!EG99</f>
        <v/>
      </c>
      <c r="EL99" s="4">
        <f>SUM(EK96:EK99)</f>
        <v/>
      </c>
    </row>
    <row r="100" ht="20.25" customHeight="1">
      <c r="B100" s="26" t="inlineStr">
        <is>
          <t>22:45 - 23:00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5">
        <f>SUM(C100:L100)*Inicio!$W$4</f>
        <v/>
      </c>
      <c r="DT100" s="5">
        <f>SUM(M100:V100)*Inicio!$W$5</f>
        <v/>
      </c>
      <c r="DU100" s="5">
        <f>SUM(W100:AF100)*Inicio!$W$6</f>
        <v/>
      </c>
      <c r="DV100" s="5">
        <f>SUM(AG100:AP100)*Inicio!$W$7</f>
        <v/>
      </c>
      <c r="DW100" s="5">
        <f>SUM(AQ100:AZ100)*Inicio!$W$8</f>
        <v/>
      </c>
      <c r="DX100" s="5">
        <f>SUM(BA100:BJ100)*Inicio!$W$9</f>
        <v/>
      </c>
      <c r="DY100" s="5">
        <f>SUM(BK100:BT100)*Inicio!$W$10</f>
        <v/>
      </c>
      <c r="DZ100" s="5">
        <f>SUM(BU100:CD100)*Inicio!$W$11</f>
        <v/>
      </c>
      <c r="EA100" s="5">
        <f>SUM(CE100:CN100)*Inicio!$W$12</f>
        <v/>
      </c>
      <c r="EB100" s="5">
        <f>SUM(CO100:CX100)*Inicio!$W$13</f>
        <v/>
      </c>
      <c r="EC100" s="5">
        <f>SUM(CY100:DH100)*Inicio!$W$11</f>
        <v/>
      </c>
      <c r="ED100" s="5">
        <f>SUM(DI100:DR100)*Inicio!$W$12</f>
        <v/>
      </c>
      <c r="EE100" s="5">
        <f>SUM(C100:DR100)</f>
        <v/>
      </c>
      <c r="EF100" s="5">
        <f>SUM(EE97:EE100)</f>
        <v/>
      </c>
      <c r="EG100" s="5">
        <f>SUM(DS100:ED100)</f>
        <v/>
      </c>
      <c r="EH100" s="5">
        <f>SUM(EG97:EG100)</f>
        <v/>
      </c>
      <c r="EI100" s="5">
        <f>EE100+S!EE100+E!EE100+O!EE100</f>
        <v/>
      </c>
      <c r="EJ100" s="5">
        <f>SUM(EI97:EI100)</f>
        <v/>
      </c>
      <c r="EK100" s="5">
        <f>EG100+S!EG100+E!EG100+O!EG100</f>
        <v/>
      </c>
      <c r="EL100" s="5">
        <f>SUM(EK97:EK100)</f>
        <v/>
      </c>
    </row>
    <row r="101" ht="20.25" customHeight="1">
      <c r="B101" s="23" t="inlineStr">
        <is>
          <t>23:00 - 23:15</t>
        </is>
      </c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/>
      <c r="CA101" s="20" t="n"/>
      <c r="CB101" s="20" t="n"/>
      <c r="CC101" s="20" t="n"/>
      <c r="CD101" s="20" t="n"/>
      <c r="CE101" s="20" t="n"/>
      <c r="CF101" s="20" t="n"/>
      <c r="CG101" s="20" t="n"/>
      <c r="CH101" s="20" t="n"/>
      <c r="CI101" s="20" t="n"/>
      <c r="CJ101" s="20" t="n"/>
      <c r="CK101" s="20" t="n"/>
      <c r="CL101" s="20" t="n"/>
      <c r="CM101" s="20" t="n"/>
      <c r="CN101" s="20" t="n"/>
      <c r="CO101" s="20" t="n"/>
      <c r="CP101" s="20" t="n"/>
      <c r="CQ101" s="20" t="n"/>
      <c r="CR101" s="20" t="n"/>
      <c r="CS101" s="20" t="n"/>
      <c r="CT101" s="20" t="n"/>
      <c r="CU101" s="20" t="n"/>
      <c r="CV101" s="20" t="n"/>
      <c r="CW101" s="20" t="n"/>
      <c r="CX101" s="20" t="n"/>
      <c r="CY101" s="20" t="n"/>
      <c r="CZ101" s="20" t="n"/>
      <c r="DA101" s="20" t="n"/>
      <c r="DB101" s="20" t="n"/>
      <c r="DC101" s="20" t="n"/>
      <c r="DD101" s="20" t="n"/>
      <c r="DE101" s="20" t="n"/>
      <c r="DF101" s="20" t="n"/>
      <c r="DG101" s="20" t="n"/>
      <c r="DH101" s="20" t="n"/>
      <c r="DI101" s="20" t="n"/>
      <c r="DJ101" s="20" t="n"/>
      <c r="DK101" s="20" t="n"/>
      <c r="DL101" s="20" t="n"/>
      <c r="DM101" s="20" t="n"/>
      <c r="DN101" s="20" t="n"/>
      <c r="DO101" s="20" t="n"/>
      <c r="DP101" s="20" t="n"/>
      <c r="DQ101" s="20" t="n"/>
      <c r="DR101" s="20" t="n"/>
      <c r="DS101" s="4">
        <f>SUM(C101:L101)*Inicio!$W$4</f>
        <v/>
      </c>
      <c r="DT101" s="4">
        <f>SUM(M101:V101)*Inicio!$W$5</f>
        <v/>
      </c>
      <c r="DU101" s="4">
        <f>SUM(W101:AF101)*Inicio!$W$6</f>
        <v/>
      </c>
      <c r="DV101" s="4">
        <f>SUM(AG101:AP101)*Inicio!$W$7</f>
        <v/>
      </c>
      <c r="DW101" s="4">
        <f>SUM(AQ101:AZ101)*Inicio!$W$8</f>
        <v/>
      </c>
      <c r="DX101" s="4">
        <f>SUM(BA101:BJ101)*Inicio!$W$9</f>
        <v/>
      </c>
      <c r="DY101" s="4">
        <f>SUM(BK101:BT101)*Inicio!$W$10</f>
        <v/>
      </c>
      <c r="DZ101" s="4">
        <f>SUM(BU101:CD101)*Inicio!$W$11</f>
        <v/>
      </c>
      <c r="EA101" s="4">
        <f>SUM(CE101:CN101)*Inicio!$W$12</f>
        <v/>
      </c>
      <c r="EB101" s="4">
        <f>SUM(CO101:CX101)*Inicio!$W$13</f>
        <v/>
      </c>
      <c r="EC101" s="4">
        <f>SUM(CY101:DH101)*Inicio!$W$11</f>
        <v/>
      </c>
      <c r="ED101" s="4">
        <f>SUM(DI101:DR101)*Inicio!$W$12</f>
        <v/>
      </c>
      <c r="EE101" s="4">
        <f>SUM(C101:DR101)</f>
        <v/>
      </c>
      <c r="EF101" s="4">
        <f>SUM(EE98:EE101)</f>
        <v/>
      </c>
      <c r="EG101" s="4">
        <f>SUM(DS101:ED101)</f>
        <v/>
      </c>
      <c r="EH101" s="4">
        <f>SUM(EG98:EG101)</f>
        <v/>
      </c>
      <c r="EI101" s="4">
        <f>EE101+S!EE101+E!EE101+O!EE101</f>
        <v/>
      </c>
      <c r="EJ101" s="4">
        <f>SUM(EI98:EI101)</f>
        <v/>
      </c>
      <c r="EK101" s="4">
        <f>EG101+S!EG101+E!EG101+O!EG101</f>
        <v/>
      </c>
      <c r="EL101" s="4">
        <f>SUM(EK98:EK101)</f>
        <v/>
      </c>
    </row>
    <row r="102" ht="20.25" customHeight="1">
      <c r="B102" s="24" t="inlineStr">
        <is>
          <t>23:15 - 23:30</t>
        </is>
      </c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4">
        <f>SUM(C102:L102)*Inicio!$W$4</f>
        <v/>
      </c>
      <c r="DT102" s="4">
        <f>SUM(M102:V102)*Inicio!$W$5</f>
        <v/>
      </c>
      <c r="DU102" s="4">
        <f>SUM(W102:AF102)*Inicio!$W$6</f>
        <v/>
      </c>
      <c r="DV102" s="4">
        <f>SUM(AG102:AP102)*Inicio!$W$7</f>
        <v/>
      </c>
      <c r="DW102" s="4">
        <f>SUM(AQ102:AZ102)*Inicio!$W$8</f>
        <v/>
      </c>
      <c r="DX102" s="4">
        <f>SUM(BA102:BJ102)*Inicio!$W$9</f>
        <v/>
      </c>
      <c r="DY102" s="4">
        <f>SUM(BK102:BT102)*Inicio!$W$10</f>
        <v/>
      </c>
      <c r="DZ102" s="4">
        <f>SUM(BU102:CD102)*Inicio!$W$11</f>
        <v/>
      </c>
      <c r="EA102" s="4">
        <f>SUM(CE102:CN102)*Inicio!$W$12</f>
        <v/>
      </c>
      <c r="EB102" s="4">
        <f>SUM(CO102:CX102)*Inicio!$W$13</f>
        <v/>
      </c>
      <c r="EC102" s="4">
        <f>SUM(CY102:DH102)*Inicio!$W$11</f>
        <v/>
      </c>
      <c r="ED102" s="4">
        <f>SUM(DI102:DR102)*Inicio!$W$12</f>
        <v/>
      </c>
      <c r="EE102" s="4">
        <f>SUM(C102:DR102)</f>
        <v/>
      </c>
      <c r="EF102" s="4">
        <f>SUM(EE99:EE102)</f>
        <v/>
      </c>
      <c r="EG102" s="4">
        <f>SUM(DS102:ED102)</f>
        <v/>
      </c>
      <c r="EH102" s="4">
        <f>SUM(EG99:EG102)</f>
        <v/>
      </c>
      <c r="EI102" s="4">
        <f>EE102+S!EE102+E!EE102+O!EE102</f>
        <v/>
      </c>
      <c r="EJ102" s="4">
        <f>SUM(EI99:EI102)</f>
        <v/>
      </c>
      <c r="EK102" s="4">
        <f>EG102+S!EG102+E!EG102+O!EG102</f>
        <v/>
      </c>
      <c r="EL102" s="4">
        <f>SUM(EK99:EK102)</f>
        <v/>
      </c>
    </row>
    <row r="103" ht="20.25" customHeight="1">
      <c r="B103" s="24" t="inlineStr">
        <is>
          <t>23:30 - 23:45</t>
        </is>
      </c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4">
        <f>SUM(C103:L103)*Inicio!$W$4</f>
        <v/>
      </c>
      <c r="DT103" s="4">
        <f>SUM(M103:V103)*Inicio!$W$5</f>
        <v/>
      </c>
      <c r="DU103" s="4">
        <f>SUM(W103:AF103)*Inicio!$W$6</f>
        <v/>
      </c>
      <c r="DV103" s="4">
        <f>SUM(AG103:AP103)*Inicio!$W$7</f>
        <v/>
      </c>
      <c r="DW103" s="4">
        <f>SUM(AQ103:AZ103)*Inicio!$W$8</f>
        <v/>
      </c>
      <c r="DX103" s="4">
        <f>SUM(BA103:BJ103)*Inicio!$W$9</f>
        <v/>
      </c>
      <c r="DY103" s="4">
        <f>SUM(BK103:BT103)*Inicio!$W$10</f>
        <v/>
      </c>
      <c r="DZ103" s="4">
        <f>SUM(BU103:CD103)*Inicio!$W$11</f>
        <v/>
      </c>
      <c r="EA103" s="4">
        <f>SUM(CE103:CN103)*Inicio!$W$12</f>
        <v/>
      </c>
      <c r="EB103" s="4">
        <f>SUM(CO103:CX103)*Inicio!$W$13</f>
        <v/>
      </c>
      <c r="EC103" s="4">
        <f>SUM(CY103:DH103)*Inicio!$W$11</f>
        <v/>
      </c>
      <c r="ED103" s="4">
        <f>SUM(DI103:DR103)*Inicio!$W$12</f>
        <v/>
      </c>
      <c r="EE103" s="4">
        <f>SUM(C103:DR103)</f>
        <v/>
      </c>
      <c r="EF103" s="4">
        <f>SUM(EE100:EE103)</f>
        <v/>
      </c>
      <c r="EG103" s="4">
        <f>SUM(DS103:ED103)</f>
        <v/>
      </c>
      <c r="EH103" s="4">
        <f>SUM(EG100:EG103)</f>
        <v/>
      </c>
      <c r="EI103" s="4">
        <f>EE103+S!EE103+E!EE103+O!EE103</f>
        <v/>
      </c>
      <c r="EJ103" s="4">
        <f>SUM(EI100:EI103)</f>
        <v/>
      </c>
      <c r="EK103" s="4">
        <f>EG103+S!EG103+E!EG103+O!EG103</f>
        <v/>
      </c>
      <c r="EL103" s="4">
        <f>SUM(EK100:EK103)</f>
        <v/>
      </c>
    </row>
    <row r="104" ht="20.25" customHeight="1">
      <c r="B104" s="25" t="inlineStr">
        <is>
          <t>23:45 - 24:00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5">
        <f>SUM(C104:L104)*Inicio!$W$4</f>
        <v/>
      </c>
      <c r="DT104" s="5">
        <f>SUM(M104:V104)*Inicio!$W$5</f>
        <v/>
      </c>
      <c r="DU104" s="5">
        <f>SUM(W104:AF104)*Inicio!$W$6</f>
        <v/>
      </c>
      <c r="DV104" s="5">
        <f>SUM(AG104:AP104)*Inicio!$W$7</f>
        <v/>
      </c>
      <c r="DW104" s="5">
        <f>SUM(AQ104:AZ104)*Inicio!$W$8</f>
        <v/>
      </c>
      <c r="DX104" s="5">
        <f>SUM(BA104:BJ104)*Inicio!$W$9</f>
        <v/>
      </c>
      <c r="DY104" s="5">
        <f>SUM(BK104:BT104)*Inicio!$W$10</f>
        <v/>
      </c>
      <c r="DZ104" s="5">
        <f>SUM(BU104:CD104)*Inicio!$W$11</f>
        <v/>
      </c>
      <c r="EA104" s="5">
        <f>SUM(CE104:CN104)*Inicio!$W$12</f>
        <v/>
      </c>
      <c r="EB104" s="5">
        <f>SUM(CO104:CX104)*Inicio!$W$13</f>
        <v/>
      </c>
      <c r="EC104" s="5">
        <f>SUM(CY104:DH104)*Inicio!$W$11</f>
        <v/>
      </c>
      <c r="ED104" s="5">
        <f>SUM(DI104:DR104)*Inicio!$W$12</f>
        <v/>
      </c>
      <c r="EE104" s="5">
        <f>SUM(C104:DR104)</f>
        <v/>
      </c>
      <c r="EF104" s="5">
        <f>SUM(EE101:EE104)</f>
        <v/>
      </c>
      <c r="EG104" s="5">
        <f>SUM(DS104:ED104)</f>
        <v/>
      </c>
      <c r="EH104" s="5">
        <f>SUM(EG101:EG104)</f>
        <v/>
      </c>
      <c r="EI104" s="5">
        <f>EE104+S!EE104+E!EE104+O!EE104</f>
        <v/>
      </c>
      <c r="EJ104" s="5">
        <f>SUM(EI101:EI104)</f>
        <v/>
      </c>
      <c r="EK104" s="5">
        <f>EG104+S!EG104+E!EG104+O!EG104</f>
        <v/>
      </c>
      <c r="EL104" s="5">
        <f>SUM(EK101:EK104)</f>
        <v/>
      </c>
    </row>
    <row r="105" ht="20.25" customHeight="1">
      <c r="B105" s="6" t="inlineStr">
        <is>
          <t>Madrugada</t>
        </is>
      </c>
      <c r="C105" s="7">
        <f>SUM(C9:C32)</f>
        <v/>
      </c>
      <c r="D105" s="7">
        <f>SUM(D9:D32)</f>
        <v/>
      </c>
      <c r="E105" s="7">
        <f>SUM(E9:E32)</f>
        <v/>
      </c>
      <c r="F105" s="7">
        <f>SUM(F9:F32)</f>
        <v/>
      </c>
      <c r="G105" s="7">
        <f>SUM(G9:G32)</f>
        <v/>
      </c>
      <c r="H105" s="7">
        <f>SUM(H9:H32)</f>
        <v/>
      </c>
      <c r="I105" s="7">
        <f>SUM(I9:I32)</f>
        <v/>
      </c>
      <c r="J105" s="7">
        <f>SUM(J9:J32)</f>
        <v/>
      </c>
      <c r="K105" s="7">
        <f>SUM(K9:K32)</f>
        <v/>
      </c>
      <c r="L105" s="7">
        <f>SUM(L9:L32)</f>
        <v/>
      </c>
      <c r="M105" s="7">
        <f>SUM(M9:M32)</f>
        <v/>
      </c>
      <c r="N105" s="7">
        <f>SUM(N9:N32)</f>
        <v/>
      </c>
      <c r="O105" s="7">
        <f>SUM(O9:O32)</f>
        <v/>
      </c>
      <c r="P105" s="7">
        <f>SUM(P9:P32)</f>
        <v/>
      </c>
      <c r="Q105" s="7">
        <f>SUM(Q9:Q32)</f>
        <v/>
      </c>
      <c r="R105" s="7">
        <f>SUM(R9:R32)</f>
        <v/>
      </c>
      <c r="S105" s="7">
        <f>SUM(S9:S32)</f>
        <v/>
      </c>
      <c r="T105" s="7">
        <f>SUM(T9:T32)</f>
        <v/>
      </c>
      <c r="U105" s="7">
        <f>SUM(U9:U32)</f>
        <v/>
      </c>
      <c r="V105" s="7">
        <f>SUM(V9:V32)</f>
        <v/>
      </c>
      <c r="W105" s="7">
        <f>SUM(W9:W32)</f>
        <v/>
      </c>
      <c r="X105" s="7">
        <f>SUM(X9:X32)</f>
        <v/>
      </c>
      <c r="Y105" s="7">
        <f>SUM(Y9:Y32)</f>
        <v/>
      </c>
      <c r="Z105" s="7">
        <f>SUM(Z9:Z32)</f>
        <v/>
      </c>
      <c r="AA105" s="7">
        <f>SUM(AA9:AA32)</f>
        <v/>
      </c>
      <c r="AB105" s="7">
        <f>SUM(AB9:AB32)</f>
        <v/>
      </c>
      <c r="AC105" s="7">
        <f>SUM(AC9:AC32)</f>
        <v/>
      </c>
      <c r="AD105" s="7">
        <f>SUM(AD9:AD32)</f>
        <v/>
      </c>
      <c r="AE105" s="7">
        <f>SUM(AE9:AE32)</f>
        <v/>
      </c>
      <c r="AF105" s="7">
        <f>SUM(AF9:AF32)</f>
        <v/>
      </c>
      <c r="AG105" s="7">
        <f>SUM(AG9:AG32)</f>
        <v/>
      </c>
      <c r="AH105" s="7">
        <f>SUM(AH9:AH32)</f>
        <v/>
      </c>
      <c r="AI105" s="7">
        <f>SUM(AI9:AI32)</f>
        <v/>
      </c>
      <c r="AJ105" s="7">
        <f>SUM(AJ9:AJ32)</f>
        <v/>
      </c>
      <c r="AK105" s="7">
        <f>SUM(AK9:AK32)</f>
        <v/>
      </c>
      <c r="AL105" s="7">
        <f>SUM(AL9:AL32)</f>
        <v/>
      </c>
      <c r="AM105" s="7">
        <f>SUM(AM9:AM32)</f>
        <v/>
      </c>
      <c r="AN105" s="7">
        <f>SUM(AN9:AN32)</f>
        <v/>
      </c>
      <c r="AO105" s="7">
        <f>SUM(AO9:AO32)</f>
        <v/>
      </c>
      <c r="AP105" s="7">
        <f>SUM(AP9:AP32)</f>
        <v/>
      </c>
      <c r="AQ105" s="7">
        <f>SUM(AQ9:AQ32)</f>
        <v/>
      </c>
      <c r="AR105" s="7">
        <f>SUM(AR9:AR32)</f>
        <v/>
      </c>
      <c r="AS105" s="7">
        <f>SUM(AS9:AS32)</f>
        <v/>
      </c>
      <c r="AT105" s="7">
        <f>SUM(AT9:AT32)</f>
        <v/>
      </c>
      <c r="AU105" s="7">
        <f>SUM(AU9:AU32)</f>
        <v/>
      </c>
      <c r="AV105" s="7">
        <f>SUM(AV9:AV32)</f>
        <v/>
      </c>
      <c r="AW105" s="7">
        <f>SUM(AW9:AW32)</f>
        <v/>
      </c>
      <c r="AX105" s="7">
        <f>SUM(AX9:AX32)</f>
        <v/>
      </c>
      <c r="AY105" s="7">
        <f>SUM(AY9:AY32)</f>
        <v/>
      </c>
      <c r="AZ105" s="7">
        <f>SUM(AZ9:AZ32)</f>
        <v/>
      </c>
      <c r="BA105" s="7">
        <f>SUM(BA9:BA32)</f>
        <v/>
      </c>
      <c r="BB105" s="7">
        <f>SUM(BB9:BB32)</f>
        <v/>
      </c>
      <c r="BC105" s="7">
        <f>SUM(BC9:BC32)</f>
        <v/>
      </c>
      <c r="BD105" s="7">
        <f>SUM(BD9:BD32)</f>
        <v/>
      </c>
      <c r="BE105" s="7">
        <f>SUM(BE9:BE32)</f>
        <v/>
      </c>
      <c r="BF105" s="7">
        <f>SUM(BF9:BF32)</f>
        <v/>
      </c>
      <c r="BG105" s="7">
        <f>SUM(BG9:BG32)</f>
        <v/>
      </c>
      <c r="BH105" s="7">
        <f>SUM(BH9:BH32)</f>
        <v/>
      </c>
      <c r="BI105" s="7">
        <f>SUM(BI9:BI32)</f>
        <v/>
      </c>
      <c r="BJ105" s="7">
        <f>SUM(BJ9:BJ32)</f>
        <v/>
      </c>
      <c r="BK105" s="7">
        <f>SUM(BK9:BK32)</f>
        <v/>
      </c>
      <c r="BL105" s="7">
        <f>SUM(BL9:BL32)</f>
        <v/>
      </c>
      <c r="BM105" s="7">
        <f>SUM(BM9:BM32)</f>
        <v/>
      </c>
      <c r="BN105" s="7">
        <f>SUM(BN9:BN32)</f>
        <v/>
      </c>
      <c r="BO105" s="7">
        <f>SUM(BO9:BO32)</f>
        <v/>
      </c>
      <c r="BP105" s="7">
        <f>SUM(BP9:BP32)</f>
        <v/>
      </c>
      <c r="BQ105" s="7">
        <f>SUM(BQ9:BQ32)</f>
        <v/>
      </c>
      <c r="BR105" s="7">
        <f>SUM(BR9:BR32)</f>
        <v/>
      </c>
      <c r="BS105" s="7">
        <f>SUM(BS9:BS32)</f>
        <v/>
      </c>
      <c r="BT105" s="7">
        <f>SUM(BT9:BT32)</f>
        <v/>
      </c>
      <c r="BU105" s="7">
        <f>SUM(BU9:BU32)</f>
        <v/>
      </c>
      <c r="BV105" s="7">
        <f>SUM(BV9:BV32)</f>
        <v/>
      </c>
      <c r="BW105" s="7">
        <f>SUM(BW9:BW32)</f>
        <v/>
      </c>
      <c r="BX105" s="7">
        <f>SUM(BX9:BX32)</f>
        <v/>
      </c>
      <c r="BY105" s="7">
        <f>SUM(BY9:BY32)</f>
        <v/>
      </c>
      <c r="BZ105" s="7">
        <f>SUM(BZ9:BZ32)</f>
        <v/>
      </c>
      <c r="CA105" s="7">
        <f>SUM(CA9:CA32)</f>
        <v/>
      </c>
      <c r="CB105" s="7">
        <f>SUM(CB9:CB32)</f>
        <v/>
      </c>
      <c r="CC105" s="7">
        <f>SUM(CC9:CC32)</f>
        <v/>
      </c>
      <c r="CD105" s="7">
        <f>SUM(CD9:CD32)</f>
        <v/>
      </c>
      <c r="CE105" s="7">
        <f>SUM(CE9:CE32)</f>
        <v/>
      </c>
      <c r="CF105" s="7">
        <f>SUM(CF9:CF32)</f>
        <v/>
      </c>
      <c r="CG105" s="7">
        <f>SUM(CG9:CG32)</f>
        <v/>
      </c>
      <c r="CH105" s="7">
        <f>SUM(CH9:CH32)</f>
        <v/>
      </c>
      <c r="CI105" s="7">
        <f>SUM(CI9:CI32)</f>
        <v/>
      </c>
      <c r="CJ105" s="7">
        <f>SUM(CJ9:CJ32)</f>
        <v/>
      </c>
      <c r="CK105" s="7">
        <f>SUM(CK9:CK32)</f>
        <v/>
      </c>
      <c r="CL105" s="7">
        <f>SUM(CL9:CL32)</f>
        <v/>
      </c>
      <c r="CM105" s="7">
        <f>SUM(CM9:CM32)</f>
        <v/>
      </c>
      <c r="CN105" s="7">
        <f>SUM(CN9:CN32)</f>
        <v/>
      </c>
      <c r="CO105" s="7">
        <f>SUM(CO9:CO32)</f>
        <v/>
      </c>
      <c r="CP105" s="7">
        <f>SUM(CP9:CP32)</f>
        <v/>
      </c>
      <c r="CQ105" s="7">
        <f>SUM(CQ9:CQ32)</f>
        <v/>
      </c>
      <c r="CR105" s="7">
        <f>SUM(CR9:CR32)</f>
        <v/>
      </c>
      <c r="CS105" s="7">
        <f>SUM(CS9:CS32)</f>
        <v/>
      </c>
      <c r="CT105" s="7">
        <f>SUM(CT9:CT32)</f>
        <v/>
      </c>
      <c r="CU105" s="7">
        <f>SUM(CU9:CU32)</f>
        <v/>
      </c>
      <c r="CV105" s="7">
        <f>SUM(CV9:CV32)</f>
        <v/>
      </c>
      <c r="CW105" s="7">
        <f>SUM(CW9:CW32)</f>
        <v/>
      </c>
      <c r="CX105" s="7">
        <f>SUM(CX9:CX32)</f>
        <v/>
      </c>
      <c r="CY105" s="7">
        <f>SUM(CY9:CY32)</f>
        <v/>
      </c>
      <c r="CZ105" s="7">
        <f>SUM(CZ9:CZ32)</f>
        <v/>
      </c>
      <c r="DA105" s="7">
        <f>SUM(DA9:DA32)</f>
        <v/>
      </c>
      <c r="DB105" s="7">
        <f>SUM(DB9:DB32)</f>
        <v/>
      </c>
      <c r="DC105" s="7">
        <f>SUM(DC9:DC32)</f>
        <v/>
      </c>
      <c r="DD105" s="7">
        <f>SUM(DD9:DD32)</f>
        <v/>
      </c>
      <c r="DE105" s="7">
        <f>SUM(DE9:DE32)</f>
        <v/>
      </c>
      <c r="DF105" s="7">
        <f>SUM(DF9:DF32)</f>
        <v/>
      </c>
      <c r="DG105" s="7">
        <f>SUM(DG9:DG32)</f>
        <v/>
      </c>
      <c r="DH105" s="7">
        <f>SUM(DH9:DH32)</f>
        <v/>
      </c>
      <c r="DI105" s="7">
        <f>SUM(DI9:DI32)</f>
        <v/>
      </c>
      <c r="DJ105" s="7">
        <f>SUM(DJ9:DJ32)</f>
        <v/>
      </c>
      <c r="DK105" s="7">
        <f>SUM(DK9:DK32)</f>
        <v/>
      </c>
      <c r="DL105" s="7">
        <f>SUM(DL9:DL32)</f>
        <v/>
      </c>
      <c r="DM105" s="7">
        <f>SUM(DM9:DM32)</f>
        <v/>
      </c>
      <c r="DN105" s="7">
        <f>SUM(DN9:DN32)</f>
        <v/>
      </c>
      <c r="DO105" s="7">
        <f>SUM(DO9:DO32)</f>
        <v/>
      </c>
      <c r="DP105" s="7">
        <f>SUM(DP9:DP32)</f>
        <v/>
      </c>
      <c r="DQ105" s="7">
        <f>SUM(DQ9:DQ32)</f>
        <v/>
      </c>
      <c r="DR105" s="7">
        <f>SUM(DR9:DR32)</f>
        <v/>
      </c>
      <c r="DS105" s="8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86" t="n"/>
      <c r="ED105" s="86" t="n"/>
      <c r="EE105" s="10" t="n"/>
      <c r="EF105" s="10" t="n"/>
      <c r="EG105" s="10" t="n"/>
      <c r="EH105" s="2" t="n"/>
      <c r="EI105" s="2" t="n"/>
      <c r="EJ105" s="10" t="n"/>
      <c r="EK105" s="12" t="n"/>
      <c r="EL105" s="10" t="n"/>
    </row>
    <row r="106" ht="20.25" customHeight="1">
      <c r="B106" s="6" t="inlineStr">
        <is>
          <t>Mañana</t>
        </is>
      </c>
      <c r="C106" s="7">
        <f>SUM(C33:C56)</f>
        <v/>
      </c>
      <c r="D106" s="7">
        <f>SUM(D33:D56)</f>
        <v/>
      </c>
      <c r="E106" s="7">
        <f>SUM(E33:E56)</f>
        <v/>
      </c>
      <c r="F106" s="7">
        <f>SUM(F33:F56)</f>
        <v/>
      </c>
      <c r="G106" s="7">
        <f>SUM(G33:G56)</f>
        <v/>
      </c>
      <c r="H106" s="7">
        <f>SUM(H33:H56)</f>
        <v/>
      </c>
      <c r="I106" s="7">
        <f>SUM(I33:I56)</f>
        <v/>
      </c>
      <c r="J106" s="7">
        <f>SUM(J33:J56)</f>
        <v/>
      </c>
      <c r="K106" s="7">
        <f>SUM(K33:K56)</f>
        <v/>
      </c>
      <c r="L106" s="7">
        <f>SUM(L33:L56)</f>
        <v/>
      </c>
      <c r="M106" s="7">
        <f>SUM(M33:M56)</f>
        <v/>
      </c>
      <c r="N106" s="7">
        <f>SUM(N33:N56)</f>
        <v/>
      </c>
      <c r="O106" s="7">
        <f>SUM(O33:O56)</f>
        <v/>
      </c>
      <c r="P106" s="7">
        <f>SUM(P33:P56)</f>
        <v/>
      </c>
      <c r="Q106" s="7">
        <f>SUM(Q33:Q56)</f>
        <v/>
      </c>
      <c r="R106" s="7">
        <f>SUM(R33:R56)</f>
        <v/>
      </c>
      <c r="S106" s="7">
        <f>SUM(S33:S56)</f>
        <v/>
      </c>
      <c r="T106" s="7">
        <f>SUM(T33:T56)</f>
        <v/>
      </c>
      <c r="U106" s="7">
        <f>SUM(U33:U56)</f>
        <v/>
      </c>
      <c r="V106" s="7">
        <f>SUM(V33:V56)</f>
        <v/>
      </c>
      <c r="W106" s="7">
        <f>SUM(W33:W56)</f>
        <v/>
      </c>
      <c r="X106" s="7">
        <f>SUM(X33:X56)</f>
        <v/>
      </c>
      <c r="Y106" s="7">
        <f>SUM(Y33:Y56)</f>
        <v/>
      </c>
      <c r="Z106" s="7">
        <f>SUM(Z33:Z56)</f>
        <v/>
      </c>
      <c r="AA106" s="7">
        <f>SUM(AA33:AA56)</f>
        <v/>
      </c>
      <c r="AB106" s="7">
        <f>SUM(AB33:AB56)</f>
        <v/>
      </c>
      <c r="AC106" s="7">
        <f>SUM(AC33:AC56)</f>
        <v/>
      </c>
      <c r="AD106" s="7">
        <f>SUM(AD33:AD56)</f>
        <v/>
      </c>
      <c r="AE106" s="7">
        <f>SUM(AE33:AE56)</f>
        <v/>
      </c>
      <c r="AF106" s="7">
        <f>SUM(AF33:AF56)</f>
        <v/>
      </c>
      <c r="AG106" s="7">
        <f>SUM(AG33:AG56)</f>
        <v/>
      </c>
      <c r="AH106" s="7">
        <f>SUM(AH33:AH56)</f>
        <v/>
      </c>
      <c r="AI106" s="7">
        <f>SUM(AI33:AI56)</f>
        <v/>
      </c>
      <c r="AJ106" s="7">
        <f>SUM(AJ33:AJ56)</f>
        <v/>
      </c>
      <c r="AK106" s="7">
        <f>SUM(AK33:AK56)</f>
        <v/>
      </c>
      <c r="AL106" s="7">
        <f>SUM(AL33:AL56)</f>
        <v/>
      </c>
      <c r="AM106" s="7">
        <f>SUM(AM33:AM56)</f>
        <v/>
      </c>
      <c r="AN106" s="7">
        <f>SUM(AN33:AN56)</f>
        <v/>
      </c>
      <c r="AO106" s="7">
        <f>SUM(AO33:AO56)</f>
        <v/>
      </c>
      <c r="AP106" s="7">
        <f>SUM(AP33:AP56)</f>
        <v/>
      </c>
      <c r="AQ106" s="7">
        <f>SUM(AQ33:AQ56)</f>
        <v/>
      </c>
      <c r="AR106" s="7">
        <f>SUM(AR33:AR56)</f>
        <v/>
      </c>
      <c r="AS106" s="7">
        <f>SUM(AS33:AS56)</f>
        <v/>
      </c>
      <c r="AT106" s="7">
        <f>SUM(AT33:AT56)</f>
        <v/>
      </c>
      <c r="AU106" s="7">
        <f>SUM(AU33:AU56)</f>
        <v/>
      </c>
      <c r="AV106" s="7">
        <f>SUM(AV33:AV56)</f>
        <v/>
      </c>
      <c r="AW106" s="7">
        <f>SUM(AW33:AW56)</f>
        <v/>
      </c>
      <c r="AX106" s="7">
        <f>SUM(AX33:AX56)</f>
        <v/>
      </c>
      <c r="AY106" s="7">
        <f>SUM(AY33:AY56)</f>
        <v/>
      </c>
      <c r="AZ106" s="7">
        <f>SUM(AZ33:AZ56)</f>
        <v/>
      </c>
      <c r="BA106" s="7">
        <f>SUM(BA33:BA56)</f>
        <v/>
      </c>
      <c r="BB106" s="7">
        <f>SUM(BB33:BB56)</f>
        <v/>
      </c>
      <c r="BC106" s="7">
        <f>SUM(BC33:BC56)</f>
        <v/>
      </c>
      <c r="BD106" s="7">
        <f>SUM(BD33:BD56)</f>
        <v/>
      </c>
      <c r="BE106" s="7">
        <f>SUM(BE33:BE56)</f>
        <v/>
      </c>
      <c r="BF106" s="7">
        <f>SUM(BF33:BF56)</f>
        <v/>
      </c>
      <c r="BG106" s="7">
        <f>SUM(BG33:BG56)</f>
        <v/>
      </c>
      <c r="BH106" s="7">
        <f>SUM(BH33:BH56)</f>
        <v/>
      </c>
      <c r="BI106" s="7">
        <f>SUM(BI33:BI56)</f>
        <v/>
      </c>
      <c r="BJ106" s="7">
        <f>SUM(BJ33:BJ56)</f>
        <v/>
      </c>
      <c r="BK106" s="7">
        <f>SUM(BK33:BK56)</f>
        <v/>
      </c>
      <c r="BL106" s="7">
        <f>SUM(BL33:BL56)</f>
        <v/>
      </c>
      <c r="BM106" s="7">
        <f>SUM(BM33:BM56)</f>
        <v/>
      </c>
      <c r="BN106" s="7">
        <f>SUM(BN33:BN56)</f>
        <v/>
      </c>
      <c r="BO106" s="7">
        <f>SUM(BO33:BO56)</f>
        <v/>
      </c>
      <c r="BP106" s="7">
        <f>SUM(BP33:BP56)</f>
        <v/>
      </c>
      <c r="BQ106" s="7">
        <f>SUM(BQ33:BQ56)</f>
        <v/>
      </c>
      <c r="BR106" s="7">
        <f>SUM(BR33:BR56)</f>
        <v/>
      </c>
      <c r="BS106" s="7">
        <f>SUM(BS33:BS56)</f>
        <v/>
      </c>
      <c r="BT106" s="7">
        <f>SUM(BT33:BT56)</f>
        <v/>
      </c>
      <c r="BU106" s="7">
        <f>SUM(BU33:BU56)</f>
        <v/>
      </c>
      <c r="BV106" s="7">
        <f>SUM(BV33:BV56)</f>
        <v/>
      </c>
      <c r="BW106" s="7">
        <f>SUM(BW33:BW56)</f>
        <v/>
      </c>
      <c r="BX106" s="7">
        <f>SUM(BX33:BX56)</f>
        <v/>
      </c>
      <c r="BY106" s="7">
        <f>SUM(BY33:BY56)</f>
        <v/>
      </c>
      <c r="BZ106" s="7">
        <f>SUM(BZ33:BZ56)</f>
        <v/>
      </c>
      <c r="CA106" s="7">
        <f>SUM(CA33:CA56)</f>
        <v/>
      </c>
      <c r="CB106" s="7">
        <f>SUM(CB33:CB56)</f>
        <v/>
      </c>
      <c r="CC106" s="7">
        <f>SUM(CC33:CC56)</f>
        <v/>
      </c>
      <c r="CD106" s="7">
        <f>SUM(CD33:CD56)</f>
        <v/>
      </c>
      <c r="CE106" s="7">
        <f>SUM(CE33:CE56)</f>
        <v/>
      </c>
      <c r="CF106" s="7">
        <f>SUM(CF33:CF56)</f>
        <v/>
      </c>
      <c r="CG106" s="7">
        <f>SUM(CG33:CG56)</f>
        <v/>
      </c>
      <c r="CH106" s="7">
        <f>SUM(CH33:CH56)</f>
        <v/>
      </c>
      <c r="CI106" s="7">
        <f>SUM(CI33:CI56)</f>
        <v/>
      </c>
      <c r="CJ106" s="7">
        <f>SUM(CJ33:CJ56)</f>
        <v/>
      </c>
      <c r="CK106" s="7">
        <f>SUM(CK33:CK56)</f>
        <v/>
      </c>
      <c r="CL106" s="7">
        <f>SUM(CL33:CL56)</f>
        <v/>
      </c>
      <c r="CM106" s="7">
        <f>SUM(CM33:CM56)</f>
        <v/>
      </c>
      <c r="CN106" s="7">
        <f>SUM(CN33:CN56)</f>
        <v/>
      </c>
      <c r="CO106" s="7">
        <f>SUM(CO33:CO56)</f>
        <v/>
      </c>
      <c r="CP106" s="7">
        <f>SUM(CP33:CP56)</f>
        <v/>
      </c>
      <c r="CQ106" s="7">
        <f>SUM(CQ33:CQ56)</f>
        <v/>
      </c>
      <c r="CR106" s="7">
        <f>SUM(CR33:CR56)</f>
        <v/>
      </c>
      <c r="CS106" s="7">
        <f>SUM(CS33:CS56)</f>
        <v/>
      </c>
      <c r="CT106" s="7">
        <f>SUM(CT33:CT56)</f>
        <v/>
      </c>
      <c r="CU106" s="7">
        <f>SUM(CU33:CU56)</f>
        <v/>
      </c>
      <c r="CV106" s="7">
        <f>SUM(CV33:CV56)</f>
        <v/>
      </c>
      <c r="CW106" s="7">
        <f>SUM(CW33:CW56)</f>
        <v/>
      </c>
      <c r="CX106" s="7">
        <f>SUM(CX33:CX56)</f>
        <v/>
      </c>
      <c r="CY106" s="7">
        <f>SUM(CY33:CY56)</f>
        <v/>
      </c>
      <c r="CZ106" s="7">
        <f>SUM(CZ33:CZ56)</f>
        <v/>
      </c>
      <c r="DA106" s="7">
        <f>SUM(DA33:DA56)</f>
        <v/>
      </c>
      <c r="DB106" s="7">
        <f>SUM(DB33:DB56)</f>
        <v/>
      </c>
      <c r="DC106" s="7">
        <f>SUM(DC33:DC56)</f>
        <v/>
      </c>
      <c r="DD106" s="7">
        <f>SUM(DD33:DD56)</f>
        <v/>
      </c>
      <c r="DE106" s="7">
        <f>SUM(DE33:DE56)</f>
        <v/>
      </c>
      <c r="DF106" s="7">
        <f>SUM(DF33:DF56)</f>
        <v/>
      </c>
      <c r="DG106" s="7">
        <f>SUM(DG33:DG56)</f>
        <v/>
      </c>
      <c r="DH106" s="7">
        <f>SUM(DH33:DH56)</f>
        <v/>
      </c>
      <c r="DI106" s="7">
        <f>SUM(DI33:DI56)</f>
        <v/>
      </c>
      <c r="DJ106" s="7">
        <f>SUM(DJ33:DJ56)</f>
        <v/>
      </c>
      <c r="DK106" s="7">
        <f>SUM(DK33:DK56)</f>
        <v/>
      </c>
      <c r="DL106" s="7">
        <f>SUM(DL33:DL56)</f>
        <v/>
      </c>
      <c r="DM106" s="7">
        <f>SUM(DM33:DM56)</f>
        <v/>
      </c>
      <c r="DN106" s="7">
        <f>SUM(DN33:DN56)</f>
        <v/>
      </c>
      <c r="DO106" s="7">
        <f>SUM(DO33:DO56)</f>
        <v/>
      </c>
      <c r="DP106" s="7">
        <f>SUM(DP33:DP56)</f>
        <v/>
      </c>
      <c r="DQ106" s="7">
        <f>SUM(DQ33:DQ56)</f>
        <v/>
      </c>
      <c r="DR106" s="7">
        <f>SUM(DR33:DR56)</f>
        <v/>
      </c>
      <c r="DS106" s="11" t="n"/>
      <c r="DT106" s="12" t="n"/>
      <c r="DU106" s="12" t="n"/>
      <c r="DV106" s="12" t="n"/>
      <c r="DW106" s="12" t="n"/>
      <c r="DX106" s="12" t="n"/>
      <c r="DY106" s="12" t="n"/>
      <c r="DZ106" s="12" t="n"/>
      <c r="EA106" s="12" t="n"/>
      <c r="EB106" s="12" t="n"/>
      <c r="EC106" s="12" t="n"/>
      <c r="ED106" s="12" t="n"/>
      <c r="EE106" s="10" t="n"/>
      <c r="EF106" s="10" t="n"/>
      <c r="EG106" s="10" t="n"/>
      <c r="EH106" s="2" t="n"/>
      <c r="EI106" s="2" t="n"/>
      <c r="EJ106" s="10" t="n"/>
      <c r="EK106" s="12" t="n"/>
      <c r="EL106" s="10" t="n"/>
    </row>
    <row r="107" ht="20.25" customHeight="1">
      <c r="B107" s="6" t="inlineStr">
        <is>
          <t>Tarde</t>
        </is>
      </c>
      <c r="C107" s="7">
        <f>SUM(C57:C80)</f>
        <v/>
      </c>
      <c r="D107" s="7">
        <f>SUM(D57:D80)</f>
        <v/>
      </c>
      <c r="E107" s="7">
        <f>SUM(E57:E80)</f>
        <v/>
      </c>
      <c r="F107" s="7">
        <f>SUM(F57:F80)</f>
        <v/>
      </c>
      <c r="G107" s="7">
        <f>SUM(G57:G80)</f>
        <v/>
      </c>
      <c r="H107" s="7">
        <f>SUM(H57:H80)</f>
        <v/>
      </c>
      <c r="I107" s="7">
        <f>SUM(I57:I80)</f>
        <v/>
      </c>
      <c r="J107" s="7">
        <f>SUM(J57:J80)</f>
        <v/>
      </c>
      <c r="K107" s="7">
        <f>SUM(K57:K80)</f>
        <v/>
      </c>
      <c r="L107" s="7">
        <f>SUM(L57:L80)</f>
        <v/>
      </c>
      <c r="M107" s="7">
        <f>SUM(M57:M80)</f>
        <v/>
      </c>
      <c r="N107" s="7">
        <f>SUM(N57:N80)</f>
        <v/>
      </c>
      <c r="O107" s="7">
        <f>SUM(O57:O80)</f>
        <v/>
      </c>
      <c r="P107" s="7">
        <f>SUM(P57:P80)</f>
        <v/>
      </c>
      <c r="Q107" s="7">
        <f>SUM(Q57:Q80)</f>
        <v/>
      </c>
      <c r="R107" s="7">
        <f>SUM(R57:R80)</f>
        <v/>
      </c>
      <c r="S107" s="7">
        <f>SUM(S57:S80)</f>
        <v/>
      </c>
      <c r="T107" s="7">
        <f>SUM(T57:T80)</f>
        <v/>
      </c>
      <c r="U107" s="7">
        <f>SUM(U57:U80)</f>
        <v/>
      </c>
      <c r="V107" s="7">
        <f>SUM(V57:V80)</f>
        <v/>
      </c>
      <c r="W107" s="7">
        <f>SUM(W57:W80)</f>
        <v/>
      </c>
      <c r="X107" s="7">
        <f>SUM(X57:X80)</f>
        <v/>
      </c>
      <c r="Y107" s="7">
        <f>SUM(Y57:Y80)</f>
        <v/>
      </c>
      <c r="Z107" s="7">
        <f>SUM(Z57:Z80)</f>
        <v/>
      </c>
      <c r="AA107" s="7">
        <f>SUM(AA57:AA80)</f>
        <v/>
      </c>
      <c r="AB107" s="7">
        <f>SUM(AB57:AB80)</f>
        <v/>
      </c>
      <c r="AC107" s="7">
        <f>SUM(AC57:AC80)</f>
        <v/>
      </c>
      <c r="AD107" s="7">
        <f>SUM(AD57:AD80)</f>
        <v/>
      </c>
      <c r="AE107" s="7">
        <f>SUM(AE57:AE80)</f>
        <v/>
      </c>
      <c r="AF107" s="7">
        <f>SUM(AF57:AF80)</f>
        <v/>
      </c>
      <c r="AG107" s="7">
        <f>SUM(AG57:AG80)</f>
        <v/>
      </c>
      <c r="AH107" s="7">
        <f>SUM(AH57:AH80)</f>
        <v/>
      </c>
      <c r="AI107" s="7">
        <f>SUM(AI57:AI80)</f>
        <v/>
      </c>
      <c r="AJ107" s="7">
        <f>SUM(AJ57:AJ80)</f>
        <v/>
      </c>
      <c r="AK107" s="7">
        <f>SUM(AK57:AK80)</f>
        <v/>
      </c>
      <c r="AL107" s="7">
        <f>SUM(AL57:AL80)</f>
        <v/>
      </c>
      <c r="AM107" s="7">
        <f>SUM(AM57:AM80)</f>
        <v/>
      </c>
      <c r="AN107" s="7">
        <f>SUM(AN57:AN80)</f>
        <v/>
      </c>
      <c r="AO107" s="7">
        <f>SUM(AO57:AO80)</f>
        <v/>
      </c>
      <c r="AP107" s="7">
        <f>SUM(AP57:AP80)</f>
        <v/>
      </c>
      <c r="AQ107" s="7">
        <f>SUM(AQ57:AQ80)</f>
        <v/>
      </c>
      <c r="AR107" s="7">
        <f>SUM(AR57:AR80)</f>
        <v/>
      </c>
      <c r="AS107" s="7">
        <f>SUM(AS57:AS80)</f>
        <v/>
      </c>
      <c r="AT107" s="7">
        <f>SUM(AT57:AT80)</f>
        <v/>
      </c>
      <c r="AU107" s="7">
        <f>SUM(AU57:AU80)</f>
        <v/>
      </c>
      <c r="AV107" s="7">
        <f>SUM(AV57:AV80)</f>
        <v/>
      </c>
      <c r="AW107" s="7">
        <f>SUM(AW57:AW80)</f>
        <v/>
      </c>
      <c r="AX107" s="7">
        <f>SUM(AX57:AX80)</f>
        <v/>
      </c>
      <c r="AY107" s="7">
        <f>SUM(AY57:AY80)</f>
        <v/>
      </c>
      <c r="AZ107" s="7">
        <f>SUM(AZ57:AZ80)</f>
        <v/>
      </c>
      <c r="BA107" s="7">
        <f>SUM(BA57:BA80)</f>
        <v/>
      </c>
      <c r="BB107" s="7">
        <f>SUM(BB57:BB80)</f>
        <v/>
      </c>
      <c r="BC107" s="7">
        <f>SUM(BC57:BC80)</f>
        <v/>
      </c>
      <c r="BD107" s="7">
        <f>SUM(BD57:BD80)</f>
        <v/>
      </c>
      <c r="BE107" s="7">
        <f>SUM(BE57:BE80)</f>
        <v/>
      </c>
      <c r="BF107" s="7">
        <f>SUM(BF57:BF80)</f>
        <v/>
      </c>
      <c r="BG107" s="7">
        <f>SUM(BG57:BG80)</f>
        <v/>
      </c>
      <c r="BH107" s="7">
        <f>SUM(BH57:BH80)</f>
        <v/>
      </c>
      <c r="BI107" s="7">
        <f>SUM(BI57:BI80)</f>
        <v/>
      </c>
      <c r="BJ107" s="7">
        <f>SUM(BJ57:BJ80)</f>
        <v/>
      </c>
      <c r="BK107" s="7">
        <f>SUM(BK57:BK80)</f>
        <v/>
      </c>
      <c r="BL107" s="7">
        <f>SUM(BL57:BL80)</f>
        <v/>
      </c>
      <c r="BM107" s="7">
        <f>SUM(BM57:BM80)</f>
        <v/>
      </c>
      <c r="BN107" s="7">
        <f>SUM(BN57:BN80)</f>
        <v/>
      </c>
      <c r="BO107" s="7">
        <f>SUM(BO57:BO80)</f>
        <v/>
      </c>
      <c r="BP107" s="7">
        <f>SUM(BP57:BP80)</f>
        <v/>
      </c>
      <c r="BQ107" s="7">
        <f>SUM(BQ57:BQ80)</f>
        <v/>
      </c>
      <c r="BR107" s="7">
        <f>SUM(BR57:BR80)</f>
        <v/>
      </c>
      <c r="BS107" s="7">
        <f>SUM(BS57:BS80)</f>
        <v/>
      </c>
      <c r="BT107" s="7">
        <f>SUM(BT57:BT80)</f>
        <v/>
      </c>
      <c r="BU107" s="7">
        <f>SUM(BU57:BU80)</f>
        <v/>
      </c>
      <c r="BV107" s="7">
        <f>SUM(BV57:BV80)</f>
        <v/>
      </c>
      <c r="BW107" s="7">
        <f>SUM(BW57:BW80)</f>
        <v/>
      </c>
      <c r="BX107" s="7">
        <f>SUM(BX57:BX80)</f>
        <v/>
      </c>
      <c r="BY107" s="7">
        <f>SUM(BY57:BY80)</f>
        <v/>
      </c>
      <c r="BZ107" s="7">
        <f>SUM(BZ57:BZ80)</f>
        <v/>
      </c>
      <c r="CA107" s="7">
        <f>SUM(CA57:CA80)</f>
        <v/>
      </c>
      <c r="CB107" s="7">
        <f>SUM(CB57:CB80)</f>
        <v/>
      </c>
      <c r="CC107" s="7">
        <f>SUM(CC57:CC80)</f>
        <v/>
      </c>
      <c r="CD107" s="7">
        <f>SUM(CD57:CD80)</f>
        <v/>
      </c>
      <c r="CE107" s="7">
        <f>SUM(CE57:CE80)</f>
        <v/>
      </c>
      <c r="CF107" s="7">
        <f>SUM(CF57:CF80)</f>
        <v/>
      </c>
      <c r="CG107" s="7">
        <f>SUM(CG57:CG80)</f>
        <v/>
      </c>
      <c r="CH107" s="7">
        <f>SUM(CH57:CH80)</f>
        <v/>
      </c>
      <c r="CI107" s="7">
        <f>SUM(CI57:CI80)</f>
        <v/>
      </c>
      <c r="CJ107" s="7">
        <f>SUM(CJ57:CJ80)</f>
        <v/>
      </c>
      <c r="CK107" s="7">
        <f>SUM(CK57:CK80)</f>
        <v/>
      </c>
      <c r="CL107" s="7">
        <f>SUM(CL57:CL80)</f>
        <v/>
      </c>
      <c r="CM107" s="7">
        <f>SUM(CM57:CM80)</f>
        <v/>
      </c>
      <c r="CN107" s="7">
        <f>SUM(CN57:CN80)</f>
        <v/>
      </c>
      <c r="CO107" s="7">
        <f>SUM(CO57:CO80)</f>
        <v/>
      </c>
      <c r="CP107" s="7">
        <f>SUM(CP57:CP80)</f>
        <v/>
      </c>
      <c r="CQ107" s="7">
        <f>SUM(CQ57:CQ80)</f>
        <v/>
      </c>
      <c r="CR107" s="7">
        <f>SUM(CR57:CR80)</f>
        <v/>
      </c>
      <c r="CS107" s="7">
        <f>SUM(CS57:CS80)</f>
        <v/>
      </c>
      <c r="CT107" s="7">
        <f>SUM(CT57:CT80)</f>
        <v/>
      </c>
      <c r="CU107" s="7">
        <f>SUM(CU57:CU80)</f>
        <v/>
      </c>
      <c r="CV107" s="7">
        <f>SUM(CV57:CV80)</f>
        <v/>
      </c>
      <c r="CW107" s="7">
        <f>SUM(CW57:CW80)</f>
        <v/>
      </c>
      <c r="CX107" s="7">
        <f>SUM(CX57:CX80)</f>
        <v/>
      </c>
      <c r="CY107" s="7">
        <f>SUM(CY57:CY80)</f>
        <v/>
      </c>
      <c r="CZ107" s="7">
        <f>SUM(CZ57:CZ80)</f>
        <v/>
      </c>
      <c r="DA107" s="7">
        <f>SUM(DA57:DA80)</f>
        <v/>
      </c>
      <c r="DB107" s="7">
        <f>SUM(DB57:DB80)</f>
        <v/>
      </c>
      <c r="DC107" s="7">
        <f>SUM(DC57:DC80)</f>
        <v/>
      </c>
      <c r="DD107" s="7">
        <f>SUM(DD57:DD80)</f>
        <v/>
      </c>
      <c r="DE107" s="7">
        <f>SUM(DE57:DE80)</f>
        <v/>
      </c>
      <c r="DF107" s="7">
        <f>SUM(DF57:DF80)</f>
        <v/>
      </c>
      <c r="DG107" s="7">
        <f>SUM(DG57:DG80)</f>
        <v/>
      </c>
      <c r="DH107" s="7">
        <f>SUM(DH57:DH80)</f>
        <v/>
      </c>
      <c r="DI107" s="7">
        <f>SUM(DI57:DI80)</f>
        <v/>
      </c>
      <c r="DJ107" s="7">
        <f>SUM(DJ57:DJ80)</f>
        <v/>
      </c>
      <c r="DK107" s="7">
        <f>SUM(DK57:DK80)</f>
        <v/>
      </c>
      <c r="DL107" s="7">
        <f>SUM(DL57:DL80)</f>
        <v/>
      </c>
      <c r="DM107" s="7">
        <f>SUM(DM57:DM80)</f>
        <v/>
      </c>
      <c r="DN107" s="7">
        <f>SUM(DN57:DN80)</f>
        <v/>
      </c>
      <c r="DO107" s="7">
        <f>SUM(DO57:DO80)</f>
        <v/>
      </c>
      <c r="DP107" s="7">
        <f>SUM(DP57:DP80)</f>
        <v/>
      </c>
      <c r="DQ107" s="7">
        <f>SUM(DQ57:DQ80)</f>
        <v/>
      </c>
      <c r="DR107" s="7">
        <f>SUM(DR57:DR80)</f>
        <v/>
      </c>
      <c r="DS107" s="12" t="n"/>
      <c r="DT107" s="12" t="n"/>
      <c r="DU107" s="12" t="n"/>
      <c r="DV107" s="12" t="n"/>
      <c r="DW107" s="12" t="n"/>
      <c r="DX107" s="12" t="n"/>
      <c r="DY107" s="12" t="n"/>
      <c r="DZ107" s="12" t="n"/>
      <c r="EA107" s="12" t="n"/>
      <c r="EB107" s="12" t="n"/>
      <c r="EC107" s="12" t="n"/>
      <c r="ED107" s="12" t="n"/>
      <c r="EE107" s="10" t="n"/>
      <c r="EF107" s="10" t="n"/>
      <c r="EG107" s="10" t="n"/>
      <c r="EH107" s="2" t="n"/>
      <c r="EI107" s="2" t="n"/>
      <c r="EJ107" s="10" t="n"/>
      <c r="EK107" s="12" t="n"/>
      <c r="EL107" s="10" t="n"/>
    </row>
    <row r="108" ht="20.25" customHeight="1">
      <c r="B108" s="6" t="inlineStr">
        <is>
          <t>Noche</t>
        </is>
      </c>
      <c r="C108" s="7">
        <f>SUM(C81:C104)</f>
        <v/>
      </c>
      <c r="D108" s="7">
        <f>SUM(D81:D104)</f>
        <v/>
      </c>
      <c r="E108" s="7">
        <f>SUM(E81:E104)</f>
        <v/>
      </c>
      <c r="F108" s="7">
        <f>SUM(F81:F104)</f>
        <v/>
      </c>
      <c r="G108" s="7">
        <f>SUM(G81:G104)</f>
        <v/>
      </c>
      <c r="H108" s="7">
        <f>SUM(H81:H104)</f>
        <v/>
      </c>
      <c r="I108" s="7">
        <f>SUM(I81:I104)</f>
        <v/>
      </c>
      <c r="J108" s="7">
        <f>SUM(J81:J104)</f>
        <v/>
      </c>
      <c r="K108" s="7">
        <f>SUM(K81:K104)</f>
        <v/>
      </c>
      <c r="L108" s="7">
        <f>SUM(L81:L104)</f>
        <v/>
      </c>
      <c r="M108" s="7">
        <f>SUM(M81:M104)</f>
        <v/>
      </c>
      <c r="N108" s="7">
        <f>SUM(N81:N104)</f>
        <v/>
      </c>
      <c r="O108" s="7">
        <f>SUM(O81:O104)</f>
        <v/>
      </c>
      <c r="P108" s="7">
        <f>SUM(P81:P104)</f>
        <v/>
      </c>
      <c r="Q108" s="7">
        <f>SUM(Q81:Q104)</f>
        <v/>
      </c>
      <c r="R108" s="7">
        <f>SUM(R81:R104)</f>
        <v/>
      </c>
      <c r="S108" s="7">
        <f>SUM(S81:S104)</f>
        <v/>
      </c>
      <c r="T108" s="7">
        <f>SUM(T81:T104)</f>
        <v/>
      </c>
      <c r="U108" s="7">
        <f>SUM(U81:U104)</f>
        <v/>
      </c>
      <c r="V108" s="7">
        <f>SUM(V81:V104)</f>
        <v/>
      </c>
      <c r="W108" s="7">
        <f>SUM(W81:W104)</f>
        <v/>
      </c>
      <c r="X108" s="7">
        <f>SUM(X81:X104)</f>
        <v/>
      </c>
      <c r="Y108" s="7">
        <f>SUM(Y81:Y104)</f>
        <v/>
      </c>
      <c r="Z108" s="7">
        <f>SUM(Z81:Z104)</f>
        <v/>
      </c>
      <c r="AA108" s="7">
        <f>SUM(AA81:AA104)</f>
        <v/>
      </c>
      <c r="AB108" s="7">
        <f>SUM(AB81:AB104)</f>
        <v/>
      </c>
      <c r="AC108" s="7">
        <f>SUM(AC81:AC104)</f>
        <v/>
      </c>
      <c r="AD108" s="7">
        <f>SUM(AD81:AD104)</f>
        <v/>
      </c>
      <c r="AE108" s="7">
        <f>SUM(AE81:AE104)</f>
        <v/>
      </c>
      <c r="AF108" s="7">
        <f>SUM(AF81:AF104)</f>
        <v/>
      </c>
      <c r="AG108" s="7">
        <f>SUM(AG81:AG104)</f>
        <v/>
      </c>
      <c r="AH108" s="7">
        <f>SUM(AH81:AH104)</f>
        <v/>
      </c>
      <c r="AI108" s="7">
        <f>SUM(AI81:AI104)</f>
        <v/>
      </c>
      <c r="AJ108" s="7">
        <f>SUM(AJ81:AJ104)</f>
        <v/>
      </c>
      <c r="AK108" s="7">
        <f>SUM(AK81:AK104)</f>
        <v/>
      </c>
      <c r="AL108" s="7">
        <f>SUM(AL81:AL104)</f>
        <v/>
      </c>
      <c r="AM108" s="7">
        <f>SUM(AM81:AM104)</f>
        <v/>
      </c>
      <c r="AN108" s="7">
        <f>SUM(AN81:AN104)</f>
        <v/>
      </c>
      <c r="AO108" s="7">
        <f>SUM(AO81:AO104)</f>
        <v/>
      </c>
      <c r="AP108" s="7">
        <f>SUM(AP81:AP104)</f>
        <v/>
      </c>
      <c r="AQ108" s="7">
        <f>SUM(AQ81:AQ104)</f>
        <v/>
      </c>
      <c r="AR108" s="7">
        <f>SUM(AR81:AR104)</f>
        <v/>
      </c>
      <c r="AS108" s="7">
        <f>SUM(AS81:AS104)</f>
        <v/>
      </c>
      <c r="AT108" s="7">
        <f>SUM(AT81:AT104)</f>
        <v/>
      </c>
      <c r="AU108" s="7">
        <f>SUM(AU81:AU104)</f>
        <v/>
      </c>
      <c r="AV108" s="7">
        <f>SUM(AV81:AV104)</f>
        <v/>
      </c>
      <c r="AW108" s="7">
        <f>SUM(AW81:AW104)</f>
        <v/>
      </c>
      <c r="AX108" s="7">
        <f>SUM(AX81:AX104)</f>
        <v/>
      </c>
      <c r="AY108" s="7">
        <f>SUM(AY81:AY104)</f>
        <v/>
      </c>
      <c r="AZ108" s="7">
        <f>SUM(AZ81:AZ104)</f>
        <v/>
      </c>
      <c r="BA108" s="7">
        <f>SUM(BA81:BA104)</f>
        <v/>
      </c>
      <c r="BB108" s="7">
        <f>SUM(BB81:BB104)</f>
        <v/>
      </c>
      <c r="BC108" s="7">
        <f>SUM(BC81:BC104)</f>
        <v/>
      </c>
      <c r="BD108" s="7">
        <f>SUM(BD81:BD104)</f>
        <v/>
      </c>
      <c r="BE108" s="7">
        <f>SUM(BE81:BE104)</f>
        <v/>
      </c>
      <c r="BF108" s="7">
        <f>SUM(BF81:BF104)</f>
        <v/>
      </c>
      <c r="BG108" s="7">
        <f>SUM(BG81:BG104)</f>
        <v/>
      </c>
      <c r="BH108" s="7">
        <f>SUM(BH81:BH104)</f>
        <v/>
      </c>
      <c r="BI108" s="7">
        <f>SUM(BI81:BI104)</f>
        <v/>
      </c>
      <c r="BJ108" s="7">
        <f>SUM(BJ81:BJ104)</f>
        <v/>
      </c>
      <c r="BK108" s="7">
        <f>SUM(BK81:BK104)</f>
        <v/>
      </c>
      <c r="BL108" s="7">
        <f>SUM(BL81:BL104)</f>
        <v/>
      </c>
      <c r="BM108" s="7">
        <f>SUM(BM81:BM104)</f>
        <v/>
      </c>
      <c r="BN108" s="7">
        <f>SUM(BN81:BN104)</f>
        <v/>
      </c>
      <c r="BO108" s="7">
        <f>SUM(BO81:BO104)</f>
        <v/>
      </c>
      <c r="BP108" s="7">
        <f>SUM(BP81:BP104)</f>
        <v/>
      </c>
      <c r="BQ108" s="7">
        <f>SUM(BQ81:BQ104)</f>
        <v/>
      </c>
      <c r="BR108" s="7">
        <f>SUM(BR81:BR104)</f>
        <v/>
      </c>
      <c r="BS108" s="7">
        <f>SUM(BS81:BS104)</f>
        <v/>
      </c>
      <c r="BT108" s="7">
        <f>SUM(BT81:BT104)</f>
        <v/>
      </c>
      <c r="BU108" s="7">
        <f>SUM(BU81:BU104)</f>
        <v/>
      </c>
      <c r="BV108" s="7">
        <f>SUM(BV81:BV104)</f>
        <v/>
      </c>
      <c r="BW108" s="7">
        <f>SUM(BW81:BW104)</f>
        <v/>
      </c>
      <c r="BX108" s="7">
        <f>SUM(BX81:BX104)</f>
        <v/>
      </c>
      <c r="BY108" s="7">
        <f>SUM(BY81:BY104)</f>
        <v/>
      </c>
      <c r="BZ108" s="7">
        <f>SUM(BZ81:BZ104)</f>
        <v/>
      </c>
      <c r="CA108" s="7">
        <f>SUM(CA81:CA104)</f>
        <v/>
      </c>
      <c r="CB108" s="7">
        <f>SUM(CB81:CB104)</f>
        <v/>
      </c>
      <c r="CC108" s="7">
        <f>SUM(CC81:CC104)</f>
        <v/>
      </c>
      <c r="CD108" s="7">
        <f>SUM(CD81:CD104)</f>
        <v/>
      </c>
      <c r="CE108" s="7">
        <f>SUM(CE81:CE104)</f>
        <v/>
      </c>
      <c r="CF108" s="7">
        <f>SUM(CF81:CF104)</f>
        <v/>
      </c>
      <c r="CG108" s="7">
        <f>SUM(CG81:CG104)</f>
        <v/>
      </c>
      <c r="CH108" s="7">
        <f>SUM(CH81:CH104)</f>
        <v/>
      </c>
      <c r="CI108" s="7">
        <f>SUM(CI81:CI104)</f>
        <v/>
      </c>
      <c r="CJ108" s="7">
        <f>SUM(CJ81:CJ104)</f>
        <v/>
      </c>
      <c r="CK108" s="7">
        <f>SUM(CK81:CK104)</f>
        <v/>
      </c>
      <c r="CL108" s="7">
        <f>SUM(CL81:CL104)</f>
        <v/>
      </c>
      <c r="CM108" s="7">
        <f>SUM(CM81:CM104)</f>
        <v/>
      </c>
      <c r="CN108" s="7">
        <f>SUM(CN81:CN104)</f>
        <v/>
      </c>
      <c r="CO108" s="7">
        <f>SUM(CO81:CO104)</f>
        <v/>
      </c>
      <c r="CP108" s="7">
        <f>SUM(CP81:CP104)</f>
        <v/>
      </c>
      <c r="CQ108" s="7">
        <f>SUM(CQ81:CQ104)</f>
        <v/>
      </c>
      <c r="CR108" s="7">
        <f>SUM(CR81:CR104)</f>
        <v/>
      </c>
      <c r="CS108" s="7">
        <f>SUM(CS81:CS104)</f>
        <v/>
      </c>
      <c r="CT108" s="7">
        <f>SUM(CT81:CT104)</f>
        <v/>
      </c>
      <c r="CU108" s="7">
        <f>SUM(CU81:CU104)</f>
        <v/>
      </c>
      <c r="CV108" s="7">
        <f>SUM(CV81:CV104)</f>
        <v/>
      </c>
      <c r="CW108" s="7">
        <f>SUM(CW81:CW104)</f>
        <v/>
      </c>
      <c r="CX108" s="7">
        <f>SUM(CX81:CX104)</f>
        <v/>
      </c>
      <c r="CY108" s="7">
        <f>SUM(CY81:CY104)</f>
        <v/>
      </c>
      <c r="CZ108" s="7">
        <f>SUM(CZ81:CZ104)</f>
        <v/>
      </c>
      <c r="DA108" s="7">
        <f>SUM(DA81:DA104)</f>
        <v/>
      </c>
      <c r="DB108" s="7">
        <f>SUM(DB81:DB104)</f>
        <v/>
      </c>
      <c r="DC108" s="7">
        <f>SUM(DC81:DC104)</f>
        <v/>
      </c>
      <c r="DD108" s="7">
        <f>SUM(DD81:DD104)</f>
        <v/>
      </c>
      <c r="DE108" s="7">
        <f>SUM(DE81:DE104)</f>
        <v/>
      </c>
      <c r="DF108" s="7">
        <f>SUM(DF81:DF104)</f>
        <v/>
      </c>
      <c r="DG108" s="7">
        <f>SUM(DG81:DG104)</f>
        <v/>
      </c>
      <c r="DH108" s="7">
        <f>SUM(DH81:DH104)</f>
        <v/>
      </c>
      <c r="DI108" s="7">
        <f>SUM(DI81:DI104)</f>
        <v/>
      </c>
      <c r="DJ108" s="7">
        <f>SUM(DJ81:DJ104)</f>
        <v/>
      </c>
      <c r="DK108" s="7">
        <f>SUM(DK81:DK104)</f>
        <v/>
      </c>
      <c r="DL108" s="7">
        <f>SUM(DL81:DL104)</f>
        <v/>
      </c>
      <c r="DM108" s="7">
        <f>SUM(DM81:DM104)</f>
        <v/>
      </c>
      <c r="DN108" s="7">
        <f>SUM(DN81:DN104)</f>
        <v/>
      </c>
      <c r="DO108" s="7">
        <f>SUM(DO81:DO104)</f>
        <v/>
      </c>
      <c r="DP108" s="7">
        <f>SUM(DP81:DP104)</f>
        <v/>
      </c>
      <c r="DQ108" s="7">
        <f>SUM(DQ81:DQ104)</f>
        <v/>
      </c>
      <c r="DR108" s="7">
        <f>SUM(DR81:DR104)</f>
        <v/>
      </c>
      <c r="DS108" s="12" t="n"/>
      <c r="DT108" s="12" t="n"/>
      <c r="DU108" s="12" t="n"/>
      <c r="DV108" s="12" t="n"/>
      <c r="DW108" s="12" t="n"/>
      <c r="DX108" s="12" t="n"/>
      <c r="DY108" s="12" t="n"/>
      <c r="DZ108" s="12" t="n"/>
      <c r="EA108" s="12" t="n"/>
      <c r="EB108" s="12" t="n"/>
      <c r="EC108" s="12" t="n"/>
      <c r="ED108" s="12" t="n"/>
      <c r="EE108" s="10" t="n"/>
      <c r="EF108" s="10" t="n"/>
      <c r="EG108" s="10" t="n"/>
      <c r="EH108" s="2" t="n"/>
      <c r="EI108" s="2" t="n"/>
      <c r="EJ108" s="10" t="n"/>
      <c r="EK108" s="12" t="n"/>
      <c r="EL108" s="10" t="n"/>
    </row>
  </sheetData>
  <mergeCells count="30">
    <mergeCell ref="EG7:EG8"/>
    <mergeCell ref="CO7:CX7"/>
    <mergeCell ref="B3:C3"/>
    <mergeCell ref="C7:L7"/>
    <mergeCell ref="DS7:ED7"/>
    <mergeCell ref="L3:EL5"/>
    <mergeCell ref="H5:K5"/>
    <mergeCell ref="B6:EL6"/>
    <mergeCell ref="BK7:BT7"/>
    <mergeCell ref="CY7:DH7"/>
    <mergeCell ref="DI7:DR7"/>
    <mergeCell ref="BU7:CD7"/>
    <mergeCell ref="F5:G5"/>
    <mergeCell ref="EF7:EF8"/>
    <mergeCell ref="EH7:EH8"/>
    <mergeCell ref="CE7:CN7"/>
    <mergeCell ref="EE7:EE8"/>
    <mergeCell ref="EI7:EL7"/>
    <mergeCell ref="AQ7:AZ7"/>
    <mergeCell ref="D4:K4"/>
    <mergeCell ref="BA7:BJ7"/>
    <mergeCell ref="B2:EL2"/>
    <mergeCell ref="D3:K3"/>
    <mergeCell ref="B5:C5"/>
    <mergeCell ref="D5:E5"/>
    <mergeCell ref="M7:V7"/>
    <mergeCell ref="B7:B8"/>
    <mergeCell ref="W7:AF7"/>
    <mergeCell ref="AG7:AP7"/>
    <mergeCell ref="B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B2:EH109"/>
  <sheetViews>
    <sheetView zoomScale="70" zoomScaleNormal="70" workbookViewId="0">
      <selection activeCell="A1" sqref="A1"/>
    </sheetView>
  </sheetViews>
  <sheetFormatPr baseColWidth="10" defaultColWidth="9.140625" defaultRowHeight="15" outlineLevelCol="0"/>
  <cols>
    <col width="13.5703125" bestFit="1" customWidth="1" min="1" max="1"/>
    <col width="17" bestFit="1" customWidth="1" min="2" max="2"/>
    <col width="13.5703125" bestFit="1" customWidth="1" style="1" min="3" max="102"/>
    <col width="13.5703125" customWidth="1" style="84" min="103" max="122"/>
    <col width="13.5703125" bestFit="1" customWidth="1" style="1" min="123" max="132"/>
    <col width="13.5703125" customWidth="1" style="84" min="133" max="134"/>
    <col width="13.5703125" bestFit="1" customWidth="1" style="2" min="135" max="137"/>
    <col width="13.5703125" bestFit="1" customWidth="1" style="1" min="138" max="138"/>
  </cols>
  <sheetData>
    <row r="1" ht="18.75" customHeight="1"/>
    <row r="2" ht="30" customHeight="1">
      <c r="B2" s="256" t="inlineStr">
        <is>
          <t>CONTROL DE FLUJO VEHICULAR CLASIFICADO</t>
        </is>
      </c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  <c r="BG2" s="228" t="n"/>
      <c r="BH2" s="228" t="n"/>
      <c r="BI2" s="228" t="n"/>
      <c r="BJ2" s="228" t="n"/>
      <c r="BK2" s="228" t="n"/>
      <c r="BL2" s="228" t="n"/>
      <c r="BM2" s="228" t="n"/>
      <c r="BN2" s="228" t="n"/>
      <c r="BO2" s="228" t="n"/>
      <c r="BP2" s="228" t="n"/>
      <c r="BQ2" s="228" t="n"/>
      <c r="BR2" s="228" t="n"/>
      <c r="BS2" s="228" t="n"/>
      <c r="BT2" s="228" t="n"/>
      <c r="BU2" s="228" t="n"/>
      <c r="BV2" s="228" t="n"/>
      <c r="BW2" s="228" t="n"/>
      <c r="BX2" s="228" t="n"/>
      <c r="BY2" s="228" t="n"/>
      <c r="BZ2" s="228" t="n"/>
      <c r="CA2" s="228" t="n"/>
      <c r="CB2" s="228" t="n"/>
      <c r="CC2" s="228" t="n"/>
      <c r="CD2" s="228" t="n"/>
      <c r="CE2" s="228" t="n"/>
      <c r="CF2" s="228" t="n"/>
      <c r="CG2" s="228" t="n"/>
      <c r="CH2" s="228" t="n"/>
      <c r="CI2" s="228" t="n"/>
      <c r="CJ2" s="228" t="n"/>
      <c r="CK2" s="228" t="n"/>
      <c r="CL2" s="228" t="n"/>
      <c r="CM2" s="228" t="n"/>
      <c r="CN2" s="228" t="n"/>
      <c r="CO2" s="228" t="n"/>
      <c r="CP2" s="228" t="n"/>
      <c r="CQ2" s="228" t="n"/>
      <c r="CR2" s="228" t="n"/>
      <c r="CS2" s="228" t="n"/>
      <c r="CT2" s="228" t="n"/>
      <c r="CU2" s="228" t="n"/>
      <c r="CV2" s="228" t="n"/>
      <c r="CW2" s="228" t="n"/>
      <c r="CX2" s="228" t="n"/>
      <c r="CY2" s="228" t="n"/>
      <c r="CZ2" s="228" t="n"/>
      <c r="DA2" s="228" t="n"/>
      <c r="DB2" s="228" t="n"/>
      <c r="DC2" s="228" t="n"/>
      <c r="DD2" s="228" t="n"/>
      <c r="DE2" s="228" t="n"/>
      <c r="DF2" s="228" t="n"/>
      <c r="DG2" s="228" t="n"/>
      <c r="DH2" s="228" t="n"/>
      <c r="DI2" s="228" t="n"/>
      <c r="DJ2" s="228" t="n"/>
      <c r="DK2" s="228" t="n"/>
      <c r="DL2" s="228" t="n"/>
      <c r="DM2" s="228" t="n"/>
      <c r="DN2" s="228" t="n"/>
      <c r="DO2" s="228" t="n"/>
      <c r="DP2" s="228" t="n"/>
      <c r="DQ2" s="228" t="n"/>
      <c r="DR2" s="228" t="n"/>
      <c r="DS2" s="228" t="n"/>
      <c r="DT2" s="228" t="n"/>
      <c r="DU2" s="228" t="n"/>
      <c r="DV2" s="228" t="n"/>
      <c r="DW2" s="228" t="n"/>
      <c r="DX2" s="228" t="n"/>
      <c r="DY2" s="228" t="n"/>
      <c r="DZ2" s="228" t="n"/>
      <c r="EA2" s="228" t="n"/>
      <c r="EB2" s="228" t="n"/>
      <c r="EC2" s="228" t="n"/>
      <c r="ED2" s="228" t="n"/>
      <c r="EE2" s="228" t="n"/>
      <c r="EF2" s="228" t="n"/>
      <c r="EG2" s="228" t="n"/>
      <c r="EH2" s="257" t="n"/>
    </row>
    <row r="3" ht="20.25" customHeight="1">
      <c r="B3" s="201" t="inlineStr">
        <is>
          <t xml:space="preserve">Intersección     :     </t>
        </is>
      </c>
      <c r="D3" s="203">
        <f>Inicio!G5</f>
        <v/>
      </c>
      <c r="L3" s="206" t="n"/>
      <c r="EH3" s="48" t="n"/>
    </row>
    <row r="4" ht="20.25" customHeight="1">
      <c r="B4" s="201" t="inlineStr">
        <is>
          <t xml:space="preserve">Fecha     :     </t>
        </is>
      </c>
      <c r="D4" s="204">
        <f>Inicio!G6</f>
        <v/>
      </c>
      <c r="EH4" s="48" t="n"/>
    </row>
    <row r="5" ht="20.25" customHeight="1">
      <c r="B5" s="201" t="inlineStr">
        <is>
          <t xml:space="preserve">Día     :     </t>
        </is>
      </c>
      <c r="D5" s="207">
        <f>Inicio!G8</f>
        <v/>
      </c>
      <c r="F5" s="202" t="inlineStr">
        <is>
          <t xml:space="preserve">Distrito     :     </t>
        </is>
      </c>
      <c r="H5" s="207">
        <f>Inicio!G9</f>
        <v/>
      </c>
      <c r="EH5" s="48" t="n"/>
    </row>
    <row r="6" ht="20.25" customHeight="1">
      <c r="B6" s="258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1" t="n"/>
    </row>
    <row r="7" ht="22.5" customHeight="1">
      <c r="B7" s="217" t="inlineStr">
        <is>
          <t>Horas de Control</t>
        </is>
      </c>
      <c r="C7" s="193">
        <f>Inicio!V4</f>
        <v/>
      </c>
      <c r="D7" s="259" t="n"/>
      <c r="E7" s="259" t="n"/>
      <c r="F7" s="259" t="n"/>
      <c r="G7" s="259" t="n"/>
      <c r="H7" s="259" t="n"/>
      <c r="I7" s="259" t="n"/>
      <c r="J7" s="259" t="n"/>
      <c r="K7" s="259" t="n"/>
      <c r="L7" s="260" t="n"/>
      <c r="M7" s="193">
        <f>Inicio!V5</f>
        <v/>
      </c>
      <c r="N7" s="259" t="n"/>
      <c r="O7" s="259" t="n"/>
      <c r="P7" s="259" t="n"/>
      <c r="Q7" s="259" t="n"/>
      <c r="R7" s="259" t="n"/>
      <c r="S7" s="259" t="n"/>
      <c r="T7" s="259" t="n"/>
      <c r="U7" s="259" t="n"/>
      <c r="V7" s="260" t="n"/>
      <c r="W7" s="193">
        <f>Inicio!V6</f>
        <v/>
      </c>
      <c r="X7" s="259" t="n"/>
      <c r="Y7" s="259" t="n"/>
      <c r="Z7" s="259" t="n"/>
      <c r="AA7" s="259" t="n"/>
      <c r="AB7" s="259" t="n"/>
      <c r="AC7" s="259" t="n"/>
      <c r="AD7" s="259" t="n"/>
      <c r="AE7" s="259" t="n"/>
      <c r="AF7" s="260" t="n"/>
      <c r="AG7" s="266">
        <f>Inicio!V7</f>
        <v/>
      </c>
      <c r="AH7" s="259" t="n"/>
      <c r="AI7" s="259" t="n"/>
      <c r="AJ7" s="259" t="n"/>
      <c r="AK7" s="259" t="n"/>
      <c r="AL7" s="259" t="n"/>
      <c r="AM7" s="259" t="n"/>
      <c r="AN7" s="259" t="n"/>
      <c r="AO7" s="259" t="n"/>
      <c r="AP7" s="260" t="n"/>
      <c r="AQ7" s="266">
        <f>Inicio!V8</f>
        <v/>
      </c>
      <c r="AR7" s="259" t="n"/>
      <c r="AS7" s="259" t="n"/>
      <c r="AT7" s="259" t="n"/>
      <c r="AU7" s="259" t="n"/>
      <c r="AV7" s="259" t="n"/>
      <c r="AW7" s="259" t="n"/>
      <c r="AX7" s="259" t="n"/>
      <c r="AY7" s="259" t="n"/>
      <c r="AZ7" s="260" t="n"/>
      <c r="BA7" s="266">
        <f>Inicio!V9</f>
        <v/>
      </c>
      <c r="BB7" s="259" t="n"/>
      <c r="BC7" s="259" t="n"/>
      <c r="BD7" s="259" t="n"/>
      <c r="BE7" s="259" t="n"/>
      <c r="BF7" s="259" t="n"/>
      <c r="BG7" s="259" t="n"/>
      <c r="BH7" s="259" t="n"/>
      <c r="BI7" s="259" t="n"/>
      <c r="BJ7" s="260" t="n"/>
      <c r="BK7" s="266">
        <f>Inicio!V10</f>
        <v/>
      </c>
      <c r="BL7" s="259" t="n"/>
      <c r="BM7" s="259" t="n"/>
      <c r="BN7" s="259" t="n"/>
      <c r="BO7" s="259" t="n"/>
      <c r="BP7" s="259" t="n"/>
      <c r="BQ7" s="259" t="n"/>
      <c r="BR7" s="259" t="n"/>
      <c r="BS7" s="259" t="n"/>
      <c r="BT7" s="260" t="n"/>
      <c r="BU7" s="266">
        <f>Inicio!V11</f>
        <v/>
      </c>
      <c r="BV7" s="259" t="n"/>
      <c r="BW7" s="259" t="n"/>
      <c r="BX7" s="259" t="n"/>
      <c r="BY7" s="259" t="n"/>
      <c r="BZ7" s="259" t="n"/>
      <c r="CA7" s="259" t="n"/>
      <c r="CB7" s="259" t="n"/>
      <c r="CC7" s="259" t="n"/>
      <c r="CD7" s="260" t="n"/>
      <c r="CE7" s="266">
        <f>Inicio!V12</f>
        <v/>
      </c>
      <c r="CF7" s="259" t="n"/>
      <c r="CG7" s="259" t="n"/>
      <c r="CH7" s="259" t="n"/>
      <c r="CI7" s="259" t="n"/>
      <c r="CJ7" s="259" t="n"/>
      <c r="CK7" s="259" t="n"/>
      <c r="CL7" s="259" t="n"/>
      <c r="CM7" s="259" t="n"/>
      <c r="CN7" s="260" t="n"/>
      <c r="CO7" s="266">
        <f>Inicio!V13</f>
        <v/>
      </c>
      <c r="CP7" s="259" t="n"/>
      <c r="CQ7" s="259" t="n"/>
      <c r="CR7" s="259" t="n"/>
      <c r="CS7" s="259" t="n"/>
      <c r="CT7" s="259" t="n"/>
      <c r="CU7" s="259" t="n"/>
      <c r="CV7" s="259" t="n"/>
      <c r="CW7" s="259" t="n"/>
      <c r="CX7" s="260" t="n"/>
      <c r="CY7" s="266">
        <f>Inicio!V14</f>
        <v/>
      </c>
      <c r="CZ7" s="259" t="n"/>
      <c r="DA7" s="259" t="n"/>
      <c r="DB7" s="259" t="n"/>
      <c r="DC7" s="259" t="n"/>
      <c r="DD7" s="259" t="n"/>
      <c r="DE7" s="259" t="n"/>
      <c r="DF7" s="259" t="n"/>
      <c r="DG7" s="259" t="n"/>
      <c r="DH7" s="260" t="n"/>
      <c r="DI7" s="266">
        <f>Inicio!V15</f>
        <v/>
      </c>
      <c r="DJ7" s="259" t="n"/>
      <c r="DK7" s="259" t="n"/>
      <c r="DL7" s="259" t="n"/>
      <c r="DM7" s="259" t="n"/>
      <c r="DN7" s="259" t="n"/>
      <c r="DO7" s="259" t="n"/>
      <c r="DP7" s="259" t="n"/>
      <c r="DQ7" s="259" t="n"/>
      <c r="DR7" s="260" t="n"/>
      <c r="DS7" s="264" t="inlineStr">
        <is>
          <t>Movimiento UCP</t>
        </is>
      </c>
      <c r="DT7" s="262" t="n"/>
      <c r="DU7" s="262" t="n"/>
      <c r="DV7" s="262" t="n"/>
      <c r="DW7" s="262" t="n"/>
      <c r="DX7" s="262" t="n"/>
      <c r="DY7" s="262" t="n"/>
      <c r="DZ7" s="262" t="n"/>
      <c r="EA7" s="262" t="n"/>
      <c r="EB7" s="262" t="n"/>
      <c r="EC7" s="262" t="n"/>
      <c r="ED7" s="263" t="n"/>
      <c r="EE7" s="196" t="inlineStr">
        <is>
          <t>Total
c/15'</t>
        </is>
      </c>
      <c r="EF7" s="196" t="inlineStr">
        <is>
          <t>Suma
1h</t>
        </is>
      </c>
      <c r="EG7" s="196" t="inlineStr">
        <is>
          <t>(UCP)
c/15'</t>
        </is>
      </c>
      <c r="EH7" s="196" t="inlineStr">
        <is>
          <t>(UCP)
1h</t>
        </is>
      </c>
    </row>
    <row r="8" ht="20.25" customHeight="1">
      <c r="B8" s="265" t="n"/>
      <c r="C8" s="14">
        <f>IF(Inicio!$M12 = 0,"",Inicio!$M12)</f>
        <v/>
      </c>
      <c r="D8" s="14">
        <f>IF(Inicio!$M13 = 0,"",Inicio!$M13)</f>
        <v/>
      </c>
      <c r="E8" s="14">
        <f>IF(Inicio!$M14 = 0,"",Inicio!$M14)</f>
        <v/>
      </c>
      <c r="F8" s="14">
        <f>IF(Inicio!$M15 = 0,"",Inicio!$M15)</f>
        <v/>
      </c>
      <c r="G8" s="14">
        <f>IF(Inicio!$M16 = 0,"",Inicio!$M16)</f>
        <v/>
      </c>
      <c r="H8" s="14">
        <f>IF(Inicio!$M17 = 0,"",Inicio!$M17)</f>
        <v/>
      </c>
      <c r="I8" s="14">
        <f>IF(Inicio!$M18 = 0,"",Inicio!$M18)</f>
        <v/>
      </c>
      <c r="J8" s="14">
        <f>IF(Inicio!$M19 = 0,"",Inicio!$M19)</f>
        <v/>
      </c>
      <c r="K8" s="14">
        <f>IF(Inicio!$M20 = 0,"",Inicio!$M20)</f>
        <v/>
      </c>
      <c r="L8" s="14">
        <f>IF(Inicio!$M21 = 0,"",Inicio!$M21)</f>
        <v/>
      </c>
      <c r="M8" s="14">
        <f>IF(Inicio!$M12 = 0,"",Inicio!$M12)</f>
        <v/>
      </c>
      <c r="N8" s="14">
        <f>IF(Inicio!$M13 = 0,"",Inicio!$M13)</f>
        <v/>
      </c>
      <c r="O8" s="14">
        <f>IF(Inicio!$M14 = 0,"",Inicio!$M14)</f>
        <v/>
      </c>
      <c r="P8" s="14">
        <f>IF(Inicio!$M15 = 0,"",Inicio!$M15)</f>
        <v/>
      </c>
      <c r="Q8" s="14">
        <f>IF(Inicio!$M16 = 0,"",Inicio!$M16)</f>
        <v/>
      </c>
      <c r="R8" s="14">
        <f>IF(Inicio!$M17 = 0,"",Inicio!$M17)</f>
        <v/>
      </c>
      <c r="S8" s="14">
        <f>IF(Inicio!$M18 = 0,"",Inicio!$M18)</f>
        <v/>
      </c>
      <c r="T8" s="14">
        <f>IF(Inicio!$M19 = 0,"",Inicio!$M19)</f>
        <v/>
      </c>
      <c r="U8" s="14">
        <f>IF(Inicio!$M20 = 0,"",Inicio!$M20)</f>
        <v/>
      </c>
      <c r="V8" s="14">
        <f>IF(Inicio!$M21 = 0,"",Inicio!$M21)</f>
        <v/>
      </c>
      <c r="W8" s="14">
        <f>IF(Inicio!$M12 = 0,"",Inicio!$M12)</f>
        <v/>
      </c>
      <c r="X8" s="14">
        <f>IF(Inicio!$M13 = 0,"",Inicio!$M13)</f>
        <v/>
      </c>
      <c r="Y8" s="14">
        <f>IF(Inicio!$M14 = 0,"",Inicio!$M14)</f>
        <v/>
      </c>
      <c r="Z8" s="14">
        <f>IF(Inicio!$M15 = 0,"",Inicio!$M15)</f>
        <v/>
      </c>
      <c r="AA8" s="14">
        <f>IF(Inicio!$M16 = 0,"",Inicio!$M16)</f>
        <v/>
      </c>
      <c r="AB8" s="14">
        <f>IF(Inicio!$M17 = 0,"",Inicio!$M17)</f>
        <v/>
      </c>
      <c r="AC8" s="14">
        <f>IF(Inicio!$M18 = 0,"",Inicio!$M18)</f>
        <v/>
      </c>
      <c r="AD8" s="14">
        <f>IF(Inicio!$M19 = 0,"",Inicio!$M19)</f>
        <v/>
      </c>
      <c r="AE8" s="14">
        <f>IF(Inicio!$M20 = 0,"",Inicio!$M20)</f>
        <v/>
      </c>
      <c r="AF8" s="14">
        <f>IF(Inicio!$M21 = 0,"",Inicio!$M21)</f>
        <v/>
      </c>
      <c r="AG8" s="14">
        <f>IF(Inicio!$M12 = 0,"",Inicio!$M12)</f>
        <v/>
      </c>
      <c r="AH8" s="14">
        <f>IF(Inicio!$M13 = 0,"",Inicio!$M13)</f>
        <v/>
      </c>
      <c r="AI8" s="14">
        <f>IF(Inicio!$M14 = 0,"",Inicio!$M14)</f>
        <v/>
      </c>
      <c r="AJ8" s="14">
        <f>IF(Inicio!$M15 = 0,"",Inicio!$M15)</f>
        <v/>
      </c>
      <c r="AK8" s="14">
        <f>IF(Inicio!$M16 = 0,"",Inicio!$M16)</f>
        <v/>
      </c>
      <c r="AL8" s="14">
        <f>IF(Inicio!$M17 = 0,"",Inicio!$M17)</f>
        <v/>
      </c>
      <c r="AM8" s="14">
        <f>IF(Inicio!$M18 = 0,"",Inicio!$M18)</f>
        <v/>
      </c>
      <c r="AN8" s="14">
        <f>IF(Inicio!$M19 = 0,"",Inicio!$M19)</f>
        <v/>
      </c>
      <c r="AO8" s="14">
        <f>IF(Inicio!$M20 = 0,"",Inicio!$M20)</f>
        <v/>
      </c>
      <c r="AP8" s="14">
        <f>IF(Inicio!$M21 = 0,"",Inicio!$M21)</f>
        <v/>
      </c>
      <c r="AQ8" s="14">
        <f>IF(Inicio!$M12 = 0,"",Inicio!$M12)</f>
        <v/>
      </c>
      <c r="AR8" s="14">
        <f>IF(Inicio!$M13 = 0,"",Inicio!$M13)</f>
        <v/>
      </c>
      <c r="AS8" s="14">
        <f>IF(Inicio!$M14 = 0,"",Inicio!$M14)</f>
        <v/>
      </c>
      <c r="AT8" s="14">
        <f>IF(Inicio!$M15 = 0,"",Inicio!$M15)</f>
        <v/>
      </c>
      <c r="AU8" s="14">
        <f>IF(Inicio!$M16 = 0,"",Inicio!$M16)</f>
        <v/>
      </c>
      <c r="AV8" s="14">
        <f>IF(Inicio!$M17 = 0,"",Inicio!$M17)</f>
        <v/>
      </c>
      <c r="AW8" s="14">
        <f>IF(Inicio!$M18 = 0,"",Inicio!$M18)</f>
        <v/>
      </c>
      <c r="AX8" s="14">
        <f>IF(Inicio!$M19 = 0,"",Inicio!$M19)</f>
        <v/>
      </c>
      <c r="AY8" s="14">
        <f>IF(Inicio!$M20 = 0,"",Inicio!$M20)</f>
        <v/>
      </c>
      <c r="AZ8" s="14">
        <f>IF(Inicio!$M21 = 0,"",Inicio!$M21)</f>
        <v/>
      </c>
      <c r="BA8" s="14">
        <f>IF(Inicio!$M12 = 0,"",Inicio!$M12)</f>
        <v/>
      </c>
      <c r="BB8" s="14">
        <f>IF(Inicio!$M13 = 0,"",Inicio!$M13)</f>
        <v/>
      </c>
      <c r="BC8" s="14">
        <f>IF(Inicio!$M14 = 0,"",Inicio!$M14)</f>
        <v/>
      </c>
      <c r="BD8" s="14">
        <f>IF(Inicio!$M15 = 0,"",Inicio!$M15)</f>
        <v/>
      </c>
      <c r="BE8" s="14">
        <f>IF(Inicio!$M16 = 0,"",Inicio!$M16)</f>
        <v/>
      </c>
      <c r="BF8" s="14">
        <f>IF(Inicio!$M17 = 0,"",Inicio!$M17)</f>
        <v/>
      </c>
      <c r="BG8" s="14">
        <f>IF(Inicio!$M18 = 0,"",Inicio!$M18)</f>
        <v/>
      </c>
      <c r="BH8" s="14">
        <f>IF(Inicio!$M19 = 0,"",Inicio!$M19)</f>
        <v/>
      </c>
      <c r="BI8" s="14">
        <f>IF(Inicio!$M20 = 0,"",Inicio!$M20)</f>
        <v/>
      </c>
      <c r="BJ8" s="14">
        <f>IF(Inicio!$M21 = 0,"",Inicio!$M21)</f>
        <v/>
      </c>
      <c r="BK8" s="14">
        <f>IF(Inicio!$M12 = 0,"",Inicio!$M12)</f>
        <v/>
      </c>
      <c r="BL8" s="14">
        <f>IF(Inicio!$M13 = 0,"",Inicio!$M13)</f>
        <v/>
      </c>
      <c r="BM8" s="14">
        <f>IF(Inicio!$M14 = 0,"",Inicio!$M14)</f>
        <v/>
      </c>
      <c r="BN8" s="14">
        <f>IF(Inicio!$M15 = 0,"",Inicio!$M15)</f>
        <v/>
      </c>
      <c r="BO8" s="14">
        <f>IF(Inicio!$M16 = 0,"",Inicio!$M16)</f>
        <v/>
      </c>
      <c r="BP8" s="14">
        <f>IF(Inicio!$M17 = 0,"",Inicio!$M17)</f>
        <v/>
      </c>
      <c r="BQ8" s="14">
        <f>IF(Inicio!$M18 = 0,"",Inicio!$M18)</f>
        <v/>
      </c>
      <c r="BR8" s="14">
        <f>IF(Inicio!$M19 = 0,"",Inicio!$M19)</f>
        <v/>
      </c>
      <c r="BS8" s="14">
        <f>IF(Inicio!$M20 = 0,"",Inicio!$M20)</f>
        <v/>
      </c>
      <c r="BT8" s="14">
        <f>IF(Inicio!$M21 = 0,"",Inicio!$M21)</f>
        <v/>
      </c>
      <c r="BU8" s="14">
        <f>IF(Inicio!$M12 = 0,"",Inicio!$M12)</f>
        <v/>
      </c>
      <c r="BV8" s="14">
        <f>IF(Inicio!$M13 = 0,"",Inicio!$M13)</f>
        <v/>
      </c>
      <c r="BW8" s="14">
        <f>IF(Inicio!$M14 = 0,"",Inicio!$M14)</f>
        <v/>
      </c>
      <c r="BX8" s="14">
        <f>IF(Inicio!$M15 = 0,"",Inicio!$M15)</f>
        <v/>
      </c>
      <c r="BY8" s="14">
        <f>IF(Inicio!$M16 = 0,"",Inicio!$M16)</f>
        <v/>
      </c>
      <c r="BZ8" s="14">
        <f>IF(Inicio!$M17 = 0,"",Inicio!$M17)</f>
        <v/>
      </c>
      <c r="CA8" s="14">
        <f>IF(Inicio!$M18 = 0,"",Inicio!$M18)</f>
        <v/>
      </c>
      <c r="CB8" s="14">
        <f>IF(Inicio!$M19 = 0,"",Inicio!$M19)</f>
        <v/>
      </c>
      <c r="CC8" s="14">
        <f>IF(Inicio!$M20 = 0,"",Inicio!$M20)</f>
        <v/>
      </c>
      <c r="CD8" s="14">
        <f>IF(Inicio!$M21 = 0,"",Inicio!$M21)</f>
        <v/>
      </c>
      <c r="CE8" s="14">
        <f>IF(Inicio!$M12 = 0,"",Inicio!$M12)</f>
        <v/>
      </c>
      <c r="CF8" s="14">
        <f>IF(Inicio!$M13 = 0,"",Inicio!$M13)</f>
        <v/>
      </c>
      <c r="CG8" s="14">
        <f>IF(Inicio!$M14 = 0,"",Inicio!$M14)</f>
        <v/>
      </c>
      <c r="CH8" s="14">
        <f>IF(Inicio!$M15 = 0,"",Inicio!$M15)</f>
        <v/>
      </c>
      <c r="CI8" s="14">
        <f>IF(Inicio!$M16 = 0,"",Inicio!$M16)</f>
        <v/>
      </c>
      <c r="CJ8" s="14">
        <f>IF(Inicio!$M17 = 0,"",Inicio!$M17)</f>
        <v/>
      </c>
      <c r="CK8" s="14">
        <f>IF(Inicio!$M18 = 0,"",Inicio!$M18)</f>
        <v/>
      </c>
      <c r="CL8" s="14">
        <f>IF(Inicio!$M19 = 0,"",Inicio!$M19)</f>
        <v/>
      </c>
      <c r="CM8" s="14">
        <f>IF(Inicio!$M20 = 0,"",Inicio!$M20)</f>
        <v/>
      </c>
      <c r="CN8" s="14">
        <f>IF(Inicio!$M21 = 0,"",Inicio!$M21)</f>
        <v/>
      </c>
      <c r="CO8" s="14">
        <f>IF(Inicio!$M12 = 0,"",Inicio!$M12)</f>
        <v/>
      </c>
      <c r="CP8" s="14">
        <f>IF(Inicio!$M13 = 0,"",Inicio!$M13)</f>
        <v/>
      </c>
      <c r="CQ8" s="14">
        <f>IF(Inicio!$M14 = 0,"",Inicio!$M14)</f>
        <v/>
      </c>
      <c r="CR8" s="14">
        <f>IF(Inicio!$M15 = 0,"",Inicio!$M15)</f>
        <v/>
      </c>
      <c r="CS8" s="14">
        <f>IF(Inicio!$M16 = 0,"",Inicio!$M16)</f>
        <v/>
      </c>
      <c r="CT8" s="14">
        <f>IF(Inicio!$M17 = 0,"",Inicio!$M17)</f>
        <v/>
      </c>
      <c r="CU8" s="14">
        <f>IF(Inicio!$M18 = 0,"",Inicio!$M18)</f>
        <v/>
      </c>
      <c r="CV8" s="14">
        <f>IF(Inicio!$M19 = 0,"",Inicio!$M19)</f>
        <v/>
      </c>
      <c r="CW8" s="14">
        <f>IF(Inicio!$M20 = 0,"",Inicio!$M20)</f>
        <v/>
      </c>
      <c r="CX8" s="14">
        <f>IF(Inicio!$M21 = 0,"",Inicio!$M21)</f>
        <v/>
      </c>
      <c r="CY8" s="14">
        <f>IF(Inicio!$M12 = 0,"",Inicio!$M12)</f>
        <v/>
      </c>
      <c r="CZ8" s="14">
        <f>IF(Inicio!$M13 = 0,"",Inicio!$M13)</f>
        <v/>
      </c>
      <c r="DA8" s="14">
        <f>IF(Inicio!$M14 = 0,"",Inicio!$M14)</f>
        <v/>
      </c>
      <c r="DB8" s="14">
        <f>IF(Inicio!$M15 = 0,"",Inicio!$M15)</f>
        <v/>
      </c>
      <c r="DC8" s="14">
        <f>IF(Inicio!$M16 = 0,"",Inicio!$M16)</f>
        <v/>
      </c>
      <c r="DD8" s="14">
        <f>IF(Inicio!$M17 = 0,"",Inicio!$M17)</f>
        <v/>
      </c>
      <c r="DE8" s="14">
        <f>IF(Inicio!$M18 = 0,"",Inicio!$M18)</f>
        <v/>
      </c>
      <c r="DF8" s="14">
        <f>IF(Inicio!$M19 = 0,"",Inicio!$M19)</f>
        <v/>
      </c>
      <c r="DG8" s="14">
        <f>IF(Inicio!$M20 = 0,"",Inicio!$M20)</f>
        <v/>
      </c>
      <c r="DH8" s="14">
        <f>IF(Inicio!$M21 = 0,"",Inicio!$M21)</f>
        <v/>
      </c>
      <c r="DI8" s="14">
        <f>IF(Inicio!$M12 = 0,"",Inicio!$M12)</f>
        <v/>
      </c>
      <c r="DJ8" s="14">
        <f>IF(Inicio!$M13 = 0,"",Inicio!$M13)</f>
        <v/>
      </c>
      <c r="DK8" s="14">
        <f>IF(Inicio!$M14 = 0,"",Inicio!$M14)</f>
        <v/>
      </c>
      <c r="DL8" s="14">
        <f>IF(Inicio!$M15 = 0,"",Inicio!$M15)</f>
        <v/>
      </c>
      <c r="DM8" s="14">
        <f>IF(Inicio!$M16 = 0,"",Inicio!$M16)</f>
        <v/>
      </c>
      <c r="DN8" s="14">
        <f>IF(Inicio!$M17 = 0,"",Inicio!$M17)</f>
        <v/>
      </c>
      <c r="DO8" s="14">
        <f>IF(Inicio!$M18 = 0,"",Inicio!$M18)</f>
        <v/>
      </c>
      <c r="DP8" s="14">
        <f>IF(Inicio!$M19 = 0,"",Inicio!$M19)</f>
        <v/>
      </c>
      <c r="DQ8" s="14">
        <f>IF(Inicio!$M20 = 0,"",Inicio!$M20)</f>
        <v/>
      </c>
      <c r="DR8" s="14">
        <f>IF(Inicio!$M21 = 0,"",Inicio!$M21)</f>
        <v/>
      </c>
      <c r="DS8" s="52">
        <f>C7</f>
        <v/>
      </c>
      <c r="DT8" s="52">
        <f>M7</f>
        <v/>
      </c>
      <c r="DU8" s="52">
        <f>W7</f>
        <v/>
      </c>
      <c r="DV8" s="52">
        <f>AG7</f>
        <v/>
      </c>
      <c r="DW8" s="52">
        <f>AQ7</f>
        <v/>
      </c>
      <c r="DX8" s="52">
        <f>BA7</f>
        <v/>
      </c>
      <c r="DY8" s="52">
        <f>BK7</f>
        <v/>
      </c>
      <c r="DZ8" s="52">
        <f>BU7</f>
        <v/>
      </c>
      <c r="EA8" s="52">
        <f>CE7</f>
        <v/>
      </c>
      <c r="EB8" s="52">
        <f>CO7</f>
        <v/>
      </c>
      <c r="EC8" s="52">
        <f>CY7</f>
        <v/>
      </c>
      <c r="ED8" s="52">
        <f>DI7</f>
        <v/>
      </c>
      <c r="EE8" s="265" t="n"/>
      <c r="EF8" s="265" t="n"/>
      <c r="EG8" s="265" t="n"/>
      <c r="EH8" s="265" t="n"/>
    </row>
    <row r="9" ht="20.25" customHeight="1">
      <c r="B9" s="23" t="inlineStr">
        <is>
          <t>00:00 - 00:15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3">
        <f>SUM(C9:L9)*Inicio!$W$4</f>
        <v/>
      </c>
      <c r="DT9" s="3">
        <f>SUM(M9:V9)*Inicio!$W$5</f>
        <v/>
      </c>
      <c r="DU9" s="3">
        <f>SUM(W9:AF9)*Inicio!$W$6</f>
        <v/>
      </c>
      <c r="DV9" s="3">
        <f>SUM(AG9:AP9)*Inicio!$W$7</f>
        <v/>
      </c>
      <c r="DW9" s="3">
        <f>SUM(AQ9:AZ9)*Inicio!$W$8</f>
        <v/>
      </c>
      <c r="DX9" s="3">
        <f>SUM(BA9:BJ9)*Inicio!$W$9</f>
        <v/>
      </c>
      <c r="DY9" s="3">
        <f>SUM(BK9:BT9)*Inicio!$W$10</f>
        <v/>
      </c>
      <c r="DZ9" s="3">
        <f>SUM(BU9:CD9)*Inicio!$W$11</f>
        <v/>
      </c>
      <c r="EA9" s="3">
        <f>SUM(CE9:CN9)*Inicio!$W$12</f>
        <v/>
      </c>
      <c r="EB9" s="3">
        <f>SUM(CO9:CX9)*Inicio!$W$13</f>
        <v/>
      </c>
      <c r="EC9" s="3">
        <f>SUM(CY9:DH9)*Inicio!$W$11</f>
        <v/>
      </c>
      <c r="ED9" s="3">
        <f>SUM(DI9:DR9)*Inicio!$W$12</f>
        <v/>
      </c>
      <c r="EE9" s="3">
        <f>SUM(C9:DR9)</f>
        <v/>
      </c>
      <c r="EF9" s="3">
        <f>EE9</f>
        <v/>
      </c>
      <c r="EG9" s="3">
        <f>SUM(DS9:ED9)</f>
        <v/>
      </c>
      <c r="EH9" s="3">
        <f>EG9</f>
        <v/>
      </c>
    </row>
    <row r="10" ht="20.25" customHeight="1">
      <c r="B10" s="24" t="inlineStr">
        <is>
          <t>00:15 - 00:30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4">
        <f>SUM(C10:L10)*Inicio!$W$4</f>
        <v/>
      </c>
      <c r="DT10" s="4">
        <f>SUM(M10:V10)*Inicio!$W$5</f>
        <v/>
      </c>
      <c r="DU10" s="4">
        <f>SUM(W10:AF10)*Inicio!$W$6</f>
        <v/>
      </c>
      <c r="DV10" s="4">
        <f>SUM(AG10:AP10)*Inicio!$W$7</f>
        <v/>
      </c>
      <c r="DW10" s="4">
        <f>SUM(AQ10:AZ10)*Inicio!$W$8</f>
        <v/>
      </c>
      <c r="DX10" s="4">
        <f>SUM(BA10:BJ10)*Inicio!$W$9</f>
        <v/>
      </c>
      <c r="DY10" s="4">
        <f>SUM(BK10:BT10)*Inicio!$W$10</f>
        <v/>
      </c>
      <c r="DZ10" s="4">
        <f>SUM(BU10:CD10)*Inicio!$W$11</f>
        <v/>
      </c>
      <c r="EA10" s="4">
        <f>SUM(CE10:CN10)*Inicio!$W$12</f>
        <v/>
      </c>
      <c r="EB10" s="4">
        <f>SUM(CO10:CX10)*Inicio!$W$13</f>
        <v/>
      </c>
      <c r="EC10" s="4">
        <f>SUM(CY10:DH10)*Inicio!$W$11</f>
        <v/>
      </c>
      <c r="ED10" s="4">
        <f>SUM(DI10:DR10)*Inicio!$W$12</f>
        <v/>
      </c>
      <c r="EE10" s="4">
        <f>SUM(C10:DR10)</f>
        <v/>
      </c>
      <c r="EF10" s="4">
        <f>SUM(EE9:EE10)</f>
        <v/>
      </c>
      <c r="EG10" s="4">
        <f>SUM(DS10:ED10)</f>
        <v/>
      </c>
      <c r="EH10" s="4">
        <f>SUM(EG9:EG10)</f>
        <v/>
      </c>
    </row>
    <row r="11" ht="20.25" customHeight="1">
      <c r="B11" s="24" t="inlineStr">
        <is>
          <t>00:30 - 00:45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4">
        <f>SUM(C11:L11)*Inicio!$W$4</f>
        <v/>
      </c>
      <c r="DT11" s="4">
        <f>SUM(M11:V11)*Inicio!$W$5</f>
        <v/>
      </c>
      <c r="DU11" s="4">
        <f>SUM(W11:AF11)*Inicio!$W$6</f>
        <v/>
      </c>
      <c r="DV11" s="4">
        <f>SUM(AG11:AP11)*Inicio!$W$7</f>
        <v/>
      </c>
      <c r="DW11" s="4">
        <f>SUM(AQ11:AZ11)*Inicio!$W$8</f>
        <v/>
      </c>
      <c r="DX11" s="4">
        <f>SUM(BA11:BJ11)*Inicio!$W$9</f>
        <v/>
      </c>
      <c r="DY11" s="4">
        <f>SUM(BK11:BT11)*Inicio!$W$10</f>
        <v/>
      </c>
      <c r="DZ11" s="4">
        <f>SUM(BU11:CD11)*Inicio!$W$11</f>
        <v/>
      </c>
      <c r="EA11" s="4">
        <f>SUM(CE11:CN11)*Inicio!$W$12</f>
        <v/>
      </c>
      <c r="EB11" s="4">
        <f>SUM(CO11:CX11)*Inicio!$W$13</f>
        <v/>
      </c>
      <c r="EC11" s="4">
        <f>SUM(CY11:DH11)*Inicio!$W$11</f>
        <v/>
      </c>
      <c r="ED11" s="4">
        <f>SUM(DI11:DR11)*Inicio!$W$12</f>
        <v/>
      </c>
      <c r="EE11" s="4">
        <f>SUM(C11:DR11)</f>
        <v/>
      </c>
      <c r="EF11" s="4">
        <f>SUM(EE9:EE11)</f>
        <v/>
      </c>
      <c r="EG11" s="4">
        <f>SUM(DS11:ED11)</f>
        <v/>
      </c>
      <c r="EH11" s="4">
        <f>SUM(EG9:EG11)</f>
        <v/>
      </c>
    </row>
    <row r="12" ht="20.25" customHeight="1">
      <c r="B12" s="25" t="inlineStr">
        <is>
          <t>00:45 - 01:00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5">
        <f>SUM(C12:L12)*Inicio!$W$4</f>
        <v/>
      </c>
      <c r="DT12" s="5">
        <f>SUM(M12:V12)*Inicio!$W$5</f>
        <v/>
      </c>
      <c r="DU12" s="5">
        <f>SUM(W12:AF12)*Inicio!$W$6</f>
        <v/>
      </c>
      <c r="DV12" s="5">
        <f>SUM(AG12:AP12)*Inicio!$W$7</f>
        <v/>
      </c>
      <c r="DW12" s="5">
        <f>SUM(AQ12:AZ12)*Inicio!$W$8</f>
        <v/>
      </c>
      <c r="DX12" s="5">
        <f>SUM(BA12:BJ12)*Inicio!$W$9</f>
        <v/>
      </c>
      <c r="DY12" s="5">
        <f>SUM(BK12:BT12)*Inicio!$W$10</f>
        <v/>
      </c>
      <c r="DZ12" s="5">
        <f>SUM(BU12:CD12)*Inicio!$W$11</f>
        <v/>
      </c>
      <c r="EA12" s="5">
        <f>SUM(CE12:CN12)*Inicio!$W$12</f>
        <v/>
      </c>
      <c r="EB12" s="5">
        <f>SUM(CO12:CX12)*Inicio!$W$13</f>
        <v/>
      </c>
      <c r="EC12" s="85">
        <f>SUM(CY12:DH12)*Inicio!$W$11</f>
        <v/>
      </c>
      <c r="ED12" s="85">
        <f>SUM(DI12:DR12)*Inicio!$W$12</f>
        <v/>
      </c>
      <c r="EE12" s="4">
        <f>SUM(C12:DR12)</f>
        <v/>
      </c>
      <c r="EF12" s="5">
        <f>SUM(EE9:EE12)</f>
        <v/>
      </c>
      <c r="EG12" s="5">
        <f>SUM(DS12:ED12)</f>
        <v/>
      </c>
      <c r="EH12" s="5">
        <f>SUM(EG9:EG12)</f>
        <v/>
      </c>
    </row>
    <row r="13" ht="20.25" customHeight="1">
      <c r="B13" s="23" t="inlineStr">
        <is>
          <t>01:00 - 01:15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3">
        <f>SUM(C13:L13)*Inicio!$W$4</f>
        <v/>
      </c>
      <c r="DT13" s="3">
        <f>SUM(M13:V13)*Inicio!$W$5</f>
        <v/>
      </c>
      <c r="DU13" s="3">
        <f>SUM(W13:AF13)*Inicio!$W$6</f>
        <v/>
      </c>
      <c r="DV13" s="3">
        <f>SUM(AG13:AP13)*Inicio!$W$7</f>
        <v/>
      </c>
      <c r="DW13" s="3">
        <f>SUM(AQ13:AZ13)*Inicio!$W$8</f>
        <v/>
      </c>
      <c r="DX13" s="3">
        <f>SUM(BA13:BJ13)*Inicio!$W$9</f>
        <v/>
      </c>
      <c r="DY13" s="3">
        <f>SUM(BK13:BT13)*Inicio!$W$10</f>
        <v/>
      </c>
      <c r="DZ13" s="3">
        <f>SUM(BU13:CD13)*Inicio!$W$11</f>
        <v/>
      </c>
      <c r="EA13" s="3">
        <f>SUM(CE13:CN13)*Inicio!$W$12</f>
        <v/>
      </c>
      <c r="EB13" s="3">
        <f>SUM(CO13:CX13)*Inicio!$W$13</f>
        <v/>
      </c>
      <c r="EC13" s="3">
        <f>SUM(CY13:DH13)*Inicio!$W$11</f>
        <v/>
      </c>
      <c r="ED13" s="3">
        <f>SUM(DI13:DR13)*Inicio!$W$12</f>
        <v/>
      </c>
      <c r="EE13" s="3">
        <f>SUM(C13:DR13)</f>
        <v/>
      </c>
      <c r="EF13" s="3">
        <f>SUM(EE10:EE13)</f>
        <v/>
      </c>
      <c r="EG13" s="3">
        <f>SUM(DS13:ED13)</f>
        <v/>
      </c>
      <c r="EH13" s="3">
        <f>SUM(EG10:EG13)</f>
        <v/>
      </c>
    </row>
    <row r="14" ht="20.25" customHeight="1">
      <c r="B14" s="24" t="inlineStr">
        <is>
          <t>01:15 - 01:30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4">
        <f>SUM(C14:L14)*Inicio!$W$4</f>
        <v/>
      </c>
      <c r="DT14" s="4">
        <f>SUM(M14:V14)*Inicio!$W$5</f>
        <v/>
      </c>
      <c r="DU14" s="4">
        <f>SUM(W14:AF14)*Inicio!$W$6</f>
        <v/>
      </c>
      <c r="DV14" s="4">
        <f>SUM(AG14:AP14)*Inicio!$W$7</f>
        <v/>
      </c>
      <c r="DW14" s="4">
        <f>SUM(AQ14:AZ14)*Inicio!$W$8</f>
        <v/>
      </c>
      <c r="DX14" s="4">
        <f>SUM(BA14:BJ14)*Inicio!$W$9</f>
        <v/>
      </c>
      <c r="DY14" s="4">
        <f>SUM(BK14:BT14)*Inicio!$W$10</f>
        <v/>
      </c>
      <c r="DZ14" s="4">
        <f>SUM(BU14:CD14)*Inicio!$W$11</f>
        <v/>
      </c>
      <c r="EA14" s="4">
        <f>SUM(CE14:CN14)*Inicio!$W$12</f>
        <v/>
      </c>
      <c r="EB14" s="4">
        <f>SUM(CO14:CX14)*Inicio!$W$13</f>
        <v/>
      </c>
      <c r="EC14" s="4">
        <f>SUM(CY14:DH14)*Inicio!$W$11</f>
        <v/>
      </c>
      <c r="ED14" s="4">
        <f>SUM(DI14:DR14)*Inicio!$W$12</f>
        <v/>
      </c>
      <c r="EE14" s="4">
        <f>SUM(C14:DR14)</f>
        <v/>
      </c>
      <c r="EF14" s="4">
        <f>SUM(EE11:EE14)</f>
        <v/>
      </c>
      <c r="EG14" s="4">
        <f>SUM(DS14:ED14)</f>
        <v/>
      </c>
      <c r="EH14" s="4">
        <f>SUM(EG11:EG14)</f>
        <v/>
      </c>
    </row>
    <row r="15" ht="20.25" customHeight="1">
      <c r="B15" s="24" t="inlineStr">
        <is>
          <t>01:30 - 01:45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4">
        <f>SUM(C15:L15)*Inicio!$W$4</f>
        <v/>
      </c>
      <c r="DT15" s="4">
        <f>SUM(M15:V15)*Inicio!$W$5</f>
        <v/>
      </c>
      <c r="DU15" s="4">
        <f>SUM(W15:AF15)*Inicio!$W$6</f>
        <v/>
      </c>
      <c r="DV15" s="4">
        <f>SUM(AG15:AP15)*Inicio!$W$7</f>
        <v/>
      </c>
      <c r="DW15" s="4">
        <f>SUM(AQ15:AZ15)*Inicio!$W$8</f>
        <v/>
      </c>
      <c r="DX15" s="4">
        <f>SUM(BA15:BJ15)*Inicio!$W$9</f>
        <v/>
      </c>
      <c r="DY15" s="4">
        <f>SUM(BK15:BT15)*Inicio!$W$10</f>
        <v/>
      </c>
      <c r="DZ15" s="4">
        <f>SUM(BU15:CD15)*Inicio!$W$11</f>
        <v/>
      </c>
      <c r="EA15" s="4">
        <f>SUM(CE15:CN15)*Inicio!$W$12</f>
        <v/>
      </c>
      <c r="EB15" s="4">
        <f>SUM(CO15:CX15)*Inicio!$W$13</f>
        <v/>
      </c>
      <c r="EC15" s="4">
        <f>SUM(CY15:DH15)*Inicio!$W$11</f>
        <v/>
      </c>
      <c r="ED15" s="4">
        <f>SUM(DI15:DR15)*Inicio!$W$12</f>
        <v/>
      </c>
      <c r="EE15" s="4">
        <f>SUM(C15:DR15)</f>
        <v/>
      </c>
      <c r="EF15" s="4">
        <f>SUM(EE12:EE15)</f>
        <v/>
      </c>
      <c r="EG15" s="4">
        <f>SUM(DS15:ED15)</f>
        <v/>
      </c>
      <c r="EH15" s="4">
        <f>SUM(EG12:EG15)</f>
        <v/>
      </c>
    </row>
    <row r="16" ht="20.25" customHeight="1">
      <c r="B16" s="25" t="inlineStr">
        <is>
          <t>01:45 - 02:00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5">
        <f>SUM(C16:L16)*Inicio!$W$4</f>
        <v/>
      </c>
      <c r="DT16" s="5">
        <f>SUM(M16:V16)*Inicio!$W$5</f>
        <v/>
      </c>
      <c r="DU16" s="5">
        <f>SUM(W16:AF16)*Inicio!$W$6</f>
        <v/>
      </c>
      <c r="DV16" s="5">
        <f>SUM(AG16:AP16)*Inicio!$W$7</f>
        <v/>
      </c>
      <c r="DW16" s="5">
        <f>SUM(AQ16:AZ16)*Inicio!$W$8</f>
        <v/>
      </c>
      <c r="DX16" s="5">
        <f>SUM(BA16:BJ16)*Inicio!$W$9</f>
        <v/>
      </c>
      <c r="DY16" s="5">
        <f>SUM(BK16:BT16)*Inicio!$W$10</f>
        <v/>
      </c>
      <c r="DZ16" s="5">
        <f>SUM(BU16:CD16)*Inicio!$W$11</f>
        <v/>
      </c>
      <c r="EA16" s="5">
        <f>SUM(CE16:CN16)*Inicio!$W$12</f>
        <v/>
      </c>
      <c r="EB16" s="5">
        <f>SUM(CO16:CX16)*Inicio!$W$13</f>
        <v/>
      </c>
      <c r="EC16" s="5">
        <f>SUM(CY16:DH16)*Inicio!$W$11</f>
        <v/>
      </c>
      <c r="ED16" s="5">
        <f>SUM(DI16:DR16)*Inicio!$W$12</f>
        <v/>
      </c>
      <c r="EE16" s="5">
        <f>SUM(C16:DR16)</f>
        <v/>
      </c>
      <c r="EF16" s="5">
        <f>SUM(EE13:EE16)</f>
        <v/>
      </c>
      <c r="EG16" s="5">
        <f>SUM(DS16:ED16)</f>
        <v/>
      </c>
      <c r="EH16" s="5">
        <f>SUM(EG13:EG16)</f>
        <v/>
      </c>
    </row>
    <row r="17" ht="20.25" customHeight="1">
      <c r="B17" s="23" t="inlineStr">
        <is>
          <t>02:00 - 02:15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3">
        <f>SUM(C17:L17)*Inicio!$W$4</f>
        <v/>
      </c>
      <c r="DT17" s="3">
        <f>SUM(M17:V17)*Inicio!$W$5</f>
        <v/>
      </c>
      <c r="DU17" s="3">
        <f>SUM(W17:AF17)*Inicio!$W$6</f>
        <v/>
      </c>
      <c r="DV17" s="3">
        <f>SUM(AG17:AP17)*Inicio!$W$7</f>
        <v/>
      </c>
      <c r="DW17" s="3">
        <f>SUM(AQ17:AZ17)*Inicio!$W$8</f>
        <v/>
      </c>
      <c r="DX17" s="3">
        <f>SUM(BA17:BJ17)*Inicio!$W$9</f>
        <v/>
      </c>
      <c r="DY17" s="3">
        <f>SUM(BK17:BT17)*Inicio!$W$10</f>
        <v/>
      </c>
      <c r="DZ17" s="3">
        <f>SUM(BU17:CD17)*Inicio!$W$11</f>
        <v/>
      </c>
      <c r="EA17" s="3">
        <f>SUM(CE17:CN17)*Inicio!$W$12</f>
        <v/>
      </c>
      <c r="EB17" s="3">
        <f>SUM(CO17:CX17)*Inicio!$W$13</f>
        <v/>
      </c>
      <c r="EC17" s="3">
        <f>SUM(CY17:DH17)*Inicio!$W$11</f>
        <v/>
      </c>
      <c r="ED17" s="3">
        <f>SUM(DI17:DR17)*Inicio!$W$12</f>
        <v/>
      </c>
      <c r="EE17" s="3">
        <f>SUM(C17:DR17)</f>
        <v/>
      </c>
      <c r="EF17" s="3">
        <f>SUM(EE14:EE17)</f>
        <v/>
      </c>
      <c r="EG17" s="3">
        <f>SUM(DS17:ED17)</f>
        <v/>
      </c>
      <c r="EH17" s="3">
        <f>SUM(EG14:EG17)</f>
        <v/>
      </c>
    </row>
    <row r="18" ht="20.25" customHeight="1">
      <c r="B18" s="24" t="inlineStr">
        <is>
          <t>02:15 - 02:30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4">
        <f>SUM(C18:L18)*Inicio!$W$4</f>
        <v/>
      </c>
      <c r="DT18" s="4">
        <f>SUM(M18:V18)*Inicio!$W$5</f>
        <v/>
      </c>
      <c r="DU18" s="4">
        <f>SUM(W18:AF18)*Inicio!$W$6</f>
        <v/>
      </c>
      <c r="DV18" s="4">
        <f>SUM(AG18:AP18)*Inicio!$W$7</f>
        <v/>
      </c>
      <c r="DW18" s="4">
        <f>SUM(AQ18:AZ18)*Inicio!$W$8</f>
        <v/>
      </c>
      <c r="DX18" s="4">
        <f>SUM(BA18:BJ18)*Inicio!$W$9</f>
        <v/>
      </c>
      <c r="DY18" s="4">
        <f>SUM(BK18:BT18)*Inicio!$W$10</f>
        <v/>
      </c>
      <c r="DZ18" s="4">
        <f>SUM(BU18:CD18)*Inicio!$W$11</f>
        <v/>
      </c>
      <c r="EA18" s="4">
        <f>SUM(CE18:CN18)*Inicio!$W$12</f>
        <v/>
      </c>
      <c r="EB18" s="4">
        <f>SUM(CO18:CX18)*Inicio!$W$13</f>
        <v/>
      </c>
      <c r="EC18" s="4">
        <f>SUM(CY18:DH18)*Inicio!$W$11</f>
        <v/>
      </c>
      <c r="ED18" s="4">
        <f>SUM(DI18:DR18)*Inicio!$W$12</f>
        <v/>
      </c>
      <c r="EE18" s="4">
        <f>SUM(C18:DR18)</f>
        <v/>
      </c>
      <c r="EF18" s="4">
        <f>SUM(EE15:EE18)</f>
        <v/>
      </c>
      <c r="EG18" s="4">
        <f>SUM(DS18:ED18)</f>
        <v/>
      </c>
      <c r="EH18" s="4">
        <f>SUM(EG15:EG18)</f>
        <v/>
      </c>
    </row>
    <row r="19" ht="20.25" customHeight="1">
      <c r="B19" s="24" t="inlineStr">
        <is>
          <t>02:30 - 02:45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4">
        <f>SUM(C19:L19)*Inicio!$W$4</f>
        <v/>
      </c>
      <c r="DT19" s="4">
        <f>SUM(M19:V19)*Inicio!$W$5</f>
        <v/>
      </c>
      <c r="DU19" s="4">
        <f>SUM(W19:AF19)*Inicio!$W$6</f>
        <v/>
      </c>
      <c r="DV19" s="4">
        <f>SUM(AG19:AP19)*Inicio!$W$7</f>
        <v/>
      </c>
      <c r="DW19" s="4">
        <f>SUM(AQ19:AZ19)*Inicio!$W$8</f>
        <v/>
      </c>
      <c r="DX19" s="4">
        <f>SUM(BA19:BJ19)*Inicio!$W$9</f>
        <v/>
      </c>
      <c r="DY19" s="4">
        <f>SUM(BK19:BT19)*Inicio!$W$10</f>
        <v/>
      </c>
      <c r="DZ19" s="4">
        <f>SUM(BU19:CD19)*Inicio!$W$11</f>
        <v/>
      </c>
      <c r="EA19" s="4">
        <f>SUM(CE19:CN19)*Inicio!$W$12</f>
        <v/>
      </c>
      <c r="EB19" s="4">
        <f>SUM(CO19:CX19)*Inicio!$W$13</f>
        <v/>
      </c>
      <c r="EC19" s="4">
        <f>SUM(CY19:DH19)*Inicio!$W$11</f>
        <v/>
      </c>
      <c r="ED19" s="4">
        <f>SUM(DI19:DR19)*Inicio!$W$12</f>
        <v/>
      </c>
      <c r="EE19" s="4">
        <f>SUM(C19:DR19)</f>
        <v/>
      </c>
      <c r="EF19" s="4">
        <f>SUM(EE16:EE19)</f>
        <v/>
      </c>
      <c r="EG19" s="4">
        <f>SUM(DS19:ED19)</f>
        <v/>
      </c>
      <c r="EH19" s="4">
        <f>SUM(EG16:EG19)</f>
        <v/>
      </c>
    </row>
    <row r="20" ht="20.25" customHeight="1">
      <c r="B20" s="25" t="inlineStr">
        <is>
          <t>02:45 - 03:00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5">
        <f>SUM(C20:L20)*Inicio!$W$4</f>
        <v/>
      </c>
      <c r="DT20" s="5">
        <f>SUM(M20:V20)*Inicio!$W$5</f>
        <v/>
      </c>
      <c r="DU20" s="5">
        <f>SUM(W20:AF20)*Inicio!$W$6</f>
        <v/>
      </c>
      <c r="DV20" s="5">
        <f>SUM(AG20:AP20)*Inicio!$W$7</f>
        <v/>
      </c>
      <c r="DW20" s="5">
        <f>SUM(AQ20:AZ20)*Inicio!$W$8</f>
        <v/>
      </c>
      <c r="DX20" s="5">
        <f>SUM(BA20:BJ20)*Inicio!$W$9</f>
        <v/>
      </c>
      <c r="DY20" s="5">
        <f>SUM(BK20:BT20)*Inicio!$W$10</f>
        <v/>
      </c>
      <c r="DZ20" s="5">
        <f>SUM(BU20:CD20)*Inicio!$W$11</f>
        <v/>
      </c>
      <c r="EA20" s="5">
        <f>SUM(CE20:CN20)*Inicio!$W$12</f>
        <v/>
      </c>
      <c r="EB20" s="5">
        <f>SUM(CO20:CX20)*Inicio!$W$13</f>
        <v/>
      </c>
      <c r="EC20" s="5">
        <f>SUM(CY20:DH20)*Inicio!$W$11</f>
        <v/>
      </c>
      <c r="ED20" s="5">
        <f>SUM(DI20:DR20)*Inicio!$W$12</f>
        <v/>
      </c>
      <c r="EE20" s="5">
        <f>SUM(C20:DR20)</f>
        <v/>
      </c>
      <c r="EF20" s="5">
        <f>SUM(EE17:EE20)</f>
        <v/>
      </c>
      <c r="EG20" s="5">
        <f>SUM(DS20:ED20)</f>
        <v/>
      </c>
      <c r="EH20" s="5">
        <f>SUM(EG17:EG20)</f>
        <v/>
      </c>
    </row>
    <row r="21" ht="20.25" customHeight="1">
      <c r="B21" s="23" t="inlineStr">
        <is>
          <t>03:00 - 03:15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/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/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/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/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3">
        <f>SUM(C21:L21)*Inicio!$W$4</f>
        <v/>
      </c>
      <c r="DT21" s="3">
        <f>SUM(M21:V21)*Inicio!$W$5</f>
        <v/>
      </c>
      <c r="DU21" s="3">
        <f>SUM(W21:AF21)*Inicio!$W$6</f>
        <v/>
      </c>
      <c r="DV21" s="3">
        <f>SUM(AG21:AP21)*Inicio!$W$7</f>
        <v/>
      </c>
      <c r="DW21" s="3">
        <f>SUM(AQ21:AZ21)*Inicio!$W$8</f>
        <v/>
      </c>
      <c r="DX21" s="3">
        <f>SUM(BA21:BJ21)*Inicio!$W$9</f>
        <v/>
      </c>
      <c r="DY21" s="3">
        <f>SUM(BK21:BT21)*Inicio!$W$10</f>
        <v/>
      </c>
      <c r="DZ21" s="3">
        <f>SUM(BU21:CD21)*Inicio!$W$11</f>
        <v/>
      </c>
      <c r="EA21" s="3">
        <f>SUM(CE21:CN21)*Inicio!$W$12</f>
        <v/>
      </c>
      <c r="EB21" s="3">
        <f>SUM(CO21:CX21)*Inicio!$W$13</f>
        <v/>
      </c>
      <c r="EC21" s="3">
        <f>SUM(CY21:DH21)*Inicio!$W$11</f>
        <v/>
      </c>
      <c r="ED21" s="3">
        <f>SUM(DI21:DR21)*Inicio!$W$12</f>
        <v/>
      </c>
      <c r="EE21" s="3">
        <f>SUM(C21:DR21)</f>
        <v/>
      </c>
      <c r="EF21" s="3">
        <f>SUM(EE18:EE21)</f>
        <v/>
      </c>
      <c r="EG21" s="3">
        <f>SUM(DS21:ED21)</f>
        <v/>
      </c>
      <c r="EH21" s="3">
        <f>SUM(EG18:EG21)</f>
        <v/>
      </c>
    </row>
    <row r="22" ht="20.25" customHeight="1">
      <c r="B22" s="24" t="inlineStr">
        <is>
          <t>03:15 - 03:30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/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/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/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/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4">
        <f>SUM(C22:L22)*Inicio!$W$4</f>
        <v/>
      </c>
      <c r="DT22" s="4">
        <f>SUM(M22:V22)*Inicio!$W$5</f>
        <v/>
      </c>
      <c r="DU22" s="4">
        <f>SUM(W22:AF22)*Inicio!$W$6</f>
        <v/>
      </c>
      <c r="DV22" s="4">
        <f>SUM(AG22:AP22)*Inicio!$W$7</f>
        <v/>
      </c>
      <c r="DW22" s="4">
        <f>SUM(AQ22:AZ22)*Inicio!$W$8</f>
        <v/>
      </c>
      <c r="DX22" s="4">
        <f>SUM(BA22:BJ22)*Inicio!$W$9</f>
        <v/>
      </c>
      <c r="DY22" s="4">
        <f>SUM(BK22:BT22)*Inicio!$W$10</f>
        <v/>
      </c>
      <c r="DZ22" s="4">
        <f>SUM(BU22:CD22)*Inicio!$W$11</f>
        <v/>
      </c>
      <c r="EA22" s="4">
        <f>SUM(CE22:CN22)*Inicio!$W$12</f>
        <v/>
      </c>
      <c r="EB22" s="4">
        <f>SUM(CO22:CX22)*Inicio!$W$13</f>
        <v/>
      </c>
      <c r="EC22" s="4">
        <f>SUM(CY22:DH22)*Inicio!$W$11</f>
        <v/>
      </c>
      <c r="ED22" s="4">
        <f>SUM(DI22:DR22)*Inicio!$W$12</f>
        <v/>
      </c>
      <c r="EE22" s="4">
        <f>SUM(C22:DR22)</f>
        <v/>
      </c>
      <c r="EF22" s="4">
        <f>SUM(EE19:EE22)</f>
        <v/>
      </c>
      <c r="EG22" s="4">
        <f>SUM(DS22:ED22)</f>
        <v/>
      </c>
      <c r="EH22" s="4">
        <f>SUM(EG19:EG22)</f>
        <v/>
      </c>
    </row>
    <row r="23" ht="20.25" customHeight="1">
      <c r="B23" s="24" t="inlineStr">
        <is>
          <t>03:30 - 03:45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4">
        <f>SUM(C23:L23)*Inicio!$W$4</f>
        <v/>
      </c>
      <c r="DT23" s="4">
        <f>SUM(M23:V23)*Inicio!$W$5</f>
        <v/>
      </c>
      <c r="DU23" s="4">
        <f>SUM(W23:AF23)*Inicio!$W$6</f>
        <v/>
      </c>
      <c r="DV23" s="4">
        <f>SUM(AG23:AP23)*Inicio!$W$7</f>
        <v/>
      </c>
      <c r="DW23" s="4">
        <f>SUM(AQ23:AZ23)*Inicio!$W$8</f>
        <v/>
      </c>
      <c r="DX23" s="4">
        <f>SUM(BA23:BJ23)*Inicio!$W$9</f>
        <v/>
      </c>
      <c r="DY23" s="4">
        <f>SUM(BK23:BT23)*Inicio!$W$10</f>
        <v/>
      </c>
      <c r="DZ23" s="4">
        <f>SUM(BU23:CD23)*Inicio!$W$11</f>
        <v/>
      </c>
      <c r="EA23" s="4">
        <f>SUM(CE23:CN23)*Inicio!$W$12</f>
        <v/>
      </c>
      <c r="EB23" s="4">
        <f>SUM(CO23:CX23)*Inicio!$W$13</f>
        <v/>
      </c>
      <c r="EC23" s="4">
        <f>SUM(CY23:DH23)*Inicio!$W$11</f>
        <v/>
      </c>
      <c r="ED23" s="4">
        <f>SUM(DI23:DR23)*Inicio!$W$12</f>
        <v/>
      </c>
      <c r="EE23" s="4">
        <f>SUM(C23:DR23)</f>
        <v/>
      </c>
      <c r="EF23" s="4">
        <f>SUM(EE20:EE23)</f>
        <v/>
      </c>
      <c r="EG23" s="4">
        <f>SUM(DS23:ED23)</f>
        <v/>
      </c>
      <c r="EH23" s="4">
        <f>SUM(EG20:EG23)</f>
        <v/>
      </c>
    </row>
    <row r="24" ht="20.25" customHeight="1">
      <c r="B24" s="25" t="inlineStr">
        <is>
          <t>03:45 - 04:00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5">
        <f>SUM(C24:L24)*Inicio!$W$4</f>
        <v/>
      </c>
      <c r="DT24" s="5">
        <f>SUM(M24:V24)*Inicio!$W$5</f>
        <v/>
      </c>
      <c r="DU24" s="5">
        <f>SUM(W24:AF24)*Inicio!$W$6</f>
        <v/>
      </c>
      <c r="DV24" s="5">
        <f>SUM(AG24:AP24)*Inicio!$W$7</f>
        <v/>
      </c>
      <c r="DW24" s="5">
        <f>SUM(AQ24:AZ24)*Inicio!$W$8</f>
        <v/>
      </c>
      <c r="DX24" s="5">
        <f>SUM(BA24:BJ24)*Inicio!$W$9</f>
        <v/>
      </c>
      <c r="DY24" s="5">
        <f>SUM(BK24:BT24)*Inicio!$W$10</f>
        <v/>
      </c>
      <c r="DZ24" s="5">
        <f>SUM(BU24:CD24)*Inicio!$W$11</f>
        <v/>
      </c>
      <c r="EA24" s="5">
        <f>SUM(CE24:CN24)*Inicio!$W$12</f>
        <v/>
      </c>
      <c r="EB24" s="5">
        <f>SUM(CO24:CX24)*Inicio!$W$13</f>
        <v/>
      </c>
      <c r="EC24" s="5">
        <f>SUM(CY24:DH24)*Inicio!$W$11</f>
        <v/>
      </c>
      <c r="ED24" s="5">
        <f>SUM(DI24:DR24)*Inicio!$W$12</f>
        <v/>
      </c>
      <c r="EE24" s="5">
        <f>SUM(C24:DR24)</f>
        <v/>
      </c>
      <c r="EF24" s="5">
        <f>SUM(EE21:EE24)</f>
        <v/>
      </c>
      <c r="EG24" s="5">
        <f>SUM(DS24:ED24)</f>
        <v/>
      </c>
      <c r="EH24" s="5">
        <f>SUM(EG21:EG24)</f>
        <v/>
      </c>
    </row>
    <row r="25" ht="20.25" customHeight="1">
      <c r="B25" s="23" t="inlineStr">
        <is>
          <t>04:00 - 04:15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3">
        <f>SUM(C25:L25)*Inicio!$W$4</f>
        <v/>
      </c>
      <c r="DT25" s="3">
        <f>SUM(M25:V25)*Inicio!$W$5</f>
        <v/>
      </c>
      <c r="DU25" s="3">
        <f>SUM(W25:AF25)*Inicio!$W$6</f>
        <v/>
      </c>
      <c r="DV25" s="3">
        <f>SUM(AG25:AP25)*Inicio!$W$7</f>
        <v/>
      </c>
      <c r="DW25" s="3">
        <f>SUM(AQ25:AZ25)*Inicio!$W$8</f>
        <v/>
      </c>
      <c r="DX25" s="3">
        <f>SUM(BA25:BJ25)*Inicio!$W$9</f>
        <v/>
      </c>
      <c r="DY25" s="3">
        <f>SUM(BK25:BT25)*Inicio!$W$10</f>
        <v/>
      </c>
      <c r="DZ25" s="3">
        <f>SUM(BU25:CD25)*Inicio!$W$11</f>
        <v/>
      </c>
      <c r="EA25" s="3">
        <f>SUM(CE25:CN25)*Inicio!$W$12</f>
        <v/>
      </c>
      <c r="EB25" s="3">
        <f>SUM(CO25:CX25)*Inicio!$W$13</f>
        <v/>
      </c>
      <c r="EC25" s="3">
        <f>SUM(CY25:DH25)*Inicio!$W$11</f>
        <v/>
      </c>
      <c r="ED25" s="3">
        <f>SUM(DI25:DR25)*Inicio!$W$12</f>
        <v/>
      </c>
      <c r="EE25" s="3">
        <f>SUM(C25:DR25)</f>
        <v/>
      </c>
      <c r="EF25" s="3">
        <f>SUM(EE22:EE25)</f>
        <v/>
      </c>
      <c r="EG25" s="3">
        <f>SUM(DS25:ED25)</f>
        <v/>
      </c>
      <c r="EH25" s="3">
        <f>SUM(EG22:EG25)</f>
        <v/>
      </c>
    </row>
    <row r="26" ht="20.25" customHeight="1">
      <c r="B26" s="24" t="inlineStr">
        <is>
          <t>04:15 - 04:30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4">
        <f>SUM(C26:L26)*Inicio!$W$4</f>
        <v/>
      </c>
      <c r="DT26" s="4">
        <f>SUM(M26:V26)*Inicio!$W$5</f>
        <v/>
      </c>
      <c r="DU26" s="4">
        <f>SUM(W26:AF26)*Inicio!$W$6</f>
        <v/>
      </c>
      <c r="DV26" s="4">
        <f>SUM(AG26:AP26)*Inicio!$W$7</f>
        <v/>
      </c>
      <c r="DW26" s="4">
        <f>SUM(AQ26:AZ26)*Inicio!$W$8</f>
        <v/>
      </c>
      <c r="DX26" s="4">
        <f>SUM(BA26:BJ26)*Inicio!$W$9</f>
        <v/>
      </c>
      <c r="DY26" s="4">
        <f>SUM(BK26:BT26)*Inicio!$W$10</f>
        <v/>
      </c>
      <c r="DZ26" s="4">
        <f>SUM(BU26:CD26)*Inicio!$W$11</f>
        <v/>
      </c>
      <c r="EA26" s="4">
        <f>SUM(CE26:CN26)*Inicio!$W$12</f>
        <v/>
      </c>
      <c r="EB26" s="4">
        <f>SUM(CO26:CX26)*Inicio!$W$13</f>
        <v/>
      </c>
      <c r="EC26" s="4">
        <f>SUM(CY26:DH26)*Inicio!$W$11</f>
        <v/>
      </c>
      <c r="ED26" s="4">
        <f>SUM(DI26:DR26)*Inicio!$W$12</f>
        <v/>
      </c>
      <c r="EE26" s="4">
        <f>SUM(C26:DR26)</f>
        <v/>
      </c>
      <c r="EF26" s="4">
        <f>SUM(EE23:EE26)</f>
        <v/>
      </c>
      <c r="EG26" s="4">
        <f>SUM(DS26:ED26)</f>
        <v/>
      </c>
      <c r="EH26" s="4">
        <f>SUM(EG23:EG26)</f>
        <v/>
      </c>
    </row>
    <row r="27" ht="20.25" customHeight="1">
      <c r="B27" s="24" t="inlineStr">
        <is>
          <t>04:30 - 04:45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4">
        <f>SUM(C27:L27)*Inicio!$W$4</f>
        <v/>
      </c>
      <c r="DT27" s="4">
        <f>SUM(M27:V27)*Inicio!$W$5</f>
        <v/>
      </c>
      <c r="DU27" s="4">
        <f>SUM(W27:AF27)*Inicio!$W$6</f>
        <v/>
      </c>
      <c r="DV27" s="4">
        <f>SUM(AG27:AP27)*Inicio!$W$7</f>
        <v/>
      </c>
      <c r="DW27" s="4">
        <f>SUM(AQ27:AZ27)*Inicio!$W$8</f>
        <v/>
      </c>
      <c r="DX27" s="4">
        <f>SUM(BA27:BJ27)*Inicio!$W$9</f>
        <v/>
      </c>
      <c r="DY27" s="4">
        <f>SUM(BK27:BT27)*Inicio!$W$10</f>
        <v/>
      </c>
      <c r="DZ27" s="4">
        <f>SUM(BU27:CD27)*Inicio!$W$11</f>
        <v/>
      </c>
      <c r="EA27" s="4">
        <f>SUM(CE27:CN27)*Inicio!$W$12</f>
        <v/>
      </c>
      <c r="EB27" s="4">
        <f>SUM(CO27:CX27)*Inicio!$W$13</f>
        <v/>
      </c>
      <c r="EC27" s="4">
        <f>SUM(CY27:DH27)*Inicio!$W$11</f>
        <v/>
      </c>
      <c r="ED27" s="4">
        <f>SUM(DI27:DR27)*Inicio!$W$12</f>
        <v/>
      </c>
      <c r="EE27" s="4">
        <f>SUM(C27:DR27)</f>
        <v/>
      </c>
      <c r="EF27" s="4">
        <f>SUM(EE24:EE27)</f>
        <v/>
      </c>
      <c r="EG27" s="4">
        <f>SUM(DS27:ED27)</f>
        <v/>
      </c>
      <c r="EH27" s="4">
        <f>SUM(EG24:EG27)</f>
        <v/>
      </c>
    </row>
    <row r="28" ht="20.25" customHeight="1">
      <c r="B28" s="25" t="inlineStr">
        <is>
          <t>04:45 - 05:00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5">
        <f>SUM(C28:L28)*Inicio!$W$4</f>
        <v/>
      </c>
      <c r="DT28" s="5">
        <f>SUM(M28:V28)*Inicio!$W$5</f>
        <v/>
      </c>
      <c r="DU28" s="5">
        <f>SUM(W28:AF28)*Inicio!$W$6</f>
        <v/>
      </c>
      <c r="DV28" s="5">
        <f>SUM(AG28:AP28)*Inicio!$W$7</f>
        <v/>
      </c>
      <c r="DW28" s="5">
        <f>SUM(AQ28:AZ28)*Inicio!$W$8</f>
        <v/>
      </c>
      <c r="DX28" s="5">
        <f>SUM(BA28:BJ28)*Inicio!$W$9</f>
        <v/>
      </c>
      <c r="DY28" s="5">
        <f>SUM(BK28:BT28)*Inicio!$W$10</f>
        <v/>
      </c>
      <c r="DZ28" s="5">
        <f>SUM(BU28:CD28)*Inicio!$W$11</f>
        <v/>
      </c>
      <c r="EA28" s="5">
        <f>SUM(CE28:CN28)*Inicio!$W$12</f>
        <v/>
      </c>
      <c r="EB28" s="5">
        <f>SUM(CO28:CX28)*Inicio!$W$13</f>
        <v/>
      </c>
      <c r="EC28" s="5">
        <f>SUM(CY28:DH28)*Inicio!$W$11</f>
        <v/>
      </c>
      <c r="ED28" s="5">
        <f>SUM(DI28:DR28)*Inicio!$W$12</f>
        <v/>
      </c>
      <c r="EE28" s="5">
        <f>SUM(C28:DR28)</f>
        <v/>
      </c>
      <c r="EF28" s="5">
        <f>SUM(EE25:EE28)</f>
        <v/>
      </c>
      <c r="EG28" s="5">
        <f>SUM(DS28:ED28)</f>
        <v/>
      </c>
      <c r="EH28" s="5">
        <f>SUM(EG25:EG28)</f>
        <v/>
      </c>
    </row>
    <row r="29" ht="20.25" customHeight="1">
      <c r="B29" s="23" t="inlineStr">
        <is>
          <t>05:00 - 05:15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3">
        <f>SUM(C29:L29)*Inicio!$W$4</f>
        <v/>
      </c>
      <c r="DT29" s="3">
        <f>SUM(M29:V29)*Inicio!$W$5</f>
        <v/>
      </c>
      <c r="DU29" s="3">
        <f>SUM(W29:AF29)*Inicio!$W$6</f>
        <v/>
      </c>
      <c r="DV29" s="3">
        <f>SUM(AG29:AP29)*Inicio!$W$7</f>
        <v/>
      </c>
      <c r="DW29" s="3">
        <f>SUM(AQ29:AZ29)*Inicio!$W$8</f>
        <v/>
      </c>
      <c r="DX29" s="3">
        <f>SUM(BA29:BJ29)*Inicio!$W$9</f>
        <v/>
      </c>
      <c r="DY29" s="3">
        <f>SUM(BK29:BT29)*Inicio!$W$10</f>
        <v/>
      </c>
      <c r="DZ29" s="3">
        <f>SUM(BU29:CD29)*Inicio!$W$11</f>
        <v/>
      </c>
      <c r="EA29" s="3">
        <f>SUM(CE29:CN29)*Inicio!$W$12</f>
        <v/>
      </c>
      <c r="EB29" s="3">
        <f>SUM(CO29:CX29)*Inicio!$W$13</f>
        <v/>
      </c>
      <c r="EC29" s="3">
        <f>SUM(CY29:DH29)*Inicio!$W$11</f>
        <v/>
      </c>
      <c r="ED29" s="3">
        <f>SUM(DI29:DR29)*Inicio!$W$12</f>
        <v/>
      </c>
      <c r="EE29" s="3">
        <f>SUM(C29:DR29)</f>
        <v/>
      </c>
      <c r="EF29" s="3">
        <f>SUM(EE26:EE29)</f>
        <v/>
      </c>
      <c r="EG29" s="3">
        <f>SUM(DS29:ED29)</f>
        <v/>
      </c>
      <c r="EH29" s="3">
        <f>SUM(EG26:EG29)</f>
        <v/>
      </c>
    </row>
    <row r="30" ht="20.25" customHeight="1">
      <c r="B30" s="24" t="inlineStr">
        <is>
          <t>05:15 - 05:30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4">
        <f>SUM(C30:L30)*Inicio!$W$4</f>
        <v/>
      </c>
      <c r="DT30" s="4">
        <f>SUM(M30:V30)*Inicio!$W$5</f>
        <v/>
      </c>
      <c r="DU30" s="4">
        <f>SUM(W30:AF30)*Inicio!$W$6</f>
        <v/>
      </c>
      <c r="DV30" s="4">
        <f>SUM(AG30:AP30)*Inicio!$W$7</f>
        <v/>
      </c>
      <c r="DW30" s="4">
        <f>SUM(AQ30:AZ30)*Inicio!$W$8</f>
        <v/>
      </c>
      <c r="DX30" s="4">
        <f>SUM(BA30:BJ30)*Inicio!$W$9</f>
        <v/>
      </c>
      <c r="DY30" s="4">
        <f>SUM(BK30:BT30)*Inicio!$W$10</f>
        <v/>
      </c>
      <c r="DZ30" s="4">
        <f>SUM(BU30:CD30)*Inicio!$W$11</f>
        <v/>
      </c>
      <c r="EA30" s="4">
        <f>SUM(CE30:CN30)*Inicio!$W$12</f>
        <v/>
      </c>
      <c r="EB30" s="4">
        <f>SUM(CO30:CX30)*Inicio!$W$13</f>
        <v/>
      </c>
      <c r="EC30" s="4">
        <f>SUM(CY30:DH30)*Inicio!$W$11</f>
        <v/>
      </c>
      <c r="ED30" s="4">
        <f>SUM(DI30:DR30)*Inicio!$W$12</f>
        <v/>
      </c>
      <c r="EE30" s="4">
        <f>SUM(C30:DR30)</f>
        <v/>
      </c>
      <c r="EF30" s="4">
        <f>SUM(EE27:EE30)</f>
        <v/>
      </c>
      <c r="EG30" s="4">
        <f>SUM(DS30:ED30)</f>
        <v/>
      </c>
      <c r="EH30" s="4">
        <f>SUM(EG27:EG30)</f>
        <v/>
      </c>
    </row>
    <row r="31" ht="20.25" customHeight="1">
      <c r="B31" s="24" t="inlineStr">
        <is>
          <t>05:30 - 05:45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4">
        <f>SUM(C31:L31)*Inicio!$W$4</f>
        <v/>
      </c>
      <c r="DT31" s="4">
        <f>SUM(M31:V31)*Inicio!$W$5</f>
        <v/>
      </c>
      <c r="DU31" s="4">
        <f>SUM(W31:AF31)*Inicio!$W$6</f>
        <v/>
      </c>
      <c r="DV31" s="4">
        <f>SUM(AG31:AP31)*Inicio!$W$7</f>
        <v/>
      </c>
      <c r="DW31" s="4">
        <f>SUM(AQ31:AZ31)*Inicio!$W$8</f>
        <v/>
      </c>
      <c r="DX31" s="4">
        <f>SUM(BA31:BJ31)*Inicio!$W$9</f>
        <v/>
      </c>
      <c r="DY31" s="4">
        <f>SUM(BK31:BT31)*Inicio!$W$10</f>
        <v/>
      </c>
      <c r="DZ31" s="4">
        <f>SUM(BU31:CD31)*Inicio!$W$11</f>
        <v/>
      </c>
      <c r="EA31" s="4">
        <f>SUM(CE31:CN31)*Inicio!$W$12</f>
        <v/>
      </c>
      <c r="EB31" s="4">
        <f>SUM(CO31:CX31)*Inicio!$W$13</f>
        <v/>
      </c>
      <c r="EC31" s="4">
        <f>SUM(CY31:DH31)*Inicio!$W$11</f>
        <v/>
      </c>
      <c r="ED31" s="4">
        <f>SUM(DI31:DR31)*Inicio!$W$12</f>
        <v/>
      </c>
      <c r="EE31" s="4">
        <f>SUM(C31:DR31)</f>
        <v/>
      </c>
      <c r="EF31" s="4">
        <f>SUM(EE28:EE31)</f>
        <v/>
      </c>
      <c r="EG31" s="4">
        <f>SUM(DS31:ED31)</f>
        <v/>
      </c>
      <c r="EH31" s="4">
        <f>SUM(EG28:EG31)</f>
        <v/>
      </c>
    </row>
    <row r="32" ht="20.25" customHeight="1">
      <c r="B32" s="25" t="inlineStr">
        <is>
          <t>05:45 - 06:00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5">
        <f>SUM(C32:L32)*Inicio!$W$4</f>
        <v/>
      </c>
      <c r="DT32" s="5">
        <f>SUM(M32:V32)*Inicio!$W$5</f>
        <v/>
      </c>
      <c r="DU32" s="5">
        <f>SUM(W32:AF32)*Inicio!$W$6</f>
        <v/>
      </c>
      <c r="DV32" s="5">
        <f>SUM(AG32:AP32)*Inicio!$W$7</f>
        <v/>
      </c>
      <c r="DW32" s="5">
        <f>SUM(AQ32:AZ32)*Inicio!$W$8</f>
        <v/>
      </c>
      <c r="DX32" s="5">
        <f>SUM(BA32:BJ32)*Inicio!$W$9</f>
        <v/>
      </c>
      <c r="DY32" s="5">
        <f>SUM(BK32:BT32)*Inicio!$W$10</f>
        <v/>
      </c>
      <c r="DZ32" s="5">
        <f>SUM(BU32:CD32)*Inicio!$W$11</f>
        <v/>
      </c>
      <c r="EA32" s="5">
        <f>SUM(CE32:CN32)*Inicio!$W$12</f>
        <v/>
      </c>
      <c r="EB32" s="5">
        <f>SUM(CO32:CX32)*Inicio!$W$13</f>
        <v/>
      </c>
      <c r="EC32" s="5">
        <f>SUM(CY32:DH32)*Inicio!$W$11</f>
        <v/>
      </c>
      <c r="ED32" s="5">
        <f>SUM(DI32:DR32)*Inicio!$W$12</f>
        <v/>
      </c>
      <c r="EE32" s="5">
        <f>SUM(C32:DR32)</f>
        <v/>
      </c>
      <c r="EF32" s="5">
        <f>SUM(EE29:EE32)</f>
        <v/>
      </c>
      <c r="EG32" s="5">
        <f>SUM(DS32:ED32)</f>
        <v/>
      </c>
      <c r="EH32" s="5">
        <f>SUM(EG29:EG32)</f>
        <v/>
      </c>
    </row>
    <row r="33" ht="20.25" customHeight="1">
      <c r="B33" s="23" t="inlineStr">
        <is>
          <t>06:00 - 06:15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3">
        <f>SUM(C33:L33)*Inicio!$W$4</f>
        <v/>
      </c>
      <c r="DT33" s="3">
        <f>SUM(M33:V33)*Inicio!$W$5</f>
        <v/>
      </c>
      <c r="DU33" s="3">
        <f>SUM(W33:AF33)*Inicio!$W$6</f>
        <v/>
      </c>
      <c r="DV33" s="3">
        <f>SUM(AG33:AP33)*Inicio!$W$7</f>
        <v/>
      </c>
      <c r="DW33" s="3">
        <f>SUM(AQ33:AZ33)*Inicio!$W$8</f>
        <v/>
      </c>
      <c r="DX33" s="3">
        <f>SUM(BA33:BJ33)*Inicio!$W$9</f>
        <v/>
      </c>
      <c r="DY33" s="3">
        <f>SUM(BK33:BT33)*Inicio!$W$10</f>
        <v/>
      </c>
      <c r="DZ33" s="3">
        <f>SUM(BU33:CD33)*Inicio!$W$11</f>
        <v/>
      </c>
      <c r="EA33" s="3">
        <f>SUM(CE33:CN33)*Inicio!$W$12</f>
        <v/>
      </c>
      <c r="EB33" s="3">
        <f>SUM(CO33:CX33)*Inicio!$W$13</f>
        <v/>
      </c>
      <c r="EC33" s="3">
        <f>SUM(CY33:DH33)*Inicio!$W$11</f>
        <v/>
      </c>
      <c r="ED33" s="3">
        <f>SUM(DI33:DR33)*Inicio!$W$12</f>
        <v/>
      </c>
      <c r="EE33" s="3">
        <f>SUM(C33:DR33)</f>
        <v/>
      </c>
      <c r="EF33" s="3">
        <f>SUM(EE30:EE33)</f>
        <v/>
      </c>
      <c r="EG33" s="3">
        <f>SUM(DS33:ED33)</f>
        <v/>
      </c>
      <c r="EH33" s="3">
        <f>SUM(EG30:EG33)</f>
        <v/>
      </c>
    </row>
    <row r="34" ht="20.25" customHeight="1">
      <c r="B34" s="24" t="inlineStr">
        <is>
          <t>06:15 - 06:30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4">
        <f>SUM(C34:L34)*Inicio!$W$4</f>
        <v/>
      </c>
      <c r="DT34" s="4">
        <f>SUM(M34:V34)*Inicio!$W$5</f>
        <v/>
      </c>
      <c r="DU34" s="4">
        <f>SUM(W34:AF34)*Inicio!$W$6</f>
        <v/>
      </c>
      <c r="DV34" s="4">
        <f>SUM(AG34:AP34)*Inicio!$W$7</f>
        <v/>
      </c>
      <c r="DW34" s="4">
        <f>SUM(AQ34:AZ34)*Inicio!$W$8</f>
        <v/>
      </c>
      <c r="DX34" s="4">
        <f>SUM(BA34:BJ34)*Inicio!$W$9</f>
        <v/>
      </c>
      <c r="DY34" s="4">
        <f>SUM(BK34:BT34)*Inicio!$W$10</f>
        <v/>
      </c>
      <c r="DZ34" s="4">
        <f>SUM(BU34:CD34)*Inicio!$W$11</f>
        <v/>
      </c>
      <c r="EA34" s="4">
        <f>SUM(CE34:CN34)*Inicio!$W$12</f>
        <v/>
      </c>
      <c r="EB34" s="4">
        <f>SUM(CO34:CX34)*Inicio!$W$13</f>
        <v/>
      </c>
      <c r="EC34" s="4">
        <f>SUM(CY34:DH34)*Inicio!$W$11</f>
        <v/>
      </c>
      <c r="ED34" s="4">
        <f>SUM(DI34:DR34)*Inicio!$W$12</f>
        <v/>
      </c>
      <c r="EE34" s="4">
        <f>SUM(C34:DR34)</f>
        <v/>
      </c>
      <c r="EF34" s="4">
        <f>SUM(EE31:EE34)</f>
        <v/>
      </c>
      <c r="EG34" s="4">
        <f>SUM(DS34:ED34)</f>
        <v/>
      </c>
      <c r="EH34" s="4">
        <f>SUM(EG31:EG34)</f>
        <v/>
      </c>
    </row>
    <row r="35" ht="20.25" customHeight="1">
      <c r="B35" s="24" t="inlineStr">
        <is>
          <t>06:30 - 06:45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4">
        <f>SUM(C35:L35)*Inicio!$W$4</f>
        <v/>
      </c>
      <c r="DT35" s="4">
        <f>SUM(M35:V35)*Inicio!$W$5</f>
        <v/>
      </c>
      <c r="DU35" s="4">
        <f>SUM(W35:AF35)*Inicio!$W$6</f>
        <v/>
      </c>
      <c r="DV35" s="4">
        <f>SUM(AG35:AP35)*Inicio!$W$7</f>
        <v/>
      </c>
      <c r="DW35" s="4">
        <f>SUM(AQ35:AZ35)*Inicio!$W$8</f>
        <v/>
      </c>
      <c r="DX35" s="4">
        <f>SUM(BA35:BJ35)*Inicio!$W$9</f>
        <v/>
      </c>
      <c r="DY35" s="4">
        <f>SUM(BK35:BT35)*Inicio!$W$10</f>
        <v/>
      </c>
      <c r="DZ35" s="4">
        <f>SUM(BU35:CD35)*Inicio!$W$11</f>
        <v/>
      </c>
      <c r="EA35" s="4">
        <f>SUM(CE35:CN35)*Inicio!$W$12</f>
        <v/>
      </c>
      <c r="EB35" s="4">
        <f>SUM(CO35:CX35)*Inicio!$W$13</f>
        <v/>
      </c>
      <c r="EC35" s="4">
        <f>SUM(CY35:DH35)*Inicio!$W$11</f>
        <v/>
      </c>
      <c r="ED35" s="4">
        <f>SUM(DI35:DR35)*Inicio!$W$12</f>
        <v/>
      </c>
      <c r="EE35" s="4">
        <f>SUM(C35:DR35)</f>
        <v/>
      </c>
      <c r="EF35" s="4">
        <f>SUM(EE32:EE35)</f>
        <v/>
      </c>
      <c r="EG35" s="4">
        <f>SUM(DS35:ED35)</f>
        <v/>
      </c>
      <c r="EH35" s="4">
        <f>SUM(EG32:EG35)</f>
        <v/>
      </c>
    </row>
    <row r="36" ht="20.25" customHeight="1">
      <c r="B36" s="26" t="inlineStr">
        <is>
          <t>06:45 - 07:00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5">
        <f>SUM(C36:L36)*Inicio!$W$4</f>
        <v/>
      </c>
      <c r="DT36" s="5">
        <f>SUM(M36:V36)*Inicio!$W$5</f>
        <v/>
      </c>
      <c r="DU36" s="5">
        <f>SUM(W36:AF36)*Inicio!$W$6</f>
        <v/>
      </c>
      <c r="DV36" s="5">
        <f>SUM(AG36:AP36)*Inicio!$W$7</f>
        <v/>
      </c>
      <c r="DW36" s="5">
        <f>SUM(AQ36:AZ36)*Inicio!$W$8</f>
        <v/>
      </c>
      <c r="DX36" s="5">
        <f>SUM(BA36:BJ36)*Inicio!$W$9</f>
        <v/>
      </c>
      <c r="DY36" s="5">
        <f>SUM(BK36:BT36)*Inicio!$W$10</f>
        <v/>
      </c>
      <c r="DZ36" s="5">
        <f>SUM(BU36:CD36)*Inicio!$W$11</f>
        <v/>
      </c>
      <c r="EA36" s="5">
        <f>SUM(CE36:CN36)*Inicio!$W$12</f>
        <v/>
      </c>
      <c r="EB36" s="5">
        <f>SUM(CO36:CX36)*Inicio!$W$13</f>
        <v/>
      </c>
      <c r="EC36" s="5">
        <f>SUM(CY36:DH36)*Inicio!$W$11</f>
        <v/>
      </c>
      <c r="ED36" s="5">
        <f>SUM(DI36:DR36)*Inicio!$W$12</f>
        <v/>
      </c>
      <c r="EE36" s="5">
        <f>SUM(C36:DR36)</f>
        <v/>
      </c>
      <c r="EF36" s="5">
        <f>SUM(EE33:EE36)</f>
        <v/>
      </c>
      <c r="EG36" s="5">
        <f>SUM(DS36:ED36)</f>
        <v/>
      </c>
      <c r="EH36" s="5">
        <f>SUM(EG33:EG36)</f>
        <v/>
      </c>
    </row>
    <row r="37" ht="20.25" customHeight="1">
      <c r="B37" s="27" t="inlineStr">
        <is>
          <t>07:00 - 07:15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  <c r="CE37" s="20" t="n"/>
      <c r="CF37" s="20" t="n"/>
      <c r="CG37" s="20" t="n"/>
      <c r="CH37" s="20" t="n"/>
      <c r="CI37" s="20" t="n"/>
      <c r="CJ37" s="20" t="n"/>
      <c r="CK37" s="20" t="n"/>
      <c r="CL37" s="20" t="n"/>
      <c r="CM37" s="20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0" t="n"/>
      <c r="CZ37" s="20" t="n"/>
      <c r="DA37" s="20" t="n"/>
      <c r="DB37" s="20" t="n"/>
      <c r="DC37" s="20" t="n"/>
      <c r="DD37" s="20" t="n"/>
      <c r="DE37" s="20" t="n"/>
      <c r="DF37" s="20" t="n"/>
      <c r="DG37" s="20" t="n"/>
      <c r="DH37" s="20" t="n"/>
      <c r="DI37" s="20" t="n"/>
      <c r="DJ37" s="20" t="n"/>
      <c r="DK37" s="20" t="n"/>
      <c r="DL37" s="20" t="n"/>
      <c r="DM37" s="20" t="n"/>
      <c r="DN37" s="20" t="n"/>
      <c r="DO37" s="20" t="n"/>
      <c r="DP37" s="20" t="n"/>
      <c r="DQ37" s="20" t="n"/>
      <c r="DR37" s="20" t="n"/>
      <c r="DS37" s="3">
        <f>SUM(C37:L37)*Inicio!$W$4</f>
        <v/>
      </c>
      <c r="DT37" s="3">
        <f>SUM(M37:V37)*Inicio!$W$5</f>
        <v/>
      </c>
      <c r="DU37" s="3">
        <f>SUM(W37:AF37)*Inicio!$W$6</f>
        <v/>
      </c>
      <c r="DV37" s="3">
        <f>SUM(AG37:AP37)*Inicio!$W$7</f>
        <v/>
      </c>
      <c r="DW37" s="3">
        <f>SUM(AQ37:AZ37)*Inicio!$W$8</f>
        <v/>
      </c>
      <c r="DX37" s="3">
        <f>SUM(BA37:BJ37)*Inicio!$W$9</f>
        <v/>
      </c>
      <c r="DY37" s="3">
        <f>SUM(BK37:BT37)*Inicio!$W$10</f>
        <v/>
      </c>
      <c r="DZ37" s="3">
        <f>SUM(BU37:CD37)*Inicio!$W$11</f>
        <v/>
      </c>
      <c r="EA37" s="3">
        <f>SUM(CE37:CN37)*Inicio!$W$12</f>
        <v/>
      </c>
      <c r="EB37" s="3">
        <f>SUM(CO37:CX37)*Inicio!$W$13</f>
        <v/>
      </c>
      <c r="EC37" s="3">
        <f>SUM(CY37:DH37)*Inicio!$W$11</f>
        <v/>
      </c>
      <c r="ED37" s="3">
        <f>SUM(DI37:DR37)*Inicio!$W$12</f>
        <v/>
      </c>
      <c r="EE37" s="3">
        <f>SUM(C37:DR37)</f>
        <v/>
      </c>
      <c r="EF37" s="3">
        <f>SUM(EE34:EE37)</f>
        <v/>
      </c>
      <c r="EG37" s="3">
        <f>SUM(DS37:ED37)</f>
        <v/>
      </c>
      <c r="EH37" s="3">
        <f>SUM(EG34:EG37)</f>
        <v/>
      </c>
    </row>
    <row r="38" ht="20.25" customHeight="1">
      <c r="B38" s="28" t="inlineStr">
        <is>
          <t>07:15 - 07:30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4">
        <f>SUM(C38:L38)*Inicio!$W$4</f>
        <v/>
      </c>
      <c r="DT38" s="4">
        <f>SUM(M38:V38)*Inicio!$W$5</f>
        <v/>
      </c>
      <c r="DU38" s="4">
        <f>SUM(W38:AF38)*Inicio!$W$6</f>
        <v/>
      </c>
      <c r="DV38" s="4">
        <f>SUM(AG38:AP38)*Inicio!$W$7</f>
        <v/>
      </c>
      <c r="DW38" s="4">
        <f>SUM(AQ38:AZ38)*Inicio!$W$8</f>
        <v/>
      </c>
      <c r="DX38" s="4">
        <f>SUM(BA38:BJ38)*Inicio!$W$9</f>
        <v/>
      </c>
      <c r="DY38" s="4">
        <f>SUM(BK38:BT38)*Inicio!$W$10</f>
        <v/>
      </c>
      <c r="DZ38" s="4">
        <f>SUM(BU38:CD38)*Inicio!$W$11</f>
        <v/>
      </c>
      <c r="EA38" s="4">
        <f>SUM(CE38:CN38)*Inicio!$W$12</f>
        <v/>
      </c>
      <c r="EB38" s="4">
        <f>SUM(CO38:CX38)*Inicio!$W$13</f>
        <v/>
      </c>
      <c r="EC38" s="4">
        <f>SUM(CY38:DH38)*Inicio!$W$11</f>
        <v/>
      </c>
      <c r="ED38" s="4">
        <f>SUM(DI38:DR38)*Inicio!$W$12</f>
        <v/>
      </c>
      <c r="EE38" s="4">
        <f>SUM(C38:DR38)</f>
        <v/>
      </c>
      <c r="EF38" s="4">
        <f>SUM(EE35:EE38)</f>
        <v/>
      </c>
      <c r="EG38" s="4">
        <f>SUM(DS38:ED38)</f>
        <v/>
      </c>
      <c r="EH38" s="4">
        <f>SUM(EG35:EG38)</f>
        <v/>
      </c>
    </row>
    <row r="39" ht="20.25" customHeight="1">
      <c r="B39" s="28" t="inlineStr">
        <is>
          <t>07:30 - 07:45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4">
        <f>SUM(C39:L39)*Inicio!$W$4</f>
        <v/>
      </c>
      <c r="DT39" s="4">
        <f>SUM(M39:V39)*Inicio!$W$5</f>
        <v/>
      </c>
      <c r="DU39" s="4">
        <f>SUM(W39:AF39)*Inicio!$W$6</f>
        <v/>
      </c>
      <c r="DV39" s="4">
        <f>SUM(AG39:AP39)*Inicio!$W$7</f>
        <v/>
      </c>
      <c r="DW39" s="4">
        <f>SUM(AQ39:AZ39)*Inicio!$W$8</f>
        <v/>
      </c>
      <c r="DX39" s="4">
        <f>SUM(BA39:BJ39)*Inicio!$W$9</f>
        <v/>
      </c>
      <c r="DY39" s="4">
        <f>SUM(BK39:BT39)*Inicio!$W$10</f>
        <v/>
      </c>
      <c r="DZ39" s="4">
        <f>SUM(BU39:CD39)*Inicio!$W$11</f>
        <v/>
      </c>
      <c r="EA39" s="4">
        <f>SUM(CE39:CN39)*Inicio!$W$12</f>
        <v/>
      </c>
      <c r="EB39" s="4">
        <f>SUM(CO39:CX39)*Inicio!$W$13</f>
        <v/>
      </c>
      <c r="EC39" s="4">
        <f>SUM(CY39:DH39)*Inicio!$W$11</f>
        <v/>
      </c>
      <c r="ED39" s="4">
        <f>SUM(DI39:DR39)*Inicio!$W$12</f>
        <v/>
      </c>
      <c r="EE39" s="4">
        <f>SUM(C39:DR39)</f>
        <v/>
      </c>
      <c r="EF39" s="4">
        <f>SUM(EE36:EE39)</f>
        <v/>
      </c>
      <c r="EG39" s="4">
        <f>SUM(DS39:ED39)</f>
        <v/>
      </c>
      <c r="EH39" s="4">
        <f>SUM(EG36:EG39)</f>
        <v/>
      </c>
    </row>
    <row r="40" ht="20.25" customHeight="1">
      <c r="B40" s="26" t="inlineStr">
        <is>
          <t>07:45 - 08:00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5">
        <f>SUM(C40:L40)*Inicio!$W$4</f>
        <v/>
      </c>
      <c r="DT40" s="5">
        <f>SUM(M40:V40)*Inicio!$W$5</f>
        <v/>
      </c>
      <c r="DU40" s="5">
        <f>SUM(W40:AF40)*Inicio!$W$6</f>
        <v/>
      </c>
      <c r="DV40" s="5">
        <f>SUM(AG40:AP40)*Inicio!$W$7</f>
        <v/>
      </c>
      <c r="DW40" s="5">
        <f>SUM(AQ40:AZ40)*Inicio!$W$8</f>
        <v/>
      </c>
      <c r="DX40" s="5">
        <f>SUM(BA40:BJ40)*Inicio!$W$9</f>
        <v/>
      </c>
      <c r="DY40" s="5">
        <f>SUM(BK40:BT40)*Inicio!$W$10</f>
        <v/>
      </c>
      <c r="DZ40" s="5">
        <f>SUM(BU40:CD40)*Inicio!$W$11</f>
        <v/>
      </c>
      <c r="EA40" s="5">
        <f>SUM(CE40:CN40)*Inicio!$W$12</f>
        <v/>
      </c>
      <c r="EB40" s="5">
        <f>SUM(CO40:CX40)*Inicio!$W$13</f>
        <v/>
      </c>
      <c r="EC40" s="5">
        <f>SUM(CY40:DH40)*Inicio!$W$11</f>
        <v/>
      </c>
      <c r="ED40" s="5">
        <f>SUM(DI40:DR40)*Inicio!$W$12</f>
        <v/>
      </c>
      <c r="EE40" s="5">
        <f>SUM(C40:DR40)</f>
        <v/>
      </c>
      <c r="EF40" s="5">
        <f>SUM(EE37:EE40)</f>
        <v/>
      </c>
      <c r="EG40" s="5">
        <f>SUM(DS40:ED40)</f>
        <v/>
      </c>
      <c r="EH40" s="5">
        <f>SUM(EG37:EG40)</f>
        <v/>
      </c>
    </row>
    <row r="41" ht="20.25" customHeight="1">
      <c r="B41" s="27" t="inlineStr">
        <is>
          <t>08:00 - 08:15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0" t="n"/>
      <c r="CO41" s="20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0" t="n"/>
      <c r="DA41" s="20" t="n"/>
      <c r="DB41" s="20" t="n"/>
      <c r="DC41" s="20" t="n"/>
      <c r="DD41" s="20" t="n"/>
      <c r="DE41" s="20" t="n"/>
      <c r="DF41" s="20" t="n"/>
      <c r="DG41" s="20" t="n"/>
      <c r="DH41" s="20" t="n"/>
      <c r="DI41" s="20" t="n"/>
      <c r="DJ41" s="20" t="n"/>
      <c r="DK41" s="20" t="n"/>
      <c r="DL41" s="20" t="n"/>
      <c r="DM41" s="20" t="n"/>
      <c r="DN41" s="20" t="n"/>
      <c r="DO41" s="20" t="n"/>
      <c r="DP41" s="20" t="n"/>
      <c r="DQ41" s="20" t="n"/>
      <c r="DR41" s="20" t="n"/>
      <c r="DS41" s="3">
        <f>SUM(C41:L41)*Inicio!$W$4</f>
        <v/>
      </c>
      <c r="DT41" s="3">
        <f>SUM(M41:V41)*Inicio!$W$5</f>
        <v/>
      </c>
      <c r="DU41" s="3">
        <f>SUM(W41:AF41)*Inicio!$W$6</f>
        <v/>
      </c>
      <c r="DV41" s="3">
        <f>SUM(AG41:AP41)*Inicio!$W$7</f>
        <v/>
      </c>
      <c r="DW41" s="3">
        <f>SUM(AQ41:AZ41)*Inicio!$W$8</f>
        <v/>
      </c>
      <c r="DX41" s="3">
        <f>SUM(BA41:BJ41)*Inicio!$W$9</f>
        <v/>
      </c>
      <c r="DY41" s="3">
        <f>SUM(BK41:BT41)*Inicio!$W$10</f>
        <v/>
      </c>
      <c r="DZ41" s="3">
        <f>SUM(BU41:CD41)*Inicio!$W$11</f>
        <v/>
      </c>
      <c r="EA41" s="3">
        <f>SUM(CE41:CN41)*Inicio!$W$12</f>
        <v/>
      </c>
      <c r="EB41" s="3">
        <f>SUM(CO41:CX41)*Inicio!$W$13</f>
        <v/>
      </c>
      <c r="EC41" s="3">
        <f>SUM(CY41:DH41)*Inicio!$W$11</f>
        <v/>
      </c>
      <c r="ED41" s="3">
        <f>SUM(DI41:DR41)*Inicio!$W$12</f>
        <v/>
      </c>
      <c r="EE41" s="3">
        <f>SUM(C41:DR41)</f>
        <v/>
      </c>
      <c r="EF41" s="3">
        <f>SUM(EE38:EE41)</f>
        <v/>
      </c>
      <c r="EG41" s="3">
        <f>SUM(DS41:ED41)</f>
        <v/>
      </c>
      <c r="EH41" s="3">
        <f>SUM(EG38:EG41)</f>
        <v/>
      </c>
    </row>
    <row r="42" ht="20.25" customHeight="1">
      <c r="B42" s="28" t="inlineStr">
        <is>
          <t>08:15 - 08:30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4">
        <f>SUM(C42:L42)*Inicio!$W$4</f>
        <v/>
      </c>
      <c r="DT42" s="4">
        <f>SUM(M42:V42)*Inicio!$W$5</f>
        <v/>
      </c>
      <c r="DU42" s="4">
        <f>SUM(W42:AF42)*Inicio!$W$6</f>
        <v/>
      </c>
      <c r="DV42" s="4">
        <f>SUM(AG42:AP42)*Inicio!$W$7</f>
        <v/>
      </c>
      <c r="DW42" s="4">
        <f>SUM(AQ42:AZ42)*Inicio!$W$8</f>
        <v/>
      </c>
      <c r="DX42" s="4">
        <f>SUM(BA42:BJ42)*Inicio!$W$9</f>
        <v/>
      </c>
      <c r="DY42" s="4">
        <f>SUM(BK42:BT42)*Inicio!$W$10</f>
        <v/>
      </c>
      <c r="DZ42" s="4">
        <f>SUM(BU42:CD42)*Inicio!$W$11</f>
        <v/>
      </c>
      <c r="EA42" s="4">
        <f>SUM(CE42:CN42)*Inicio!$W$12</f>
        <v/>
      </c>
      <c r="EB42" s="4">
        <f>SUM(CO42:CX42)*Inicio!$W$13</f>
        <v/>
      </c>
      <c r="EC42" s="4">
        <f>SUM(CY42:DH42)*Inicio!$W$11</f>
        <v/>
      </c>
      <c r="ED42" s="4">
        <f>SUM(DI42:DR42)*Inicio!$W$12</f>
        <v/>
      </c>
      <c r="EE42" s="4">
        <f>SUM(C42:DR42)</f>
        <v/>
      </c>
      <c r="EF42" s="4">
        <f>SUM(EE39:EE42)</f>
        <v/>
      </c>
      <c r="EG42" s="4">
        <f>SUM(DS42:ED42)</f>
        <v/>
      </c>
      <c r="EH42" s="4">
        <f>SUM(EG39:EG42)</f>
        <v/>
      </c>
    </row>
    <row r="43" ht="20.25" customHeight="1">
      <c r="B43" s="28" t="inlineStr">
        <is>
          <t>08:30 - 08:45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4">
        <f>SUM(C43:L43)*Inicio!$W$4</f>
        <v/>
      </c>
      <c r="DT43" s="4">
        <f>SUM(M43:V43)*Inicio!$W$5</f>
        <v/>
      </c>
      <c r="DU43" s="4">
        <f>SUM(W43:AF43)*Inicio!$W$6</f>
        <v/>
      </c>
      <c r="DV43" s="4">
        <f>SUM(AG43:AP43)*Inicio!$W$7</f>
        <v/>
      </c>
      <c r="DW43" s="4">
        <f>SUM(AQ43:AZ43)*Inicio!$W$8</f>
        <v/>
      </c>
      <c r="DX43" s="4">
        <f>SUM(BA43:BJ43)*Inicio!$W$9</f>
        <v/>
      </c>
      <c r="DY43" s="4">
        <f>SUM(BK43:BT43)*Inicio!$W$10</f>
        <v/>
      </c>
      <c r="DZ43" s="4">
        <f>SUM(BU43:CD43)*Inicio!$W$11</f>
        <v/>
      </c>
      <c r="EA43" s="4">
        <f>SUM(CE43:CN43)*Inicio!$W$12</f>
        <v/>
      </c>
      <c r="EB43" s="4">
        <f>SUM(CO43:CX43)*Inicio!$W$13</f>
        <v/>
      </c>
      <c r="EC43" s="4">
        <f>SUM(CY43:DH43)*Inicio!$W$11</f>
        <v/>
      </c>
      <c r="ED43" s="4">
        <f>SUM(DI43:DR43)*Inicio!$W$12</f>
        <v/>
      </c>
      <c r="EE43" s="4">
        <f>SUM(C43:DR43)</f>
        <v/>
      </c>
      <c r="EF43" s="4">
        <f>SUM(EE40:EE43)</f>
        <v/>
      </c>
      <c r="EG43" s="4">
        <f>SUM(DS43:ED43)</f>
        <v/>
      </c>
      <c r="EH43" s="4">
        <f>SUM(EG40:EG43)</f>
        <v/>
      </c>
    </row>
    <row r="44" ht="20.25" customHeight="1">
      <c r="B44" s="26" t="inlineStr">
        <is>
          <t>08:45 - 09:00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5">
        <f>SUM(C44:L44)*Inicio!$W$4</f>
        <v/>
      </c>
      <c r="DT44" s="5">
        <f>SUM(M44:V44)*Inicio!$W$5</f>
        <v/>
      </c>
      <c r="DU44" s="5">
        <f>SUM(W44:AF44)*Inicio!$W$6</f>
        <v/>
      </c>
      <c r="DV44" s="5">
        <f>SUM(AG44:AP44)*Inicio!$W$7</f>
        <v/>
      </c>
      <c r="DW44" s="5">
        <f>SUM(AQ44:AZ44)*Inicio!$W$8</f>
        <v/>
      </c>
      <c r="DX44" s="5">
        <f>SUM(BA44:BJ44)*Inicio!$W$9</f>
        <v/>
      </c>
      <c r="DY44" s="5">
        <f>SUM(BK44:BT44)*Inicio!$W$10</f>
        <v/>
      </c>
      <c r="DZ44" s="5">
        <f>SUM(BU44:CD44)*Inicio!$W$11</f>
        <v/>
      </c>
      <c r="EA44" s="5">
        <f>SUM(CE44:CN44)*Inicio!$W$12</f>
        <v/>
      </c>
      <c r="EB44" s="5">
        <f>SUM(CO44:CX44)*Inicio!$W$13</f>
        <v/>
      </c>
      <c r="EC44" s="5">
        <f>SUM(CY44:DH44)*Inicio!$W$11</f>
        <v/>
      </c>
      <c r="ED44" s="5">
        <f>SUM(DI44:DR44)*Inicio!$W$12</f>
        <v/>
      </c>
      <c r="EE44" s="5">
        <f>SUM(C44:DR44)</f>
        <v/>
      </c>
      <c r="EF44" s="5">
        <f>SUM(EE41:EE44)</f>
        <v/>
      </c>
      <c r="EG44" s="5">
        <f>SUM(DS44:ED44)</f>
        <v/>
      </c>
      <c r="EH44" s="5">
        <f>SUM(EG41:EG44)</f>
        <v/>
      </c>
    </row>
    <row r="45" ht="20.25" customHeight="1">
      <c r="B45" s="27" t="inlineStr">
        <is>
          <t>09:00 - 09:15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0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0" t="n"/>
      <c r="DA45" s="20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0" t="n"/>
      <c r="DK45" s="20" t="n"/>
      <c r="DL45" s="20" t="n"/>
      <c r="DM45" s="20" t="n"/>
      <c r="DN45" s="20" t="n"/>
      <c r="DO45" s="20" t="n"/>
      <c r="DP45" s="20" t="n"/>
      <c r="DQ45" s="20" t="n"/>
      <c r="DR45" s="20" t="n"/>
      <c r="DS45" s="3">
        <f>SUM(C45:L45)*Inicio!$W$4</f>
        <v/>
      </c>
      <c r="DT45" s="3">
        <f>SUM(M45:V45)*Inicio!$W$5</f>
        <v/>
      </c>
      <c r="DU45" s="3">
        <f>SUM(W45:AF45)*Inicio!$W$6</f>
        <v/>
      </c>
      <c r="DV45" s="3">
        <f>SUM(AG45:AP45)*Inicio!$W$7</f>
        <v/>
      </c>
      <c r="DW45" s="3">
        <f>SUM(AQ45:AZ45)*Inicio!$W$8</f>
        <v/>
      </c>
      <c r="DX45" s="3">
        <f>SUM(BA45:BJ45)*Inicio!$W$9</f>
        <v/>
      </c>
      <c r="DY45" s="3">
        <f>SUM(BK45:BT45)*Inicio!$W$10</f>
        <v/>
      </c>
      <c r="DZ45" s="3">
        <f>SUM(BU45:CD45)*Inicio!$W$11</f>
        <v/>
      </c>
      <c r="EA45" s="3">
        <f>SUM(CE45:CN45)*Inicio!$W$12</f>
        <v/>
      </c>
      <c r="EB45" s="3">
        <f>SUM(CO45:CX45)*Inicio!$W$13</f>
        <v/>
      </c>
      <c r="EC45" s="3">
        <f>SUM(CY45:DH45)*Inicio!$W$11</f>
        <v/>
      </c>
      <c r="ED45" s="3">
        <f>SUM(DI45:DR45)*Inicio!$W$12</f>
        <v/>
      </c>
      <c r="EE45" s="3">
        <f>SUM(C45:DR45)</f>
        <v/>
      </c>
      <c r="EF45" s="3">
        <f>SUM(EE42:EE45)</f>
        <v/>
      </c>
      <c r="EG45" s="3">
        <f>SUM(DS45:ED45)</f>
        <v/>
      </c>
      <c r="EH45" s="3">
        <f>SUM(EG42:EG45)</f>
        <v/>
      </c>
    </row>
    <row r="46" ht="20.25" customHeight="1">
      <c r="B46" s="28" t="inlineStr">
        <is>
          <t>09:15 - 09:30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4">
        <f>SUM(C46:L46)*Inicio!$W$4</f>
        <v/>
      </c>
      <c r="DT46" s="4">
        <f>SUM(M46:V46)*Inicio!$W$5</f>
        <v/>
      </c>
      <c r="DU46" s="4">
        <f>SUM(W46:AF46)*Inicio!$W$6</f>
        <v/>
      </c>
      <c r="DV46" s="4">
        <f>SUM(AG46:AP46)*Inicio!$W$7</f>
        <v/>
      </c>
      <c r="DW46" s="4">
        <f>SUM(AQ46:AZ46)*Inicio!$W$8</f>
        <v/>
      </c>
      <c r="DX46" s="4">
        <f>SUM(BA46:BJ46)*Inicio!$W$9</f>
        <v/>
      </c>
      <c r="DY46" s="4">
        <f>SUM(BK46:BT46)*Inicio!$W$10</f>
        <v/>
      </c>
      <c r="DZ46" s="4">
        <f>SUM(BU46:CD46)*Inicio!$W$11</f>
        <v/>
      </c>
      <c r="EA46" s="4">
        <f>SUM(CE46:CN46)*Inicio!$W$12</f>
        <v/>
      </c>
      <c r="EB46" s="4">
        <f>SUM(CO46:CX46)*Inicio!$W$13</f>
        <v/>
      </c>
      <c r="EC46" s="4">
        <f>SUM(CY46:DH46)*Inicio!$W$11</f>
        <v/>
      </c>
      <c r="ED46" s="4">
        <f>SUM(DI46:DR46)*Inicio!$W$12</f>
        <v/>
      </c>
      <c r="EE46" s="4">
        <f>SUM(C46:DR46)</f>
        <v/>
      </c>
      <c r="EF46" s="4">
        <f>SUM(EE43:EE46)</f>
        <v/>
      </c>
      <c r="EG46" s="4">
        <f>SUM(DS46:ED46)</f>
        <v/>
      </c>
      <c r="EH46" s="4">
        <f>SUM(EG43:EG46)</f>
        <v/>
      </c>
    </row>
    <row r="47" ht="20.25" customHeight="1">
      <c r="B47" s="28" t="inlineStr">
        <is>
          <t>09:30 - 09:45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4">
        <f>SUM(C47:L47)*Inicio!$W$4</f>
        <v/>
      </c>
      <c r="DT47" s="4">
        <f>SUM(M47:V47)*Inicio!$W$5</f>
        <v/>
      </c>
      <c r="DU47" s="4">
        <f>SUM(W47:AF47)*Inicio!$W$6</f>
        <v/>
      </c>
      <c r="DV47" s="4">
        <f>SUM(AG47:AP47)*Inicio!$W$7</f>
        <v/>
      </c>
      <c r="DW47" s="4">
        <f>SUM(AQ47:AZ47)*Inicio!$W$8</f>
        <v/>
      </c>
      <c r="DX47" s="4">
        <f>SUM(BA47:BJ47)*Inicio!$W$9</f>
        <v/>
      </c>
      <c r="DY47" s="4">
        <f>SUM(BK47:BT47)*Inicio!$W$10</f>
        <v/>
      </c>
      <c r="DZ47" s="4">
        <f>SUM(BU47:CD47)*Inicio!$W$11</f>
        <v/>
      </c>
      <c r="EA47" s="4">
        <f>SUM(CE47:CN47)*Inicio!$W$12</f>
        <v/>
      </c>
      <c r="EB47" s="4">
        <f>SUM(CO47:CX47)*Inicio!$W$13</f>
        <v/>
      </c>
      <c r="EC47" s="4">
        <f>SUM(CY47:DH47)*Inicio!$W$11</f>
        <v/>
      </c>
      <c r="ED47" s="4">
        <f>SUM(DI47:DR47)*Inicio!$W$12</f>
        <v/>
      </c>
      <c r="EE47" s="4">
        <f>SUM(C47:DR47)</f>
        <v/>
      </c>
      <c r="EF47" s="4">
        <f>SUM(EE44:EE47)</f>
        <v/>
      </c>
      <c r="EG47" s="4">
        <f>SUM(DS47:ED47)</f>
        <v/>
      </c>
      <c r="EH47" s="4">
        <f>SUM(EG44:EG47)</f>
        <v/>
      </c>
    </row>
    <row r="48" ht="20.25" customHeight="1">
      <c r="B48" s="26" t="inlineStr">
        <is>
          <t>09:45 - 10:00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5">
        <f>SUM(C48:L48)*Inicio!$W$4</f>
        <v/>
      </c>
      <c r="DT48" s="5">
        <f>SUM(M48:V48)*Inicio!$W$5</f>
        <v/>
      </c>
      <c r="DU48" s="5">
        <f>SUM(W48:AF48)*Inicio!$W$6</f>
        <v/>
      </c>
      <c r="DV48" s="5">
        <f>SUM(AG48:AP48)*Inicio!$W$7</f>
        <v/>
      </c>
      <c r="DW48" s="5">
        <f>SUM(AQ48:AZ48)*Inicio!$W$8</f>
        <v/>
      </c>
      <c r="DX48" s="5">
        <f>SUM(BA48:BJ48)*Inicio!$W$9</f>
        <v/>
      </c>
      <c r="DY48" s="5">
        <f>SUM(BK48:BT48)*Inicio!$W$10</f>
        <v/>
      </c>
      <c r="DZ48" s="5">
        <f>SUM(BU48:CD48)*Inicio!$W$11</f>
        <v/>
      </c>
      <c r="EA48" s="5">
        <f>SUM(CE48:CN48)*Inicio!$W$12</f>
        <v/>
      </c>
      <c r="EB48" s="5">
        <f>SUM(CO48:CX48)*Inicio!$W$13</f>
        <v/>
      </c>
      <c r="EC48" s="5">
        <f>SUM(CY48:DH48)*Inicio!$W$11</f>
        <v/>
      </c>
      <c r="ED48" s="5">
        <f>SUM(DI48:DR48)*Inicio!$W$12</f>
        <v/>
      </c>
      <c r="EE48" s="5">
        <f>SUM(C48:DR48)</f>
        <v/>
      </c>
      <c r="EF48" s="5">
        <f>SUM(EE45:EE48)</f>
        <v/>
      </c>
      <c r="EG48" s="5">
        <f>SUM(DS48:ED48)</f>
        <v/>
      </c>
      <c r="EH48" s="5">
        <f>SUM(EG45:EG48)</f>
        <v/>
      </c>
    </row>
    <row r="49" ht="20.25" customHeight="1">
      <c r="B49" s="27" t="inlineStr">
        <is>
          <t>10:00 - 10:15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0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0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0" t="n"/>
      <c r="DA49" s="20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0" t="n"/>
      <c r="DK49" s="20" t="n"/>
      <c r="DL49" s="20" t="n"/>
      <c r="DM49" s="20" t="n"/>
      <c r="DN49" s="20" t="n"/>
      <c r="DO49" s="20" t="n"/>
      <c r="DP49" s="20" t="n"/>
      <c r="DQ49" s="20" t="n"/>
      <c r="DR49" s="20" t="n"/>
      <c r="DS49" s="3">
        <f>SUM(C49:L49)*Inicio!$W$4</f>
        <v/>
      </c>
      <c r="DT49" s="3">
        <f>SUM(M49:V49)*Inicio!$W$5</f>
        <v/>
      </c>
      <c r="DU49" s="3">
        <f>SUM(W49:AF49)*Inicio!$W$6</f>
        <v/>
      </c>
      <c r="DV49" s="3">
        <f>SUM(AG49:AP49)*Inicio!$W$7</f>
        <v/>
      </c>
      <c r="DW49" s="3">
        <f>SUM(AQ49:AZ49)*Inicio!$W$8</f>
        <v/>
      </c>
      <c r="DX49" s="3">
        <f>SUM(BA49:BJ49)*Inicio!$W$9</f>
        <v/>
      </c>
      <c r="DY49" s="3">
        <f>SUM(BK49:BT49)*Inicio!$W$10</f>
        <v/>
      </c>
      <c r="DZ49" s="3">
        <f>SUM(BU49:CD49)*Inicio!$W$11</f>
        <v/>
      </c>
      <c r="EA49" s="3">
        <f>SUM(CE49:CN49)*Inicio!$W$12</f>
        <v/>
      </c>
      <c r="EB49" s="3">
        <f>SUM(CO49:CX49)*Inicio!$W$13</f>
        <v/>
      </c>
      <c r="EC49" s="3">
        <f>SUM(CY49:DH49)*Inicio!$W$11</f>
        <v/>
      </c>
      <c r="ED49" s="3">
        <f>SUM(DI49:DR49)*Inicio!$W$12</f>
        <v/>
      </c>
      <c r="EE49" s="3">
        <f>SUM(C49:DR49)</f>
        <v/>
      </c>
      <c r="EF49" s="3">
        <f>SUM(EE46:EE49)</f>
        <v/>
      </c>
      <c r="EG49" s="3">
        <f>SUM(DS49:ED49)</f>
        <v/>
      </c>
      <c r="EH49" s="3">
        <f>SUM(EG46:EG49)</f>
        <v/>
      </c>
    </row>
    <row r="50" ht="20.25" customHeight="1">
      <c r="B50" s="28" t="inlineStr">
        <is>
          <t>10:15 - 10:30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4">
        <f>SUM(C50:L50)*Inicio!$W$4</f>
        <v/>
      </c>
      <c r="DT50" s="4">
        <f>SUM(M50:V50)*Inicio!$W$5</f>
        <v/>
      </c>
      <c r="DU50" s="4">
        <f>SUM(W50:AF50)*Inicio!$W$6</f>
        <v/>
      </c>
      <c r="DV50" s="4">
        <f>SUM(AG50:AP50)*Inicio!$W$7</f>
        <v/>
      </c>
      <c r="DW50" s="4">
        <f>SUM(AQ50:AZ50)*Inicio!$W$8</f>
        <v/>
      </c>
      <c r="DX50" s="4">
        <f>SUM(BA50:BJ50)*Inicio!$W$9</f>
        <v/>
      </c>
      <c r="DY50" s="4">
        <f>SUM(BK50:BT50)*Inicio!$W$10</f>
        <v/>
      </c>
      <c r="DZ50" s="4">
        <f>SUM(BU50:CD50)*Inicio!$W$11</f>
        <v/>
      </c>
      <c r="EA50" s="4">
        <f>SUM(CE50:CN50)*Inicio!$W$12</f>
        <v/>
      </c>
      <c r="EB50" s="4">
        <f>SUM(CO50:CX50)*Inicio!$W$13</f>
        <v/>
      </c>
      <c r="EC50" s="4">
        <f>SUM(CY50:DH50)*Inicio!$W$11</f>
        <v/>
      </c>
      <c r="ED50" s="4">
        <f>SUM(DI50:DR50)*Inicio!$W$12</f>
        <v/>
      </c>
      <c r="EE50" s="4">
        <f>SUM(C50:DR50)</f>
        <v/>
      </c>
      <c r="EF50" s="4">
        <f>SUM(EE47:EE50)</f>
        <v/>
      </c>
      <c r="EG50" s="4">
        <f>SUM(DS50:ED50)</f>
        <v/>
      </c>
      <c r="EH50" s="4">
        <f>SUM(EG47:EG50)</f>
        <v/>
      </c>
    </row>
    <row r="51" ht="20.25" customHeight="1">
      <c r="B51" s="28" t="inlineStr">
        <is>
          <t>10:30 - 10:45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4">
        <f>SUM(C51:L51)*Inicio!$W$4</f>
        <v/>
      </c>
      <c r="DT51" s="4">
        <f>SUM(M51:V51)*Inicio!$W$5</f>
        <v/>
      </c>
      <c r="DU51" s="4">
        <f>SUM(W51:AF51)*Inicio!$W$6</f>
        <v/>
      </c>
      <c r="DV51" s="4">
        <f>SUM(AG51:AP51)*Inicio!$W$7</f>
        <v/>
      </c>
      <c r="DW51" s="4">
        <f>SUM(AQ51:AZ51)*Inicio!$W$8</f>
        <v/>
      </c>
      <c r="DX51" s="4">
        <f>SUM(BA51:BJ51)*Inicio!$W$9</f>
        <v/>
      </c>
      <c r="DY51" s="4">
        <f>SUM(BK51:BT51)*Inicio!$W$10</f>
        <v/>
      </c>
      <c r="DZ51" s="4">
        <f>SUM(BU51:CD51)*Inicio!$W$11</f>
        <v/>
      </c>
      <c r="EA51" s="4">
        <f>SUM(CE51:CN51)*Inicio!$W$12</f>
        <v/>
      </c>
      <c r="EB51" s="4">
        <f>SUM(CO51:CX51)*Inicio!$W$13</f>
        <v/>
      </c>
      <c r="EC51" s="4">
        <f>SUM(CY51:DH51)*Inicio!$W$11</f>
        <v/>
      </c>
      <c r="ED51" s="4">
        <f>SUM(DI51:DR51)*Inicio!$W$12</f>
        <v/>
      </c>
      <c r="EE51" s="4">
        <f>SUM(C51:DR51)</f>
        <v/>
      </c>
      <c r="EF51" s="4">
        <f>SUM(EE48:EE51)</f>
        <v/>
      </c>
      <c r="EG51" s="4">
        <f>SUM(DS51:ED51)</f>
        <v/>
      </c>
      <c r="EH51" s="4">
        <f>SUM(EG48:EG51)</f>
        <v/>
      </c>
    </row>
    <row r="52" ht="20.25" customHeight="1">
      <c r="B52" s="26" t="inlineStr">
        <is>
          <t>10:45 - 11:00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5">
        <f>SUM(C52:L52)*Inicio!$W$4</f>
        <v/>
      </c>
      <c r="DT52" s="5">
        <f>SUM(M52:V52)*Inicio!$W$5</f>
        <v/>
      </c>
      <c r="DU52" s="5">
        <f>SUM(W52:AF52)*Inicio!$W$6</f>
        <v/>
      </c>
      <c r="DV52" s="5">
        <f>SUM(AG52:AP52)*Inicio!$W$7</f>
        <v/>
      </c>
      <c r="DW52" s="5">
        <f>SUM(AQ52:AZ52)*Inicio!$W$8</f>
        <v/>
      </c>
      <c r="DX52" s="5">
        <f>SUM(BA52:BJ52)*Inicio!$W$9</f>
        <v/>
      </c>
      <c r="DY52" s="5">
        <f>SUM(BK52:BT52)*Inicio!$W$10</f>
        <v/>
      </c>
      <c r="DZ52" s="5">
        <f>SUM(BU52:CD52)*Inicio!$W$11</f>
        <v/>
      </c>
      <c r="EA52" s="5">
        <f>SUM(CE52:CN52)*Inicio!$W$12</f>
        <v/>
      </c>
      <c r="EB52" s="5">
        <f>SUM(CO52:CX52)*Inicio!$W$13</f>
        <v/>
      </c>
      <c r="EC52" s="5">
        <f>SUM(CY52:DH52)*Inicio!$W$11</f>
        <v/>
      </c>
      <c r="ED52" s="5">
        <f>SUM(DI52:DR52)*Inicio!$W$12</f>
        <v/>
      </c>
      <c r="EE52" s="5">
        <f>SUM(C52:DR52)</f>
        <v/>
      </c>
      <c r="EF52" s="5">
        <f>SUM(EE49:EE52)</f>
        <v/>
      </c>
      <c r="EG52" s="5">
        <f>SUM(DS52:ED52)</f>
        <v/>
      </c>
      <c r="EH52" s="5">
        <f>SUM(EG49:EG52)</f>
        <v/>
      </c>
    </row>
    <row r="53" ht="20.25" customHeight="1">
      <c r="B53" s="27" t="inlineStr">
        <is>
          <t>11:00 - 11:15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0" t="n"/>
      <c r="CO53" s="20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0" t="n"/>
      <c r="DA53" s="20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0" t="n"/>
      <c r="DK53" s="20" t="n"/>
      <c r="DL53" s="20" t="n"/>
      <c r="DM53" s="20" t="n"/>
      <c r="DN53" s="20" t="n"/>
      <c r="DO53" s="20" t="n"/>
      <c r="DP53" s="20" t="n"/>
      <c r="DQ53" s="20" t="n"/>
      <c r="DR53" s="20" t="n"/>
      <c r="DS53" s="4">
        <f>SUM(C53:L53)*Inicio!$W$4</f>
        <v/>
      </c>
      <c r="DT53" s="4">
        <f>SUM(M53:V53)*Inicio!$W$5</f>
        <v/>
      </c>
      <c r="DU53" s="4">
        <f>SUM(W53:AF53)*Inicio!$W$6</f>
        <v/>
      </c>
      <c r="DV53" s="4">
        <f>SUM(AG53:AP53)*Inicio!$W$7</f>
        <v/>
      </c>
      <c r="DW53" s="4">
        <f>SUM(AQ53:AZ53)*Inicio!$W$8</f>
        <v/>
      </c>
      <c r="DX53" s="4">
        <f>SUM(BA53:BJ53)*Inicio!$W$9</f>
        <v/>
      </c>
      <c r="DY53" s="4">
        <f>SUM(BK53:BT53)*Inicio!$W$10</f>
        <v/>
      </c>
      <c r="DZ53" s="4">
        <f>SUM(BU53:CD53)*Inicio!$W$11</f>
        <v/>
      </c>
      <c r="EA53" s="4">
        <f>SUM(CE53:CN53)*Inicio!$W$12</f>
        <v/>
      </c>
      <c r="EB53" s="4">
        <f>SUM(CO53:CX53)*Inicio!$W$13</f>
        <v/>
      </c>
      <c r="EC53" s="4">
        <f>SUM(CY53:DH53)*Inicio!$W$11</f>
        <v/>
      </c>
      <c r="ED53" s="4">
        <f>SUM(DI53:DR53)*Inicio!$W$12</f>
        <v/>
      </c>
      <c r="EE53" s="4">
        <f>SUM(C53:DR53)</f>
        <v/>
      </c>
      <c r="EF53" s="4">
        <f>SUM(EE50:EE53)</f>
        <v/>
      </c>
      <c r="EG53" s="4">
        <f>SUM(DS53:ED53)</f>
        <v/>
      </c>
      <c r="EH53" s="4">
        <f>SUM(EG50:EG53)</f>
        <v/>
      </c>
    </row>
    <row r="54" ht="20.25" customHeight="1">
      <c r="B54" s="28" t="inlineStr">
        <is>
          <t>11:15 - 11:30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4">
        <f>SUM(C54:L54)*Inicio!$W$4</f>
        <v/>
      </c>
      <c r="DT54" s="4">
        <f>SUM(M54:V54)*Inicio!$W$5</f>
        <v/>
      </c>
      <c r="DU54" s="4">
        <f>SUM(W54:AF54)*Inicio!$W$6</f>
        <v/>
      </c>
      <c r="DV54" s="4">
        <f>SUM(AG54:AP54)*Inicio!$W$7</f>
        <v/>
      </c>
      <c r="DW54" s="4">
        <f>SUM(AQ54:AZ54)*Inicio!$W$8</f>
        <v/>
      </c>
      <c r="DX54" s="4">
        <f>SUM(BA54:BJ54)*Inicio!$W$9</f>
        <v/>
      </c>
      <c r="DY54" s="4">
        <f>SUM(BK54:BT54)*Inicio!$W$10</f>
        <v/>
      </c>
      <c r="DZ54" s="4">
        <f>SUM(BU54:CD54)*Inicio!$W$11</f>
        <v/>
      </c>
      <c r="EA54" s="4">
        <f>SUM(CE54:CN54)*Inicio!$W$12</f>
        <v/>
      </c>
      <c r="EB54" s="4">
        <f>SUM(CO54:CX54)*Inicio!$W$13</f>
        <v/>
      </c>
      <c r="EC54" s="4">
        <f>SUM(CY54:DH54)*Inicio!$W$11</f>
        <v/>
      </c>
      <c r="ED54" s="4">
        <f>SUM(DI54:DR54)*Inicio!$W$12</f>
        <v/>
      </c>
      <c r="EE54" s="4">
        <f>SUM(C54:DR54)</f>
        <v/>
      </c>
      <c r="EF54" s="4">
        <f>SUM(EE51:EE54)</f>
        <v/>
      </c>
      <c r="EG54" s="4">
        <f>SUM(DS54:ED54)</f>
        <v/>
      </c>
      <c r="EH54" s="4">
        <f>SUM(EG51:EG54)</f>
        <v/>
      </c>
    </row>
    <row r="55" ht="20.25" customHeight="1">
      <c r="B55" s="28" t="inlineStr">
        <is>
          <t>11:30 - 11:45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4">
        <f>SUM(C55:L55)*Inicio!$W$4</f>
        <v/>
      </c>
      <c r="DT55" s="4">
        <f>SUM(M55:V55)*Inicio!$W$5</f>
        <v/>
      </c>
      <c r="DU55" s="4">
        <f>SUM(W55:AF55)*Inicio!$W$6</f>
        <v/>
      </c>
      <c r="DV55" s="4">
        <f>SUM(AG55:AP55)*Inicio!$W$7</f>
        <v/>
      </c>
      <c r="DW55" s="4">
        <f>SUM(AQ55:AZ55)*Inicio!$W$8</f>
        <v/>
      </c>
      <c r="DX55" s="4">
        <f>SUM(BA55:BJ55)*Inicio!$W$9</f>
        <v/>
      </c>
      <c r="DY55" s="4">
        <f>SUM(BK55:BT55)*Inicio!$W$10</f>
        <v/>
      </c>
      <c r="DZ55" s="4">
        <f>SUM(BU55:CD55)*Inicio!$W$11</f>
        <v/>
      </c>
      <c r="EA55" s="4">
        <f>SUM(CE55:CN55)*Inicio!$W$12</f>
        <v/>
      </c>
      <c r="EB55" s="4">
        <f>SUM(CO55:CX55)*Inicio!$W$13</f>
        <v/>
      </c>
      <c r="EC55" s="4">
        <f>SUM(CY55:DH55)*Inicio!$W$11</f>
        <v/>
      </c>
      <c r="ED55" s="4">
        <f>SUM(DI55:DR55)*Inicio!$W$12</f>
        <v/>
      </c>
      <c r="EE55" s="4">
        <f>SUM(C55:DR55)</f>
        <v/>
      </c>
      <c r="EF55" s="4">
        <f>SUM(EE52:EE55)</f>
        <v/>
      </c>
      <c r="EG55" s="4">
        <f>SUM(DS55:ED55)</f>
        <v/>
      </c>
      <c r="EH55" s="4">
        <f>SUM(EG52:EG55)</f>
        <v/>
      </c>
    </row>
    <row r="56" ht="20.25" customHeight="1">
      <c r="B56" s="26" t="inlineStr">
        <is>
          <t>11:45 - 12:00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4">
        <f>SUM(C56:L56)*Inicio!$W$4</f>
        <v/>
      </c>
      <c r="DT56" s="4">
        <f>SUM(M56:V56)*Inicio!$W$5</f>
        <v/>
      </c>
      <c r="DU56" s="4">
        <f>SUM(W56:AF56)*Inicio!$W$6</f>
        <v/>
      </c>
      <c r="DV56" s="4">
        <f>SUM(AG56:AP56)*Inicio!$W$7</f>
        <v/>
      </c>
      <c r="DW56" s="4">
        <f>SUM(AQ56:AZ56)*Inicio!$W$8</f>
        <v/>
      </c>
      <c r="DX56" s="4">
        <f>SUM(BA56:BJ56)*Inicio!$W$9</f>
        <v/>
      </c>
      <c r="DY56" s="4">
        <f>SUM(BK56:BT56)*Inicio!$W$10</f>
        <v/>
      </c>
      <c r="DZ56" s="4">
        <f>SUM(BU56:CD56)*Inicio!$W$11</f>
        <v/>
      </c>
      <c r="EA56" s="4">
        <f>SUM(CE56:CN56)*Inicio!$W$12</f>
        <v/>
      </c>
      <c r="EB56" s="4">
        <f>SUM(CO56:CX56)*Inicio!$W$13</f>
        <v/>
      </c>
      <c r="EC56" s="4">
        <f>SUM(CY56:DH56)*Inicio!$W$11</f>
        <v/>
      </c>
      <c r="ED56" s="4">
        <f>SUM(DI56:DR56)*Inicio!$W$12</f>
        <v/>
      </c>
      <c r="EE56" s="4">
        <f>SUM(C56:DR56)</f>
        <v/>
      </c>
      <c r="EF56" s="4">
        <f>SUM(EE53:EE56)</f>
        <v/>
      </c>
      <c r="EG56" s="4">
        <f>SUM(DS56:ED56)</f>
        <v/>
      </c>
      <c r="EH56" s="4">
        <f>SUM(EG53:EG56)</f>
        <v/>
      </c>
    </row>
    <row r="57" ht="20.25" customHeight="1">
      <c r="B57" s="27" t="inlineStr">
        <is>
          <t>12:00 - 12:15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0" t="n"/>
      <c r="CO57" s="20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0" t="n"/>
      <c r="DA57" s="20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0" t="n"/>
      <c r="DK57" s="20" t="n"/>
      <c r="DL57" s="20" t="n"/>
      <c r="DM57" s="20" t="n"/>
      <c r="DN57" s="20" t="n"/>
      <c r="DO57" s="20" t="n"/>
      <c r="DP57" s="20" t="n"/>
      <c r="DQ57" s="20" t="n"/>
      <c r="DR57" s="20" t="n"/>
      <c r="DS57" s="3">
        <f>SUM(C57:L57)*Inicio!$W$4</f>
        <v/>
      </c>
      <c r="DT57" s="3">
        <f>SUM(M57:V57)*Inicio!$W$5</f>
        <v/>
      </c>
      <c r="DU57" s="3">
        <f>SUM(W57:AF57)*Inicio!$W$6</f>
        <v/>
      </c>
      <c r="DV57" s="3">
        <f>SUM(AG57:AP57)*Inicio!$W$7</f>
        <v/>
      </c>
      <c r="DW57" s="3">
        <f>SUM(AQ57:AZ57)*Inicio!$W$8</f>
        <v/>
      </c>
      <c r="DX57" s="3">
        <f>SUM(BA57:BJ57)*Inicio!$W$9</f>
        <v/>
      </c>
      <c r="DY57" s="3">
        <f>SUM(BK57:BT57)*Inicio!$W$10</f>
        <v/>
      </c>
      <c r="DZ57" s="3">
        <f>SUM(BU57:CD57)*Inicio!$W$11</f>
        <v/>
      </c>
      <c r="EA57" s="3">
        <f>SUM(CE57:CN57)*Inicio!$W$12</f>
        <v/>
      </c>
      <c r="EB57" s="3">
        <f>SUM(CO57:CX57)*Inicio!$W$13</f>
        <v/>
      </c>
      <c r="EC57" s="3">
        <f>SUM(CY57:DH57)*Inicio!$W$11</f>
        <v/>
      </c>
      <c r="ED57" s="3">
        <f>SUM(DI57:DR57)*Inicio!$W$12</f>
        <v/>
      </c>
      <c r="EE57" s="3">
        <f>SUM(C57:DR57)</f>
        <v/>
      </c>
      <c r="EF57" s="3">
        <f>SUM(EE54:EE57)</f>
        <v/>
      </c>
      <c r="EG57" s="3">
        <f>SUM(DS57:ED57)</f>
        <v/>
      </c>
      <c r="EH57" s="3">
        <f>SUM(EG54:EG57)</f>
        <v/>
      </c>
    </row>
    <row r="58" ht="20.25" customHeight="1">
      <c r="B58" s="28" t="inlineStr">
        <is>
          <t>12:15 - 12:30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4">
        <f>SUM(C58:L58)*Inicio!$W$4</f>
        <v/>
      </c>
      <c r="DT58" s="4">
        <f>SUM(M58:V58)*Inicio!$W$5</f>
        <v/>
      </c>
      <c r="DU58" s="4">
        <f>SUM(W58:AF58)*Inicio!$W$6</f>
        <v/>
      </c>
      <c r="DV58" s="4">
        <f>SUM(AG58:AP58)*Inicio!$W$7</f>
        <v/>
      </c>
      <c r="DW58" s="4">
        <f>SUM(AQ58:AZ58)*Inicio!$W$8</f>
        <v/>
      </c>
      <c r="DX58" s="4">
        <f>SUM(BA58:BJ58)*Inicio!$W$9</f>
        <v/>
      </c>
      <c r="DY58" s="4">
        <f>SUM(BK58:BT58)*Inicio!$W$10</f>
        <v/>
      </c>
      <c r="DZ58" s="4">
        <f>SUM(BU58:CD58)*Inicio!$W$11</f>
        <v/>
      </c>
      <c r="EA58" s="4">
        <f>SUM(CE58:CN58)*Inicio!$W$12</f>
        <v/>
      </c>
      <c r="EB58" s="4">
        <f>SUM(CO58:CX58)*Inicio!$W$13</f>
        <v/>
      </c>
      <c r="EC58" s="4">
        <f>SUM(CY58:DH58)*Inicio!$W$11</f>
        <v/>
      </c>
      <c r="ED58" s="4">
        <f>SUM(DI58:DR58)*Inicio!$W$12</f>
        <v/>
      </c>
      <c r="EE58" s="4">
        <f>SUM(C58:DR58)</f>
        <v/>
      </c>
      <c r="EF58" s="4">
        <f>SUM(EE55:EE58)</f>
        <v/>
      </c>
      <c r="EG58" s="4">
        <f>SUM(DS58:ED58)</f>
        <v/>
      </c>
      <c r="EH58" s="4">
        <f>SUM(EG55:EG58)</f>
        <v/>
      </c>
    </row>
    <row r="59" ht="20.25" customHeight="1">
      <c r="B59" s="28" t="inlineStr">
        <is>
          <t>12:30 - 12:45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4">
        <f>SUM(C59:L59)*Inicio!$W$4</f>
        <v/>
      </c>
      <c r="DT59" s="4">
        <f>SUM(M59:V59)*Inicio!$W$5</f>
        <v/>
      </c>
      <c r="DU59" s="4">
        <f>SUM(W59:AF59)*Inicio!$W$6</f>
        <v/>
      </c>
      <c r="DV59" s="4">
        <f>SUM(AG59:AP59)*Inicio!$W$7</f>
        <v/>
      </c>
      <c r="DW59" s="4">
        <f>SUM(AQ59:AZ59)*Inicio!$W$8</f>
        <v/>
      </c>
      <c r="DX59" s="4">
        <f>SUM(BA59:BJ59)*Inicio!$W$9</f>
        <v/>
      </c>
      <c r="DY59" s="4">
        <f>SUM(BK59:BT59)*Inicio!$W$10</f>
        <v/>
      </c>
      <c r="DZ59" s="4">
        <f>SUM(BU59:CD59)*Inicio!$W$11</f>
        <v/>
      </c>
      <c r="EA59" s="4">
        <f>SUM(CE59:CN59)*Inicio!$W$12</f>
        <v/>
      </c>
      <c r="EB59" s="4">
        <f>SUM(CO59:CX59)*Inicio!$W$13</f>
        <v/>
      </c>
      <c r="EC59" s="4">
        <f>SUM(CY59:DH59)*Inicio!$W$11</f>
        <v/>
      </c>
      <c r="ED59" s="4">
        <f>SUM(DI59:DR59)*Inicio!$W$12</f>
        <v/>
      </c>
      <c r="EE59" s="4">
        <f>SUM(C59:DR59)</f>
        <v/>
      </c>
      <c r="EF59" s="4">
        <f>SUM(EE56:EE59)</f>
        <v/>
      </c>
      <c r="EG59" s="4">
        <f>SUM(DS59:ED59)</f>
        <v/>
      </c>
      <c r="EH59" s="4">
        <f>SUM(EG56:EG59)</f>
        <v/>
      </c>
    </row>
    <row r="60" ht="20.25" customHeight="1">
      <c r="B60" s="26" t="inlineStr">
        <is>
          <t>12:45 - 13:00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5">
        <f>SUM(C60:L60)*Inicio!$W$4</f>
        <v/>
      </c>
      <c r="DT60" s="5">
        <f>SUM(M60:V60)*Inicio!$W$5</f>
        <v/>
      </c>
      <c r="DU60" s="5">
        <f>SUM(W60:AF60)*Inicio!$W$6</f>
        <v/>
      </c>
      <c r="DV60" s="5">
        <f>SUM(AG60:AP60)*Inicio!$W$7</f>
        <v/>
      </c>
      <c r="DW60" s="5">
        <f>SUM(AQ60:AZ60)*Inicio!$W$8</f>
        <v/>
      </c>
      <c r="DX60" s="5">
        <f>SUM(BA60:BJ60)*Inicio!$W$9</f>
        <v/>
      </c>
      <c r="DY60" s="5">
        <f>SUM(BK60:BT60)*Inicio!$W$10</f>
        <v/>
      </c>
      <c r="DZ60" s="5">
        <f>SUM(BU60:CD60)*Inicio!$W$11</f>
        <v/>
      </c>
      <c r="EA60" s="5">
        <f>SUM(CE60:CN60)*Inicio!$W$12</f>
        <v/>
      </c>
      <c r="EB60" s="5">
        <f>SUM(CO60:CX60)*Inicio!$W$13</f>
        <v/>
      </c>
      <c r="EC60" s="5">
        <f>SUM(CY60:DH60)*Inicio!$W$11</f>
        <v/>
      </c>
      <c r="ED60" s="5">
        <f>SUM(DI60:DR60)*Inicio!$W$12</f>
        <v/>
      </c>
      <c r="EE60" s="5">
        <f>SUM(C60:DR60)</f>
        <v/>
      </c>
      <c r="EF60" s="5">
        <f>SUM(EE57:EE60)</f>
        <v/>
      </c>
      <c r="EG60" s="5">
        <f>SUM(DS60:ED60)</f>
        <v/>
      </c>
      <c r="EH60" s="5">
        <f>SUM(EG57:EG60)</f>
        <v/>
      </c>
    </row>
    <row r="61" ht="20.25" customHeight="1">
      <c r="B61" s="27" t="inlineStr">
        <is>
          <t>13:00 - 13:15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0" t="n"/>
      <c r="CO61" s="20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0" t="n"/>
      <c r="DA61" s="20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0" t="n"/>
      <c r="DK61" s="20" t="n"/>
      <c r="DL61" s="20" t="n"/>
      <c r="DM61" s="20" t="n"/>
      <c r="DN61" s="20" t="n"/>
      <c r="DO61" s="20" t="n"/>
      <c r="DP61" s="20" t="n"/>
      <c r="DQ61" s="20" t="n"/>
      <c r="DR61" s="20" t="n"/>
      <c r="DS61" s="3">
        <f>SUM(C61:L61)*Inicio!$W$4</f>
        <v/>
      </c>
      <c r="DT61" s="3">
        <f>SUM(M61:V61)*Inicio!$W$5</f>
        <v/>
      </c>
      <c r="DU61" s="3">
        <f>SUM(W61:AF61)*Inicio!$W$6</f>
        <v/>
      </c>
      <c r="DV61" s="3">
        <f>SUM(AG61:AP61)*Inicio!$W$7</f>
        <v/>
      </c>
      <c r="DW61" s="3">
        <f>SUM(AQ61:AZ61)*Inicio!$W$8</f>
        <v/>
      </c>
      <c r="DX61" s="3">
        <f>SUM(BA61:BJ61)*Inicio!$W$9</f>
        <v/>
      </c>
      <c r="DY61" s="3">
        <f>SUM(BK61:BT61)*Inicio!$W$10</f>
        <v/>
      </c>
      <c r="DZ61" s="3">
        <f>SUM(BU61:CD61)*Inicio!$W$11</f>
        <v/>
      </c>
      <c r="EA61" s="3">
        <f>SUM(CE61:CN61)*Inicio!$W$12</f>
        <v/>
      </c>
      <c r="EB61" s="3">
        <f>SUM(CO61:CX61)*Inicio!$W$13</f>
        <v/>
      </c>
      <c r="EC61" s="3">
        <f>SUM(CY61:DH61)*Inicio!$W$11</f>
        <v/>
      </c>
      <c r="ED61" s="3">
        <f>SUM(DI61:DR61)*Inicio!$W$12</f>
        <v/>
      </c>
      <c r="EE61" s="3">
        <f>SUM(C61:DR61)</f>
        <v/>
      </c>
      <c r="EF61" s="3">
        <f>SUM(EE58:EE61)</f>
        <v/>
      </c>
      <c r="EG61" s="3">
        <f>SUM(DS61:ED61)</f>
        <v/>
      </c>
      <c r="EH61" s="3">
        <f>SUM(EG58:EG61)</f>
        <v/>
      </c>
    </row>
    <row r="62" ht="20.25" customHeight="1">
      <c r="B62" s="28" t="inlineStr">
        <is>
          <t>13:15 - 13:30</t>
        </is>
      </c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4">
        <f>SUM(C62:L62)*Inicio!$W$4</f>
        <v/>
      </c>
      <c r="DT62" s="4">
        <f>SUM(M62:V62)*Inicio!$W$5</f>
        <v/>
      </c>
      <c r="DU62" s="4">
        <f>SUM(W62:AF62)*Inicio!$W$6</f>
        <v/>
      </c>
      <c r="DV62" s="4">
        <f>SUM(AG62:AP62)*Inicio!$W$7</f>
        <v/>
      </c>
      <c r="DW62" s="4">
        <f>SUM(AQ62:AZ62)*Inicio!$W$8</f>
        <v/>
      </c>
      <c r="DX62" s="4">
        <f>SUM(BA62:BJ62)*Inicio!$W$9</f>
        <v/>
      </c>
      <c r="DY62" s="4">
        <f>SUM(BK62:BT62)*Inicio!$W$10</f>
        <v/>
      </c>
      <c r="DZ62" s="4">
        <f>SUM(BU62:CD62)*Inicio!$W$11</f>
        <v/>
      </c>
      <c r="EA62" s="4">
        <f>SUM(CE62:CN62)*Inicio!$W$12</f>
        <v/>
      </c>
      <c r="EB62" s="4">
        <f>SUM(CO62:CX62)*Inicio!$W$13</f>
        <v/>
      </c>
      <c r="EC62" s="4">
        <f>SUM(CY62:DH62)*Inicio!$W$11</f>
        <v/>
      </c>
      <c r="ED62" s="4">
        <f>SUM(DI62:DR62)*Inicio!$W$12</f>
        <v/>
      </c>
      <c r="EE62" s="4">
        <f>SUM(C62:DR62)</f>
        <v/>
      </c>
      <c r="EF62" s="4">
        <f>SUM(EE59:EE62)</f>
        <v/>
      </c>
      <c r="EG62" s="4">
        <f>SUM(DS62:ED62)</f>
        <v/>
      </c>
      <c r="EH62" s="4">
        <f>SUM(EG59:EG62)</f>
        <v/>
      </c>
    </row>
    <row r="63" ht="20.25" customHeight="1">
      <c r="B63" s="28" t="inlineStr">
        <is>
          <t>13:30 - 13:45</t>
        </is>
      </c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4">
        <f>SUM(C63:L63)*Inicio!$W$4</f>
        <v/>
      </c>
      <c r="DT63" s="4">
        <f>SUM(M63:V63)*Inicio!$W$5</f>
        <v/>
      </c>
      <c r="DU63" s="4">
        <f>SUM(W63:AF63)*Inicio!$W$6</f>
        <v/>
      </c>
      <c r="DV63" s="4">
        <f>SUM(AG63:AP63)*Inicio!$W$7</f>
        <v/>
      </c>
      <c r="DW63" s="4">
        <f>SUM(AQ63:AZ63)*Inicio!$W$8</f>
        <v/>
      </c>
      <c r="DX63" s="4">
        <f>SUM(BA63:BJ63)*Inicio!$W$9</f>
        <v/>
      </c>
      <c r="DY63" s="4">
        <f>SUM(BK63:BT63)*Inicio!$W$10</f>
        <v/>
      </c>
      <c r="DZ63" s="4">
        <f>SUM(BU63:CD63)*Inicio!$W$11</f>
        <v/>
      </c>
      <c r="EA63" s="4">
        <f>SUM(CE63:CN63)*Inicio!$W$12</f>
        <v/>
      </c>
      <c r="EB63" s="4">
        <f>SUM(CO63:CX63)*Inicio!$W$13</f>
        <v/>
      </c>
      <c r="EC63" s="4">
        <f>SUM(CY63:DH63)*Inicio!$W$11</f>
        <v/>
      </c>
      <c r="ED63" s="4">
        <f>SUM(DI63:DR63)*Inicio!$W$12</f>
        <v/>
      </c>
      <c r="EE63" s="4">
        <f>SUM(C63:DR63)</f>
        <v/>
      </c>
      <c r="EF63" s="4">
        <f>SUM(EE60:EE63)</f>
        <v/>
      </c>
      <c r="EG63" s="4">
        <f>SUM(DS63:ED63)</f>
        <v/>
      </c>
      <c r="EH63" s="4">
        <f>SUM(EG60:EG63)</f>
        <v/>
      </c>
    </row>
    <row r="64" ht="20.25" customHeight="1">
      <c r="B64" s="26" t="inlineStr">
        <is>
          <t>13:45 - 14:00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5">
        <f>SUM(C64:L64)*Inicio!$W$4</f>
        <v/>
      </c>
      <c r="DT64" s="5">
        <f>SUM(M64:V64)*Inicio!$W$5</f>
        <v/>
      </c>
      <c r="DU64" s="5">
        <f>SUM(W64:AF64)*Inicio!$W$6</f>
        <v/>
      </c>
      <c r="DV64" s="5">
        <f>SUM(AG64:AP64)*Inicio!$W$7</f>
        <v/>
      </c>
      <c r="DW64" s="5">
        <f>SUM(AQ64:AZ64)*Inicio!$W$8</f>
        <v/>
      </c>
      <c r="DX64" s="5">
        <f>SUM(BA64:BJ64)*Inicio!$W$9</f>
        <v/>
      </c>
      <c r="DY64" s="5">
        <f>SUM(BK64:BT64)*Inicio!$W$10</f>
        <v/>
      </c>
      <c r="DZ64" s="5">
        <f>SUM(BU64:CD64)*Inicio!$W$11</f>
        <v/>
      </c>
      <c r="EA64" s="5">
        <f>SUM(CE64:CN64)*Inicio!$W$12</f>
        <v/>
      </c>
      <c r="EB64" s="5">
        <f>SUM(CO64:CX64)*Inicio!$W$13</f>
        <v/>
      </c>
      <c r="EC64" s="5">
        <f>SUM(CY64:DH64)*Inicio!$W$11</f>
        <v/>
      </c>
      <c r="ED64" s="5">
        <f>SUM(DI64:DR64)*Inicio!$W$12</f>
        <v/>
      </c>
      <c r="EE64" s="5">
        <f>SUM(C64:DR64)</f>
        <v/>
      </c>
      <c r="EF64" s="5">
        <f>SUM(EE61:EE64)</f>
        <v/>
      </c>
      <c r="EG64" s="5">
        <f>SUM(DS64:ED64)</f>
        <v/>
      </c>
      <c r="EH64" s="5">
        <f>SUM(EG61:EG64)</f>
        <v/>
      </c>
    </row>
    <row r="65" ht="20.25" customHeight="1">
      <c r="B65" s="27" t="inlineStr">
        <is>
          <t>14:00 - 14:15</t>
        </is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/>
      <c r="CF65" s="20" t="n"/>
      <c r="CG65" s="20" t="n"/>
      <c r="CH65" s="20" t="n"/>
      <c r="CI65" s="20" t="n"/>
      <c r="CJ65" s="20" t="n"/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0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3">
        <f>SUM(C65:L65)*Inicio!$W$4</f>
        <v/>
      </c>
      <c r="DT65" s="3">
        <f>SUM(M65:V65)*Inicio!$W$5</f>
        <v/>
      </c>
      <c r="DU65" s="3">
        <f>SUM(W65:AF65)*Inicio!$W$6</f>
        <v/>
      </c>
      <c r="DV65" s="3">
        <f>SUM(AG65:AP65)*Inicio!$W$7</f>
        <v/>
      </c>
      <c r="DW65" s="3">
        <f>SUM(AQ65:AZ65)*Inicio!$W$8</f>
        <v/>
      </c>
      <c r="DX65" s="3">
        <f>SUM(BA65:BJ65)*Inicio!$W$9</f>
        <v/>
      </c>
      <c r="DY65" s="3">
        <f>SUM(BK65:BT65)*Inicio!$W$10</f>
        <v/>
      </c>
      <c r="DZ65" s="3">
        <f>SUM(BU65:CD65)*Inicio!$W$11</f>
        <v/>
      </c>
      <c r="EA65" s="3">
        <f>SUM(CE65:CN65)*Inicio!$W$12</f>
        <v/>
      </c>
      <c r="EB65" s="3">
        <f>SUM(CO65:CX65)*Inicio!$W$13</f>
        <v/>
      </c>
      <c r="EC65" s="3">
        <f>SUM(CY65:DH65)*Inicio!$W$11</f>
        <v/>
      </c>
      <c r="ED65" s="3">
        <f>SUM(DI65:DR65)*Inicio!$W$12</f>
        <v/>
      </c>
      <c r="EE65" s="3">
        <f>SUM(C65:DR65)</f>
        <v/>
      </c>
      <c r="EF65" s="3">
        <f>SUM(EE62:EE65)</f>
        <v/>
      </c>
      <c r="EG65" s="3">
        <f>SUM(DS65:ED65)</f>
        <v/>
      </c>
      <c r="EH65" s="3">
        <f>SUM(EG62:EG65)</f>
        <v/>
      </c>
    </row>
    <row r="66" ht="20.25" customHeight="1">
      <c r="B66" s="28" t="inlineStr">
        <is>
          <t>14:15 - 14:30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4">
        <f>SUM(C66:L66)*Inicio!$W$4</f>
        <v/>
      </c>
      <c r="DT66" s="4">
        <f>SUM(M66:V66)*Inicio!$W$5</f>
        <v/>
      </c>
      <c r="DU66" s="4">
        <f>SUM(W66:AF66)*Inicio!$W$6</f>
        <v/>
      </c>
      <c r="DV66" s="4">
        <f>SUM(AG66:AP66)*Inicio!$W$7</f>
        <v/>
      </c>
      <c r="DW66" s="4">
        <f>SUM(AQ66:AZ66)*Inicio!$W$8</f>
        <v/>
      </c>
      <c r="DX66" s="4">
        <f>SUM(BA66:BJ66)*Inicio!$W$9</f>
        <v/>
      </c>
      <c r="DY66" s="4">
        <f>SUM(BK66:BT66)*Inicio!$W$10</f>
        <v/>
      </c>
      <c r="DZ66" s="4">
        <f>SUM(BU66:CD66)*Inicio!$W$11</f>
        <v/>
      </c>
      <c r="EA66" s="4">
        <f>SUM(CE66:CN66)*Inicio!$W$12</f>
        <v/>
      </c>
      <c r="EB66" s="4">
        <f>SUM(CO66:CX66)*Inicio!$W$13</f>
        <v/>
      </c>
      <c r="EC66" s="4">
        <f>SUM(CY66:DH66)*Inicio!$W$11</f>
        <v/>
      </c>
      <c r="ED66" s="4">
        <f>SUM(DI66:DR66)*Inicio!$W$12</f>
        <v/>
      </c>
      <c r="EE66" s="4">
        <f>SUM(C66:DR66)</f>
        <v/>
      </c>
      <c r="EF66" s="4">
        <f>SUM(EE63:EE66)</f>
        <v/>
      </c>
      <c r="EG66" s="4">
        <f>SUM(DS66:ED66)</f>
        <v/>
      </c>
      <c r="EH66" s="4">
        <f>SUM(EG63:EG66)</f>
        <v/>
      </c>
    </row>
    <row r="67" ht="20.25" customHeight="1">
      <c r="B67" s="28" t="inlineStr">
        <is>
          <t>14:30 - 14:45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4">
        <f>SUM(C67:L67)*Inicio!$W$4</f>
        <v/>
      </c>
      <c r="DT67" s="4">
        <f>SUM(M67:V67)*Inicio!$W$5</f>
        <v/>
      </c>
      <c r="DU67" s="4">
        <f>SUM(W67:AF67)*Inicio!$W$6</f>
        <v/>
      </c>
      <c r="DV67" s="4">
        <f>SUM(AG67:AP67)*Inicio!$W$7</f>
        <v/>
      </c>
      <c r="DW67" s="4">
        <f>SUM(AQ67:AZ67)*Inicio!$W$8</f>
        <v/>
      </c>
      <c r="DX67" s="4">
        <f>SUM(BA67:BJ67)*Inicio!$W$9</f>
        <v/>
      </c>
      <c r="DY67" s="4">
        <f>SUM(BK67:BT67)*Inicio!$W$10</f>
        <v/>
      </c>
      <c r="DZ67" s="4">
        <f>SUM(BU67:CD67)*Inicio!$W$11</f>
        <v/>
      </c>
      <c r="EA67" s="4">
        <f>SUM(CE67:CN67)*Inicio!$W$12</f>
        <v/>
      </c>
      <c r="EB67" s="4">
        <f>SUM(CO67:CX67)*Inicio!$W$13</f>
        <v/>
      </c>
      <c r="EC67" s="4">
        <f>SUM(CY67:DH67)*Inicio!$W$11</f>
        <v/>
      </c>
      <c r="ED67" s="4">
        <f>SUM(DI67:DR67)*Inicio!$W$12</f>
        <v/>
      </c>
      <c r="EE67" s="4">
        <f>SUM(C67:DR67)</f>
        <v/>
      </c>
      <c r="EF67" s="4">
        <f>SUM(EE64:EE67)</f>
        <v/>
      </c>
      <c r="EG67" s="4">
        <f>SUM(DS67:ED67)</f>
        <v/>
      </c>
      <c r="EH67" s="4">
        <f>SUM(EG64:EG67)</f>
        <v/>
      </c>
    </row>
    <row r="68" ht="20.25" customHeight="1">
      <c r="B68" s="26" t="inlineStr">
        <is>
          <t>14:45 - 15:00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5">
        <f>SUM(C68:L68)*Inicio!$W$4</f>
        <v/>
      </c>
      <c r="DT68" s="5">
        <f>SUM(M68:V68)*Inicio!$W$5</f>
        <v/>
      </c>
      <c r="DU68" s="5">
        <f>SUM(W68:AF68)*Inicio!$W$6</f>
        <v/>
      </c>
      <c r="DV68" s="5">
        <f>SUM(AG68:AP68)*Inicio!$W$7</f>
        <v/>
      </c>
      <c r="DW68" s="5">
        <f>SUM(AQ68:AZ68)*Inicio!$W$8</f>
        <v/>
      </c>
      <c r="DX68" s="5">
        <f>SUM(BA68:BJ68)*Inicio!$W$9</f>
        <v/>
      </c>
      <c r="DY68" s="5">
        <f>SUM(BK68:BT68)*Inicio!$W$10</f>
        <v/>
      </c>
      <c r="DZ68" s="5">
        <f>SUM(BU68:CD68)*Inicio!$W$11</f>
        <v/>
      </c>
      <c r="EA68" s="5">
        <f>SUM(CE68:CN68)*Inicio!$W$12</f>
        <v/>
      </c>
      <c r="EB68" s="5">
        <f>SUM(CO68:CX68)*Inicio!$W$13</f>
        <v/>
      </c>
      <c r="EC68" s="5">
        <f>SUM(CY68:DH68)*Inicio!$W$11</f>
        <v/>
      </c>
      <c r="ED68" s="5">
        <f>SUM(DI68:DR68)*Inicio!$W$12</f>
        <v/>
      </c>
      <c r="EE68" s="5">
        <f>SUM(C68:DR68)</f>
        <v/>
      </c>
      <c r="EF68" s="5">
        <f>SUM(EE65:EE68)</f>
        <v/>
      </c>
      <c r="EG68" s="5">
        <f>SUM(DS68:ED68)</f>
        <v/>
      </c>
      <c r="EH68" s="5">
        <f>SUM(EG65:EG68)</f>
        <v/>
      </c>
    </row>
    <row r="69" ht="20.25" customHeight="1">
      <c r="B69" s="27" t="inlineStr">
        <is>
          <t>15:00 - 15:15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  <c r="CD69" s="20" t="n"/>
      <c r="CE69" s="20" t="n"/>
      <c r="CF69" s="20" t="n"/>
      <c r="CG69" s="20" t="n"/>
      <c r="CH69" s="20" t="n"/>
      <c r="CI69" s="20" t="n"/>
      <c r="CJ69" s="20" t="n"/>
      <c r="CK69" s="20" t="n"/>
      <c r="CL69" s="20" t="n"/>
      <c r="CM69" s="20" t="n"/>
      <c r="CN69" s="20" t="n"/>
      <c r="CO69" s="20" t="n"/>
      <c r="CP69" s="20" t="n"/>
      <c r="CQ69" s="20" t="n"/>
      <c r="CR69" s="20" t="n"/>
      <c r="CS69" s="20" t="n"/>
      <c r="CT69" s="20" t="n"/>
      <c r="CU69" s="20" t="n"/>
      <c r="CV69" s="20" t="n"/>
      <c r="CW69" s="20" t="n"/>
      <c r="CX69" s="20" t="n"/>
      <c r="CY69" s="20" t="n"/>
      <c r="CZ69" s="20" t="n"/>
      <c r="DA69" s="20" t="n"/>
      <c r="DB69" s="20" t="n"/>
      <c r="DC69" s="20" t="n"/>
      <c r="DD69" s="20" t="n"/>
      <c r="DE69" s="20" t="n"/>
      <c r="DF69" s="20" t="n"/>
      <c r="DG69" s="20" t="n"/>
      <c r="DH69" s="20" t="n"/>
      <c r="DI69" s="20" t="n"/>
      <c r="DJ69" s="20" t="n"/>
      <c r="DK69" s="20" t="n"/>
      <c r="DL69" s="20" t="n"/>
      <c r="DM69" s="20" t="n"/>
      <c r="DN69" s="20" t="n"/>
      <c r="DO69" s="20" t="n"/>
      <c r="DP69" s="20" t="n"/>
      <c r="DQ69" s="20" t="n"/>
      <c r="DR69" s="20" t="n"/>
      <c r="DS69" s="3">
        <f>SUM(C69:L69)*Inicio!$W$4</f>
        <v/>
      </c>
      <c r="DT69" s="3">
        <f>SUM(M69:V69)*Inicio!$W$5</f>
        <v/>
      </c>
      <c r="DU69" s="3">
        <f>SUM(W69:AF69)*Inicio!$W$6</f>
        <v/>
      </c>
      <c r="DV69" s="3">
        <f>SUM(AG69:AP69)*Inicio!$W$7</f>
        <v/>
      </c>
      <c r="DW69" s="3">
        <f>SUM(AQ69:AZ69)*Inicio!$W$8</f>
        <v/>
      </c>
      <c r="DX69" s="3">
        <f>SUM(BA69:BJ69)*Inicio!$W$9</f>
        <v/>
      </c>
      <c r="DY69" s="3">
        <f>SUM(BK69:BT69)*Inicio!$W$10</f>
        <v/>
      </c>
      <c r="DZ69" s="3">
        <f>SUM(BU69:CD69)*Inicio!$W$11</f>
        <v/>
      </c>
      <c r="EA69" s="3">
        <f>SUM(CE69:CN69)*Inicio!$W$12</f>
        <v/>
      </c>
      <c r="EB69" s="3">
        <f>SUM(CO69:CX69)*Inicio!$W$13</f>
        <v/>
      </c>
      <c r="EC69" s="3">
        <f>SUM(CY69:DH69)*Inicio!$W$11</f>
        <v/>
      </c>
      <c r="ED69" s="3">
        <f>SUM(DI69:DR69)*Inicio!$W$12</f>
        <v/>
      </c>
      <c r="EE69" s="3">
        <f>SUM(C69:DR69)</f>
        <v/>
      </c>
      <c r="EF69" s="3">
        <f>SUM(EE66:EE69)</f>
        <v/>
      </c>
      <c r="EG69" s="3">
        <f>SUM(DS69:ED69)</f>
        <v/>
      </c>
      <c r="EH69" s="3">
        <f>SUM(EG66:EG69)</f>
        <v/>
      </c>
    </row>
    <row r="70" ht="20.25" customHeight="1">
      <c r="B70" s="28" t="inlineStr">
        <is>
          <t>15:15 - 15:30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4">
        <f>SUM(C70:L70)*Inicio!$W$4</f>
        <v/>
      </c>
      <c r="DT70" s="4">
        <f>SUM(M70:V70)*Inicio!$W$5</f>
        <v/>
      </c>
      <c r="DU70" s="4">
        <f>SUM(W70:AF70)*Inicio!$W$6</f>
        <v/>
      </c>
      <c r="DV70" s="4">
        <f>SUM(AG70:AP70)*Inicio!$W$7</f>
        <v/>
      </c>
      <c r="DW70" s="4">
        <f>SUM(AQ70:AZ70)*Inicio!$W$8</f>
        <v/>
      </c>
      <c r="DX70" s="4">
        <f>SUM(BA70:BJ70)*Inicio!$W$9</f>
        <v/>
      </c>
      <c r="DY70" s="4">
        <f>SUM(BK70:BT70)*Inicio!$W$10</f>
        <v/>
      </c>
      <c r="DZ70" s="4">
        <f>SUM(BU70:CD70)*Inicio!$W$11</f>
        <v/>
      </c>
      <c r="EA70" s="4">
        <f>SUM(CE70:CN70)*Inicio!$W$12</f>
        <v/>
      </c>
      <c r="EB70" s="4">
        <f>SUM(CO70:CX70)*Inicio!$W$13</f>
        <v/>
      </c>
      <c r="EC70" s="4">
        <f>SUM(CY70:DH70)*Inicio!$W$11</f>
        <v/>
      </c>
      <c r="ED70" s="4">
        <f>SUM(DI70:DR70)*Inicio!$W$12</f>
        <v/>
      </c>
      <c r="EE70" s="4">
        <f>SUM(C70:DR70)</f>
        <v/>
      </c>
      <c r="EF70" s="4">
        <f>SUM(EE67:EE70)</f>
        <v/>
      </c>
      <c r="EG70" s="4">
        <f>SUM(DS70:ED70)</f>
        <v/>
      </c>
      <c r="EH70" s="4">
        <f>SUM(EG67:EG70)</f>
        <v/>
      </c>
    </row>
    <row r="71" ht="20.25" customHeight="1">
      <c r="B71" s="28" t="inlineStr">
        <is>
          <t>15:30 - 15:45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4">
        <f>SUM(C71:L71)*Inicio!$W$4</f>
        <v/>
      </c>
      <c r="DT71" s="4">
        <f>SUM(M71:V71)*Inicio!$W$5</f>
        <v/>
      </c>
      <c r="DU71" s="4">
        <f>SUM(W71:AF71)*Inicio!$W$6</f>
        <v/>
      </c>
      <c r="DV71" s="4">
        <f>SUM(AG71:AP71)*Inicio!$W$7</f>
        <v/>
      </c>
      <c r="DW71" s="4">
        <f>SUM(AQ71:AZ71)*Inicio!$W$8</f>
        <v/>
      </c>
      <c r="DX71" s="4">
        <f>SUM(BA71:BJ71)*Inicio!$W$9</f>
        <v/>
      </c>
      <c r="DY71" s="4">
        <f>SUM(BK71:BT71)*Inicio!$W$10</f>
        <v/>
      </c>
      <c r="DZ71" s="4">
        <f>SUM(BU71:CD71)*Inicio!$W$11</f>
        <v/>
      </c>
      <c r="EA71" s="4">
        <f>SUM(CE71:CN71)*Inicio!$W$12</f>
        <v/>
      </c>
      <c r="EB71" s="4">
        <f>SUM(CO71:CX71)*Inicio!$W$13</f>
        <v/>
      </c>
      <c r="EC71" s="4">
        <f>SUM(CY71:DH71)*Inicio!$W$11</f>
        <v/>
      </c>
      <c r="ED71" s="4">
        <f>SUM(DI71:DR71)*Inicio!$W$12</f>
        <v/>
      </c>
      <c r="EE71" s="4">
        <f>SUM(C71:DR71)</f>
        <v/>
      </c>
      <c r="EF71" s="4">
        <f>SUM(EE68:EE71)</f>
        <v/>
      </c>
      <c r="EG71" s="4">
        <f>SUM(DS71:ED71)</f>
        <v/>
      </c>
      <c r="EH71" s="4">
        <f>SUM(EG68:EG71)</f>
        <v/>
      </c>
    </row>
    <row r="72" ht="20.25" customHeight="1">
      <c r="B72" s="26" t="inlineStr">
        <is>
          <t>15:45 - 16:00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5">
        <f>SUM(C72:L72)*Inicio!$W$4</f>
        <v/>
      </c>
      <c r="DT72" s="5">
        <f>SUM(M72:V72)*Inicio!$W$5</f>
        <v/>
      </c>
      <c r="DU72" s="5">
        <f>SUM(W72:AF72)*Inicio!$W$6</f>
        <v/>
      </c>
      <c r="DV72" s="5">
        <f>SUM(AG72:AP72)*Inicio!$W$7</f>
        <v/>
      </c>
      <c r="DW72" s="5">
        <f>SUM(AQ72:AZ72)*Inicio!$W$8</f>
        <v/>
      </c>
      <c r="DX72" s="5">
        <f>SUM(BA72:BJ72)*Inicio!$W$9</f>
        <v/>
      </c>
      <c r="DY72" s="5">
        <f>SUM(BK72:BT72)*Inicio!$W$10</f>
        <v/>
      </c>
      <c r="DZ72" s="5">
        <f>SUM(BU72:CD72)*Inicio!$W$11</f>
        <v/>
      </c>
      <c r="EA72" s="5">
        <f>SUM(CE72:CN72)*Inicio!$W$12</f>
        <v/>
      </c>
      <c r="EB72" s="5">
        <f>SUM(CO72:CX72)*Inicio!$W$13</f>
        <v/>
      </c>
      <c r="EC72" s="5">
        <f>SUM(CY72:DH72)*Inicio!$W$11</f>
        <v/>
      </c>
      <c r="ED72" s="5">
        <f>SUM(DI72:DR72)*Inicio!$W$12</f>
        <v/>
      </c>
      <c r="EE72" s="5">
        <f>SUM(C72:DR72)</f>
        <v/>
      </c>
      <c r="EF72" s="5">
        <f>SUM(EE69:EE72)</f>
        <v/>
      </c>
      <c r="EG72" s="5">
        <f>SUM(DS72:ED72)</f>
        <v/>
      </c>
      <c r="EH72" s="5">
        <f>SUM(EG69:EG72)</f>
        <v/>
      </c>
    </row>
    <row r="73" ht="20.25" customHeight="1">
      <c r="B73" s="27" t="inlineStr">
        <is>
          <t>16:00 - 16:15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n"/>
      <c r="CF73" s="20" t="n"/>
      <c r="CG73" s="20" t="n"/>
      <c r="CH73" s="20" t="n"/>
      <c r="CI73" s="20" t="n"/>
      <c r="CJ73" s="20" t="n"/>
      <c r="CK73" s="20" t="n"/>
      <c r="CL73" s="20" t="n"/>
      <c r="CM73" s="20" t="n"/>
      <c r="CN73" s="20" t="n"/>
      <c r="CO73" s="20" t="n"/>
      <c r="CP73" s="20" t="n"/>
      <c r="CQ73" s="20" t="n"/>
      <c r="CR73" s="20" t="n"/>
      <c r="CS73" s="20" t="n"/>
      <c r="CT73" s="20" t="n"/>
      <c r="CU73" s="20" t="n"/>
      <c r="CV73" s="20" t="n"/>
      <c r="CW73" s="20" t="n"/>
      <c r="CX73" s="20" t="n"/>
      <c r="CY73" s="20" t="n"/>
      <c r="CZ73" s="20" t="n"/>
      <c r="DA73" s="20" t="n"/>
      <c r="DB73" s="20" t="n"/>
      <c r="DC73" s="20" t="n"/>
      <c r="DD73" s="20" t="n"/>
      <c r="DE73" s="20" t="n"/>
      <c r="DF73" s="20" t="n"/>
      <c r="DG73" s="20" t="n"/>
      <c r="DH73" s="20" t="n"/>
      <c r="DI73" s="20" t="n"/>
      <c r="DJ73" s="20" t="n"/>
      <c r="DK73" s="20" t="n"/>
      <c r="DL73" s="20" t="n"/>
      <c r="DM73" s="20" t="n"/>
      <c r="DN73" s="20" t="n"/>
      <c r="DO73" s="20" t="n"/>
      <c r="DP73" s="20" t="n"/>
      <c r="DQ73" s="20" t="n"/>
      <c r="DR73" s="20" t="n"/>
      <c r="DS73" s="3">
        <f>SUM(C73:L73)*Inicio!$W$4</f>
        <v/>
      </c>
      <c r="DT73" s="3">
        <f>SUM(M73:V73)*Inicio!$W$5</f>
        <v/>
      </c>
      <c r="DU73" s="3">
        <f>SUM(W73:AF73)*Inicio!$W$6</f>
        <v/>
      </c>
      <c r="DV73" s="3">
        <f>SUM(AG73:AP73)*Inicio!$W$7</f>
        <v/>
      </c>
      <c r="DW73" s="3">
        <f>SUM(AQ73:AZ73)*Inicio!$W$8</f>
        <v/>
      </c>
      <c r="DX73" s="3">
        <f>SUM(BA73:BJ73)*Inicio!$W$9</f>
        <v/>
      </c>
      <c r="DY73" s="3">
        <f>SUM(BK73:BT73)*Inicio!$W$10</f>
        <v/>
      </c>
      <c r="DZ73" s="3">
        <f>SUM(BU73:CD73)*Inicio!$W$11</f>
        <v/>
      </c>
      <c r="EA73" s="3">
        <f>SUM(CE73:CN73)*Inicio!$W$12</f>
        <v/>
      </c>
      <c r="EB73" s="3">
        <f>SUM(CO73:CX73)*Inicio!$W$13</f>
        <v/>
      </c>
      <c r="EC73" s="3">
        <f>SUM(CY73:DH73)*Inicio!$W$11</f>
        <v/>
      </c>
      <c r="ED73" s="3">
        <f>SUM(DI73:DR73)*Inicio!$W$12</f>
        <v/>
      </c>
      <c r="EE73" s="3">
        <f>SUM(C73:DR73)</f>
        <v/>
      </c>
      <c r="EF73" s="3">
        <f>SUM(EE70:EE73)</f>
        <v/>
      </c>
      <c r="EG73" s="3">
        <f>SUM(DS73:ED73)</f>
        <v/>
      </c>
      <c r="EH73" s="3">
        <f>SUM(EG70:EG73)</f>
        <v/>
      </c>
    </row>
    <row r="74" ht="20.25" customHeight="1">
      <c r="B74" s="28" t="inlineStr">
        <is>
          <t>16:15 - 16:30</t>
        </is>
      </c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4">
        <f>SUM(C74:L74)*Inicio!$W$4</f>
        <v/>
      </c>
      <c r="DT74" s="4">
        <f>SUM(M74:V74)*Inicio!$W$5</f>
        <v/>
      </c>
      <c r="DU74" s="4">
        <f>SUM(W74:AF74)*Inicio!$W$6</f>
        <v/>
      </c>
      <c r="DV74" s="4">
        <f>SUM(AG74:AP74)*Inicio!$W$7</f>
        <v/>
      </c>
      <c r="DW74" s="4">
        <f>SUM(AQ74:AZ74)*Inicio!$W$8</f>
        <v/>
      </c>
      <c r="DX74" s="4">
        <f>SUM(BA74:BJ74)*Inicio!$W$9</f>
        <v/>
      </c>
      <c r="DY74" s="4">
        <f>SUM(BK74:BT74)*Inicio!$W$10</f>
        <v/>
      </c>
      <c r="DZ74" s="4">
        <f>SUM(BU74:CD74)*Inicio!$W$11</f>
        <v/>
      </c>
      <c r="EA74" s="4">
        <f>SUM(CE74:CN74)*Inicio!$W$12</f>
        <v/>
      </c>
      <c r="EB74" s="4">
        <f>SUM(CO74:CX74)*Inicio!$W$13</f>
        <v/>
      </c>
      <c r="EC74" s="4">
        <f>SUM(CY74:DH74)*Inicio!$W$11</f>
        <v/>
      </c>
      <c r="ED74" s="4">
        <f>SUM(DI74:DR74)*Inicio!$W$12</f>
        <v/>
      </c>
      <c r="EE74" s="4">
        <f>SUM(C74:DR74)</f>
        <v/>
      </c>
      <c r="EF74" s="4">
        <f>SUM(EE71:EE74)</f>
        <v/>
      </c>
      <c r="EG74" s="4">
        <f>SUM(DS74:ED74)</f>
        <v/>
      </c>
      <c r="EH74" s="4">
        <f>SUM(EG71:EG74)</f>
        <v/>
      </c>
    </row>
    <row r="75" ht="20.25" customHeight="1">
      <c r="B75" s="28" t="inlineStr">
        <is>
          <t>16:30 - 16:45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4">
        <f>SUM(C75:L75)*Inicio!$W$4</f>
        <v/>
      </c>
      <c r="DT75" s="4">
        <f>SUM(M75:V75)*Inicio!$W$5</f>
        <v/>
      </c>
      <c r="DU75" s="4">
        <f>SUM(W75:AF75)*Inicio!$W$6</f>
        <v/>
      </c>
      <c r="DV75" s="4">
        <f>SUM(AG75:AP75)*Inicio!$W$7</f>
        <v/>
      </c>
      <c r="DW75" s="4">
        <f>SUM(AQ75:AZ75)*Inicio!$W$8</f>
        <v/>
      </c>
      <c r="DX75" s="4">
        <f>SUM(BA75:BJ75)*Inicio!$W$9</f>
        <v/>
      </c>
      <c r="DY75" s="4">
        <f>SUM(BK75:BT75)*Inicio!$W$10</f>
        <v/>
      </c>
      <c r="DZ75" s="4">
        <f>SUM(BU75:CD75)*Inicio!$W$11</f>
        <v/>
      </c>
      <c r="EA75" s="4">
        <f>SUM(CE75:CN75)*Inicio!$W$12</f>
        <v/>
      </c>
      <c r="EB75" s="4">
        <f>SUM(CO75:CX75)*Inicio!$W$13</f>
        <v/>
      </c>
      <c r="EC75" s="4">
        <f>SUM(CY75:DH75)*Inicio!$W$11</f>
        <v/>
      </c>
      <c r="ED75" s="4">
        <f>SUM(DI75:DR75)*Inicio!$W$12</f>
        <v/>
      </c>
      <c r="EE75" s="4">
        <f>SUM(C75:DR75)</f>
        <v/>
      </c>
      <c r="EF75" s="4">
        <f>SUM(EE72:EE75)</f>
        <v/>
      </c>
      <c r="EG75" s="4">
        <f>SUM(DS75:ED75)</f>
        <v/>
      </c>
      <c r="EH75" s="4">
        <f>SUM(EG72:EG75)</f>
        <v/>
      </c>
    </row>
    <row r="76" ht="20.25" customHeight="1">
      <c r="B76" s="26" t="inlineStr">
        <is>
          <t>16:45 - 17:00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5">
        <f>SUM(C76:L76)*Inicio!$W$4</f>
        <v/>
      </c>
      <c r="DT76" s="5">
        <f>SUM(M76:V76)*Inicio!$W$5</f>
        <v/>
      </c>
      <c r="DU76" s="5">
        <f>SUM(W76:AF76)*Inicio!$W$6</f>
        <v/>
      </c>
      <c r="DV76" s="5">
        <f>SUM(AG76:AP76)*Inicio!$W$7</f>
        <v/>
      </c>
      <c r="DW76" s="5">
        <f>SUM(AQ76:AZ76)*Inicio!$W$8</f>
        <v/>
      </c>
      <c r="DX76" s="5">
        <f>SUM(BA76:BJ76)*Inicio!$W$9</f>
        <v/>
      </c>
      <c r="DY76" s="5">
        <f>SUM(BK76:BT76)*Inicio!$W$10</f>
        <v/>
      </c>
      <c r="DZ76" s="5">
        <f>SUM(BU76:CD76)*Inicio!$W$11</f>
        <v/>
      </c>
      <c r="EA76" s="5">
        <f>SUM(CE76:CN76)*Inicio!$W$12</f>
        <v/>
      </c>
      <c r="EB76" s="5">
        <f>SUM(CO76:CX76)*Inicio!$W$13</f>
        <v/>
      </c>
      <c r="EC76" s="5">
        <f>SUM(CY76:DH76)*Inicio!$W$11</f>
        <v/>
      </c>
      <c r="ED76" s="5">
        <f>SUM(DI76:DR76)*Inicio!$W$12</f>
        <v/>
      </c>
      <c r="EE76" s="5">
        <f>SUM(C76:DR76)</f>
        <v/>
      </c>
      <c r="EF76" s="5">
        <f>SUM(EE73:EE76)</f>
        <v/>
      </c>
      <c r="EG76" s="5">
        <f>SUM(DS76:ED76)</f>
        <v/>
      </c>
      <c r="EH76" s="5">
        <f>SUM(EG73:EG76)</f>
        <v/>
      </c>
    </row>
    <row r="77" ht="20.25" customHeight="1">
      <c r="B77" s="27" t="inlineStr">
        <is>
          <t>17:00 - 17:15</t>
        </is>
      </c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n"/>
      <c r="CF77" s="20" t="n"/>
      <c r="CG77" s="20" t="n"/>
      <c r="CH77" s="20" t="n"/>
      <c r="CI77" s="20" t="n"/>
      <c r="CJ77" s="20" t="n"/>
      <c r="CK77" s="20" t="n"/>
      <c r="CL77" s="20" t="n"/>
      <c r="CM77" s="20" t="n"/>
      <c r="CN77" s="20" t="n"/>
      <c r="CO77" s="20" t="n"/>
      <c r="CP77" s="20" t="n"/>
      <c r="CQ77" s="20" t="n"/>
      <c r="CR77" s="20" t="n"/>
      <c r="CS77" s="20" t="n"/>
      <c r="CT77" s="20" t="n"/>
      <c r="CU77" s="20" t="n"/>
      <c r="CV77" s="20" t="n"/>
      <c r="CW77" s="20" t="n"/>
      <c r="CX77" s="20" t="n"/>
      <c r="CY77" s="20" t="n"/>
      <c r="CZ77" s="20" t="n"/>
      <c r="DA77" s="20" t="n"/>
      <c r="DB77" s="20" t="n"/>
      <c r="DC77" s="20" t="n"/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20" t="n"/>
      <c r="DN77" s="20" t="n"/>
      <c r="DO77" s="20" t="n"/>
      <c r="DP77" s="20" t="n"/>
      <c r="DQ77" s="20" t="n"/>
      <c r="DR77" s="20" t="n"/>
      <c r="DS77" s="3">
        <f>SUM(C77:L77)*Inicio!$W$4</f>
        <v/>
      </c>
      <c r="DT77" s="3">
        <f>SUM(M77:V77)*Inicio!$W$5</f>
        <v/>
      </c>
      <c r="DU77" s="3">
        <f>SUM(W77:AF77)*Inicio!$W$6</f>
        <v/>
      </c>
      <c r="DV77" s="3">
        <f>SUM(AG77:AP77)*Inicio!$W$7</f>
        <v/>
      </c>
      <c r="DW77" s="3">
        <f>SUM(AQ77:AZ77)*Inicio!$W$8</f>
        <v/>
      </c>
      <c r="DX77" s="3">
        <f>SUM(BA77:BJ77)*Inicio!$W$9</f>
        <v/>
      </c>
      <c r="DY77" s="3">
        <f>SUM(BK77:BT77)*Inicio!$W$10</f>
        <v/>
      </c>
      <c r="DZ77" s="3">
        <f>SUM(BU77:CD77)*Inicio!$W$11</f>
        <v/>
      </c>
      <c r="EA77" s="3">
        <f>SUM(CE77:CN77)*Inicio!$W$12</f>
        <v/>
      </c>
      <c r="EB77" s="3">
        <f>SUM(CO77:CX77)*Inicio!$W$13</f>
        <v/>
      </c>
      <c r="EC77" s="3">
        <f>SUM(CY77:DH77)*Inicio!$W$11</f>
        <v/>
      </c>
      <c r="ED77" s="3">
        <f>SUM(DI77:DR77)*Inicio!$W$12</f>
        <v/>
      </c>
      <c r="EE77" s="3">
        <f>SUM(C77:DR77)</f>
        <v/>
      </c>
      <c r="EF77" s="3">
        <f>SUM(EE74:EE77)</f>
        <v/>
      </c>
      <c r="EG77" s="3">
        <f>SUM(DS77:ED77)</f>
        <v/>
      </c>
      <c r="EH77" s="3">
        <f>SUM(EG74:EG77)</f>
        <v/>
      </c>
    </row>
    <row r="78" ht="20.25" customHeight="1">
      <c r="B78" s="28" t="inlineStr">
        <is>
          <t>17:15 - 17:30</t>
        </is>
      </c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4">
        <f>SUM(C78:L78)*Inicio!$W$4</f>
        <v/>
      </c>
      <c r="DT78" s="4">
        <f>SUM(M78:V78)*Inicio!$W$5</f>
        <v/>
      </c>
      <c r="DU78" s="4">
        <f>SUM(W78:AF78)*Inicio!$W$6</f>
        <v/>
      </c>
      <c r="DV78" s="4">
        <f>SUM(AG78:AP78)*Inicio!$W$7</f>
        <v/>
      </c>
      <c r="DW78" s="4">
        <f>SUM(AQ78:AZ78)*Inicio!$W$8</f>
        <v/>
      </c>
      <c r="DX78" s="4">
        <f>SUM(BA78:BJ78)*Inicio!$W$9</f>
        <v/>
      </c>
      <c r="DY78" s="4">
        <f>SUM(BK78:BT78)*Inicio!$W$10</f>
        <v/>
      </c>
      <c r="DZ78" s="4">
        <f>SUM(BU78:CD78)*Inicio!$W$11</f>
        <v/>
      </c>
      <c r="EA78" s="4">
        <f>SUM(CE78:CN78)*Inicio!$W$12</f>
        <v/>
      </c>
      <c r="EB78" s="4">
        <f>SUM(CO78:CX78)*Inicio!$W$13</f>
        <v/>
      </c>
      <c r="EC78" s="4">
        <f>SUM(CY78:DH78)*Inicio!$W$11</f>
        <v/>
      </c>
      <c r="ED78" s="4">
        <f>SUM(DI78:DR78)*Inicio!$W$12</f>
        <v/>
      </c>
      <c r="EE78" s="4">
        <f>SUM(C78:DR78)</f>
        <v/>
      </c>
      <c r="EF78" s="4">
        <f>SUM(EE75:EE78)</f>
        <v/>
      </c>
      <c r="EG78" s="4">
        <f>SUM(DS78:ED78)</f>
        <v/>
      </c>
      <c r="EH78" s="4">
        <f>SUM(EG75:EG78)</f>
        <v/>
      </c>
    </row>
    <row r="79" ht="20.25" customHeight="1">
      <c r="B79" s="28" t="inlineStr">
        <is>
          <t>17:30 - 17:45</t>
        </is>
      </c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4">
        <f>SUM(C79:L79)*Inicio!$W$4</f>
        <v/>
      </c>
      <c r="DT79" s="4">
        <f>SUM(M79:V79)*Inicio!$W$5</f>
        <v/>
      </c>
      <c r="DU79" s="4">
        <f>SUM(W79:AF79)*Inicio!$W$6</f>
        <v/>
      </c>
      <c r="DV79" s="4">
        <f>SUM(AG79:AP79)*Inicio!$W$7</f>
        <v/>
      </c>
      <c r="DW79" s="4">
        <f>SUM(AQ79:AZ79)*Inicio!$W$8</f>
        <v/>
      </c>
      <c r="DX79" s="4">
        <f>SUM(BA79:BJ79)*Inicio!$W$9</f>
        <v/>
      </c>
      <c r="DY79" s="4">
        <f>SUM(BK79:BT79)*Inicio!$W$10</f>
        <v/>
      </c>
      <c r="DZ79" s="4">
        <f>SUM(BU79:CD79)*Inicio!$W$11</f>
        <v/>
      </c>
      <c r="EA79" s="4">
        <f>SUM(CE79:CN79)*Inicio!$W$12</f>
        <v/>
      </c>
      <c r="EB79" s="4">
        <f>SUM(CO79:CX79)*Inicio!$W$13</f>
        <v/>
      </c>
      <c r="EC79" s="4">
        <f>SUM(CY79:DH79)*Inicio!$W$11</f>
        <v/>
      </c>
      <c r="ED79" s="4">
        <f>SUM(DI79:DR79)*Inicio!$W$12</f>
        <v/>
      </c>
      <c r="EE79" s="4">
        <f>SUM(C79:DR79)</f>
        <v/>
      </c>
      <c r="EF79" s="4">
        <f>SUM(EE76:EE79)</f>
        <v/>
      </c>
      <c r="EG79" s="4">
        <f>SUM(DS79:ED79)</f>
        <v/>
      </c>
      <c r="EH79" s="4">
        <f>SUM(EG76:EG79)</f>
        <v/>
      </c>
    </row>
    <row r="80" ht="20.25" customHeight="1">
      <c r="B80" s="26" t="inlineStr">
        <is>
          <t>17:45 - 18:00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5">
        <f>SUM(C80:L80)*Inicio!$W$4</f>
        <v/>
      </c>
      <c r="DT80" s="5">
        <f>SUM(M80:V80)*Inicio!$W$5</f>
        <v/>
      </c>
      <c r="DU80" s="5">
        <f>SUM(W80:AF80)*Inicio!$W$6</f>
        <v/>
      </c>
      <c r="DV80" s="5">
        <f>SUM(AG80:AP80)*Inicio!$W$7</f>
        <v/>
      </c>
      <c r="DW80" s="5">
        <f>SUM(AQ80:AZ80)*Inicio!$W$8</f>
        <v/>
      </c>
      <c r="DX80" s="5">
        <f>SUM(BA80:BJ80)*Inicio!$W$9</f>
        <v/>
      </c>
      <c r="DY80" s="5">
        <f>SUM(BK80:BT80)*Inicio!$W$10</f>
        <v/>
      </c>
      <c r="DZ80" s="5">
        <f>SUM(BU80:CD80)*Inicio!$W$11</f>
        <v/>
      </c>
      <c r="EA80" s="5">
        <f>SUM(CE80:CN80)*Inicio!$W$12</f>
        <v/>
      </c>
      <c r="EB80" s="5">
        <f>SUM(CO80:CX80)*Inicio!$W$13</f>
        <v/>
      </c>
      <c r="EC80" s="5">
        <f>SUM(CY80:DH80)*Inicio!$W$11</f>
        <v/>
      </c>
      <c r="ED80" s="5">
        <f>SUM(DI80:DR80)*Inicio!$W$12</f>
        <v/>
      </c>
      <c r="EE80" s="5">
        <f>SUM(C80:DR80)</f>
        <v/>
      </c>
      <c r="EF80" s="5">
        <f>SUM(EE77:EE80)</f>
        <v/>
      </c>
      <c r="EG80" s="5">
        <f>SUM(DS80:ED80)</f>
        <v/>
      </c>
      <c r="EH80" s="5">
        <f>SUM(EG77:EG80)</f>
        <v/>
      </c>
    </row>
    <row r="81" ht="20.25" customHeight="1">
      <c r="B81" s="27" t="inlineStr">
        <is>
          <t>18:00 - 18:15</t>
        </is>
      </c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20" t="n"/>
      <c r="CD81" s="20" t="n"/>
      <c r="CE81" s="20" t="n"/>
      <c r="CF81" s="20" t="n"/>
      <c r="CG81" s="20" t="n"/>
      <c r="CH81" s="20" t="n"/>
      <c r="CI81" s="20" t="n"/>
      <c r="CJ81" s="20" t="n"/>
      <c r="CK81" s="20" t="n"/>
      <c r="CL81" s="20" t="n"/>
      <c r="CM81" s="20" t="n"/>
      <c r="CN81" s="20" t="n"/>
      <c r="CO81" s="20" t="n"/>
      <c r="CP81" s="20" t="n"/>
      <c r="CQ81" s="20" t="n"/>
      <c r="CR81" s="20" t="n"/>
      <c r="CS81" s="20" t="n"/>
      <c r="CT81" s="20" t="n"/>
      <c r="CU81" s="20" t="n"/>
      <c r="CV81" s="20" t="n"/>
      <c r="CW81" s="20" t="n"/>
      <c r="CX81" s="20" t="n"/>
      <c r="CY81" s="20" t="n"/>
      <c r="CZ81" s="20" t="n"/>
      <c r="DA81" s="20" t="n"/>
      <c r="DB81" s="20" t="n"/>
      <c r="DC81" s="20" t="n"/>
      <c r="DD81" s="20" t="n"/>
      <c r="DE81" s="20" t="n"/>
      <c r="DF81" s="20" t="n"/>
      <c r="DG81" s="20" t="n"/>
      <c r="DH81" s="20" t="n"/>
      <c r="DI81" s="20" t="n"/>
      <c r="DJ81" s="20" t="n"/>
      <c r="DK81" s="20" t="n"/>
      <c r="DL81" s="20" t="n"/>
      <c r="DM81" s="20" t="n"/>
      <c r="DN81" s="20" t="n"/>
      <c r="DO81" s="20" t="n"/>
      <c r="DP81" s="20" t="n"/>
      <c r="DQ81" s="20" t="n"/>
      <c r="DR81" s="20" t="n"/>
      <c r="DS81" s="3">
        <f>SUM(C81:L81)*Inicio!$W$4</f>
        <v/>
      </c>
      <c r="DT81" s="3">
        <f>SUM(M81:V81)*Inicio!$W$5</f>
        <v/>
      </c>
      <c r="DU81" s="3">
        <f>SUM(W81:AF81)*Inicio!$W$6</f>
        <v/>
      </c>
      <c r="DV81" s="3">
        <f>SUM(AG81:AP81)*Inicio!$W$7</f>
        <v/>
      </c>
      <c r="DW81" s="3">
        <f>SUM(AQ81:AZ81)*Inicio!$W$8</f>
        <v/>
      </c>
      <c r="DX81" s="3">
        <f>SUM(BA81:BJ81)*Inicio!$W$9</f>
        <v/>
      </c>
      <c r="DY81" s="3">
        <f>SUM(BK81:BT81)*Inicio!$W$10</f>
        <v/>
      </c>
      <c r="DZ81" s="3">
        <f>SUM(BU81:CD81)*Inicio!$W$11</f>
        <v/>
      </c>
      <c r="EA81" s="3">
        <f>SUM(CE81:CN81)*Inicio!$W$12</f>
        <v/>
      </c>
      <c r="EB81" s="3">
        <f>SUM(CO81:CX81)*Inicio!$W$13</f>
        <v/>
      </c>
      <c r="EC81" s="3">
        <f>SUM(CY81:DH81)*Inicio!$W$11</f>
        <v/>
      </c>
      <c r="ED81" s="3">
        <f>SUM(DI81:DR81)*Inicio!$W$12</f>
        <v/>
      </c>
      <c r="EE81" s="3">
        <f>SUM(C81:DR81)</f>
        <v/>
      </c>
      <c r="EF81" s="3">
        <f>SUM(EE78:EE81)</f>
        <v/>
      </c>
      <c r="EG81" s="3">
        <f>SUM(DS81:ED81)</f>
        <v/>
      </c>
      <c r="EH81" s="3">
        <f>SUM(EG78:EG81)</f>
        <v/>
      </c>
    </row>
    <row r="82" ht="20.25" customHeight="1">
      <c r="B82" s="28" t="inlineStr">
        <is>
          <t>18:15 - 18:30</t>
        </is>
      </c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4">
        <f>SUM(C82:L82)*Inicio!$W$4</f>
        <v/>
      </c>
      <c r="DT82" s="4">
        <f>SUM(M82:V82)*Inicio!$W$5</f>
        <v/>
      </c>
      <c r="DU82" s="4">
        <f>SUM(W82:AF82)*Inicio!$W$6</f>
        <v/>
      </c>
      <c r="DV82" s="4">
        <f>SUM(AG82:AP82)*Inicio!$W$7</f>
        <v/>
      </c>
      <c r="DW82" s="4">
        <f>SUM(AQ82:AZ82)*Inicio!$W$8</f>
        <v/>
      </c>
      <c r="DX82" s="4">
        <f>SUM(BA82:BJ82)*Inicio!$W$9</f>
        <v/>
      </c>
      <c r="DY82" s="4">
        <f>SUM(BK82:BT82)*Inicio!$W$10</f>
        <v/>
      </c>
      <c r="DZ82" s="4">
        <f>SUM(BU82:CD82)*Inicio!$W$11</f>
        <v/>
      </c>
      <c r="EA82" s="4">
        <f>SUM(CE82:CN82)*Inicio!$W$12</f>
        <v/>
      </c>
      <c r="EB82" s="4">
        <f>SUM(CO82:CX82)*Inicio!$W$13</f>
        <v/>
      </c>
      <c r="EC82" s="4">
        <f>SUM(CY82:DH82)*Inicio!$W$11</f>
        <v/>
      </c>
      <c r="ED82" s="4">
        <f>SUM(DI82:DR82)*Inicio!$W$12</f>
        <v/>
      </c>
      <c r="EE82" s="4">
        <f>SUM(C82:DR82)</f>
        <v/>
      </c>
      <c r="EF82" s="4">
        <f>SUM(EE79:EE82)</f>
        <v/>
      </c>
      <c r="EG82" s="4">
        <f>SUM(DS82:ED82)</f>
        <v/>
      </c>
      <c r="EH82" s="4">
        <f>SUM(EG79:EG82)</f>
        <v/>
      </c>
    </row>
    <row r="83" ht="20.25" customHeight="1">
      <c r="B83" s="28" t="inlineStr">
        <is>
          <t>18:30 - 18:45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4">
        <f>SUM(C83:L83)*Inicio!$W$4</f>
        <v/>
      </c>
      <c r="DT83" s="4">
        <f>SUM(M83:V83)*Inicio!$W$5</f>
        <v/>
      </c>
      <c r="DU83" s="4">
        <f>SUM(W83:AF83)*Inicio!$W$6</f>
        <v/>
      </c>
      <c r="DV83" s="4">
        <f>SUM(AG83:AP83)*Inicio!$W$7</f>
        <v/>
      </c>
      <c r="DW83" s="4">
        <f>SUM(AQ83:AZ83)*Inicio!$W$8</f>
        <v/>
      </c>
      <c r="DX83" s="4">
        <f>SUM(BA83:BJ83)*Inicio!$W$9</f>
        <v/>
      </c>
      <c r="DY83" s="4">
        <f>SUM(BK83:BT83)*Inicio!$W$10</f>
        <v/>
      </c>
      <c r="DZ83" s="4">
        <f>SUM(BU83:CD83)*Inicio!$W$11</f>
        <v/>
      </c>
      <c r="EA83" s="4">
        <f>SUM(CE83:CN83)*Inicio!$W$12</f>
        <v/>
      </c>
      <c r="EB83" s="4">
        <f>SUM(CO83:CX83)*Inicio!$W$13</f>
        <v/>
      </c>
      <c r="EC83" s="4">
        <f>SUM(CY83:DH83)*Inicio!$W$11</f>
        <v/>
      </c>
      <c r="ED83" s="4">
        <f>SUM(DI83:DR83)*Inicio!$W$12</f>
        <v/>
      </c>
      <c r="EE83" s="4">
        <f>SUM(C83:DR83)</f>
        <v/>
      </c>
      <c r="EF83" s="4">
        <f>SUM(EE80:EE83)</f>
        <v/>
      </c>
      <c r="EG83" s="4">
        <f>SUM(DS83:ED83)</f>
        <v/>
      </c>
      <c r="EH83" s="4">
        <f>SUM(EG80:EG83)</f>
        <v/>
      </c>
    </row>
    <row r="84" ht="20.25" customHeight="1">
      <c r="B84" s="26" t="inlineStr">
        <is>
          <t>18:45 - 19:00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5">
        <f>SUM(C84:L84)*Inicio!$W$4</f>
        <v/>
      </c>
      <c r="DT84" s="5">
        <f>SUM(M84:V84)*Inicio!$W$5</f>
        <v/>
      </c>
      <c r="DU84" s="5">
        <f>SUM(W84:AF84)*Inicio!$W$6</f>
        <v/>
      </c>
      <c r="DV84" s="5">
        <f>SUM(AG84:AP84)*Inicio!$W$7</f>
        <v/>
      </c>
      <c r="DW84" s="5">
        <f>SUM(AQ84:AZ84)*Inicio!$W$8</f>
        <v/>
      </c>
      <c r="DX84" s="5">
        <f>SUM(BA84:BJ84)*Inicio!$W$9</f>
        <v/>
      </c>
      <c r="DY84" s="5">
        <f>SUM(BK84:BT84)*Inicio!$W$10</f>
        <v/>
      </c>
      <c r="DZ84" s="5">
        <f>SUM(BU84:CD84)*Inicio!$W$11</f>
        <v/>
      </c>
      <c r="EA84" s="5">
        <f>SUM(CE84:CN84)*Inicio!$W$12</f>
        <v/>
      </c>
      <c r="EB84" s="5">
        <f>SUM(CO84:CX84)*Inicio!$W$13</f>
        <v/>
      </c>
      <c r="EC84" s="5">
        <f>SUM(CY84:DH84)*Inicio!$W$11</f>
        <v/>
      </c>
      <c r="ED84" s="5">
        <f>SUM(DI84:DR84)*Inicio!$W$12</f>
        <v/>
      </c>
      <c r="EE84" s="5">
        <f>SUM(C84:DR84)</f>
        <v/>
      </c>
      <c r="EF84" s="5">
        <f>SUM(EE81:EE84)</f>
        <v/>
      </c>
      <c r="EG84" s="5">
        <f>SUM(DS84:ED84)</f>
        <v/>
      </c>
      <c r="EH84" s="5">
        <f>SUM(EG81:EG84)</f>
        <v/>
      </c>
    </row>
    <row r="85" ht="20.25" customHeight="1">
      <c r="B85" s="27" t="inlineStr">
        <is>
          <t>19:00 - 19:15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  <c r="CE85" s="20" t="n"/>
      <c r="CF85" s="20" t="n"/>
      <c r="CG85" s="20" t="n"/>
      <c r="CH85" s="20" t="n"/>
      <c r="CI85" s="20" t="n"/>
      <c r="CJ85" s="20" t="n"/>
      <c r="CK85" s="20" t="n"/>
      <c r="CL85" s="20" t="n"/>
      <c r="CM85" s="20" t="n"/>
      <c r="CN85" s="20" t="n"/>
      <c r="CO85" s="20" t="n"/>
      <c r="CP85" s="20" t="n"/>
      <c r="CQ85" s="20" t="n"/>
      <c r="CR85" s="20" t="n"/>
      <c r="CS85" s="20" t="n"/>
      <c r="CT85" s="20" t="n"/>
      <c r="CU85" s="20" t="n"/>
      <c r="CV85" s="20" t="n"/>
      <c r="CW85" s="20" t="n"/>
      <c r="CX85" s="20" t="n"/>
      <c r="CY85" s="20" t="n"/>
      <c r="CZ85" s="20" t="n"/>
      <c r="DA85" s="20" t="n"/>
      <c r="DB85" s="20" t="n"/>
      <c r="DC85" s="20" t="n"/>
      <c r="DD85" s="20" t="n"/>
      <c r="DE85" s="20" t="n"/>
      <c r="DF85" s="20" t="n"/>
      <c r="DG85" s="20" t="n"/>
      <c r="DH85" s="20" t="n"/>
      <c r="DI85" s="20" t="n"/>
      <c r="DJ85" s="20" t="n"/>
      <c r="DK85" s="20" t="n"/>
      <c r="DL85" s="20" t="n"/>
      <c r="DM85" s="20" t="n"/>
      <c r="DN85" s="20" t="n"/>
      <c r="DO85" s="20" t="n"/>
      <c r="DP85" s="20" t="n"/>
      <c r="DQ85" s="20" t="n"/>
      <c r="DR85" s="20" t="n"/>
      <c r="DS85" s="3">
        <f>SUM(C85:L85)*Inicio!$W$4</f>
        <v/>
      </c>
      <c r="DT85" s="3">
        <f>SUM(M85:V85)*Inicio!$W$5</f>
        <v/>
      </c>
      <c r="DU85" s="3">
        <f>SUM(W85:AF85)*Inicio!$W$6</f>
        <v/>
      </c>
      <c r="DV85" s="3">
        <f>SUM(AG85:AP85)*Inicio!$W$7</f>
        <v/>
      </c>
      <c r="DW85" s="3">
        <f>SUM(AQ85:AZ85)*Inicio!$W$8</f>
        <v/>
      </c>
      <c r="DX85" s="3">
        <f>SUM(BA85:BJ85)*Inicio!$W$9</f>
        <v/>
      </c>
      <c r="DY85" s="3">
        <f>SUM(BK85:BT85)*Inicio!$W$10</f>
        <v/>
      </c>
      <c r="DZ85" s="3">
        <f>SUM(BU85:CD85)*Inicio!$W$11</f>
        <v/>
      </c>
      <c r="EA85" s="3">
        <f>SUM(CE85:CN85)*Inicio!$W$12</f>
        <v/>
      </c>
      <c r="EB85" s="3">
        <f>SUM(CO85:CX85)*Inicio!$W$13</f>
        <v/>
      </c>
      <c r="EC85" s="3">
        <f>SUM(CY85:DH85)*Inicio!$W$11</f>
        <v/>
      </c>
      <c r="ED85" s="3">
        <f>SUM(DI85:DR85)*Inicio!$W$12</f>
        <v/>
      </c>
      <c r="EE85" s="3">
        <f>SUM(C85:DR85)</f>
        <v/>
      </c>
      <c r="EF85" s="3">
        <f>SUM(EE82:EE85)</f>
        <v/>
      </c>
      <c r="EG85" s="3">
        <f>SUM(DS85:ED85)</f>
        <v/>
      </c>
      <c r="EH85" s="3">
        <f>SUM(EG82:EG85)</f>
        <v/>
      </c>
    </row>
    <row r="86" ht="20.25" customHeight="1">
      <c r="B86" s="28" t="inlineStr">
        <is>
          <t>19:15 - 19:30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4">
        <f>SUM(C86:L86)*Inicio!$W$4</f>
        <v/>
      </c>
      <c r="DT86" s="4">
        <f>SUM(M86:V86)*Inicio!$W$5</f>
        <v/>
      </c>
      <c r="DU86" s="4">
        <f>SUM(W86:AF86)*Inicio!$W$6</f>
        <v/>
      </c>
      <c r="DV86" s="4">
        <f>SUM(AG86:AP86)*Inicio!$W$7</f>
        <v/>
      </c>
      <c r="DW86" s="4">
        <f>SUM(AQ86:AZ86)*Inicio!$W$8</f>
        <v/>
      </c>
      <c r="DX86" s="4">
        <f>SUM(BA86:BJ86)*Inicio!$W$9</f>
        <v/>
      </c>
      <c r="DY86" s="4">
        <f>SUM(BK86:BT86)*Inicio!$W$10</f>
        <v/>
      </c>
      <c r="DZ86" s="4">
        <f>SUM(BU86:CD86)*Inicio!$W$11</f>
        <v/>
      </c>
      <c r="EA86" s="4">
        <f>SUM(CE86:CN86)*Inicio!$W$12</f>
        <v/>
      </c>
      <c r="EB86" s="4">
        <f>SUM(CO86:CX86)*Inicio!$W$13</f>
        <v/>
      </c>
      <c r="EC86" s="4">
        <f>SUM(CY86:DH86)*Inicio!$W$11</f>
        <v/>
      </c>
      <c r="ED86" s="4">
        <f>SUM(DI86:DR86)*Inicio!$W$12</f>
        <v/>
      </c>
      <c r="EE86" s="4">
        <f>SUM(C86:DR86)</f>
        <v/>
      </c>
      <c r="EF86" s="4">
        <f>SUM(EE83:EE86)</f>
        <v/>
      </c>
      <c r="EG86" s="4">
        <f>SUM(DS86:ED86)</f>
        <v/>
      </c>
      <c r="EH86" s="4">
        <f>SUM(EG83:EG86)</f>
        <v/>
      </c>
    </row>
    <row r="87" ht="20.25" customHeight="1">
      <c r="B87" s="28" t="inlineStr">
        <is>
          <t>19:30 - 19:45</t>
        </is>
      </c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4">
        <f>SUM(C87:L87)*Inicio!$W$4</f>
        <v/>
      </c>
      <c r="DT87" s="4">
        <f>SUM(M87:V87)*Inicio!$W$5</f>
        <v/>
      </c>
      <c r="DU87" s="4">
        <f>SUM(W87:AF87)*Inicio!$W$6</f>
        <v/>
      </c>
      <c r="DV87" s="4">
        <f>SUM(AG87:AP87)*Inicio!$W$7</f>
        <v/>
      </c>
      <c r="DW87" s="4">
        <f>SUM(AQ87:AZ87)*Inicio!$W$8</f>
        <v/>
      </c>
      <c r="DX87" s="4">
        <f>SUM(BA87:BJ87)*Inicio!$W$9</f>
        <v/>
      </c>
      <c r="DY87" s="4">
        <f>SUM(BK87:BT87)*Inicio!$W$10</f>
        <v/>
      </c>
      <c r="DZ87" s="4">
        <f>SUM(BU87:CD87)*Inicio!$W$11</f>
        <v/>
      </c>
      <c r="EA87" s="4">
        <f>SUM(CE87:CN87)*Inicio!$W$12</f>
        <v/>
      </c>
      <c r="EB87" s="4">
        <f>SUM(CO87:CX87)*Inicio!$W$13</f>
        <v/>
      </c>
      <c r="EC87" s="4">
        <f>SUM(CY87:DH87)*Inicio!$W$11</f>
        <v/>
      </c>
      <c r="ED87" s="4">
        <f>SUM(DI87:DR87)*Inicio!$W$12</f>
        <v/>
      </c>
      <c r="EE87" s="4">
        <f>SUM(C87:DR87)</f>
        <v/>
      </c>
      <c r="EF87" s="4">
        <f>SUM(EE84:EE87)</f>
        <v/>
      </c>
      <c r="EG87" s="4">
        <f>SUM(DS87:ED87)</f>
        <v/>
      </c>
      <c r="EH87" s="4">
        <f>SUM(EG84:EG87)</f>
        <v/>
      </c>
    </row>
    <row r="88" ht="20.25" customHeight="1">
      <c r="B88" s="26" t="inlineStr">
        <is>
          <t>19:45 - 20:00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5">
        <f>SUM(C88:L88)*Inicio!$W$4</f>
        <v/>
      </c>
      <c r="DT88" s="5">
        <f>SUM(M88:V88)*Inicio!$W$5</f>
        <v/>
      </c>
      <c r="DU88" s="5">
        <f>SUM(W88:AF88)*Inicio!$W$6</f>
        <v/>
      </c>
      <c r="DV88" s="5">
        <f>SUM(AG88:AP88)*Inicio!$W$7</f>
        <v/>
      </c>
      <c r="DW88" s="5">
        <f>SUM(AQ88:AZ88)*Inicio!$W$8</f>
        <v/>
      </c>
      <c r="DX88" s="5">
        <f>SUM(BA88:BJ88)*Inicio!$W$9</f>
        <v/>
      </c>
      <c r="DY88" s="5">
        <f>SUM(BK88:BT88)*Inicio!$W$10</f>
        <v/>
      </c>
      <c r="DZ88" s="5">
        <f>SUM(BU88:CD88)*Inicio!$W$11</f>
        <v/>
      </c>
      <c r="EA88" s="5">
        <f>SUM(CE88:CN88)*Inicio!$W$12</f>
        <v/>
      </c>
      <c r="EB88" s="5">
        <f>SUM(CO88:CX88)*Inicio!$W$13</f>
        <v/>
      </c>
      <c r="EC88" s="5">
        <f>SUM(CY88:DH88)*Inicio!$W$11</f>
        <v/>
      </c>
      <c r="ED88" s="5">
        <f>SUM(DI88:DR88)*Inicio!$W$12</f>
        <v/>
      </c>
      <c r="EE88" s="5">
        <f>SUM(C88:DR88)</f>
        <v/>
      </c>
      <c r="EF88" s="5">
        <f>SUM(EE85:EE88)</f>
        <v/>
      </c>
      <c r="EG88" s="5">
        <f>SUM(DS88:ED88)</f>
        <v/>
      </c>
      <c r="EH88" s="5">
        <f>SUM(EG85:EG88)</f>
        <v/>
      </c>
    </row>
    <row r="89" ht="20.25" customHeight="1">
      <c r="B89" s="27" t="inlineStr">
        <is>
          <t>20:00 - 20:15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  <c r="CE89" s="20" t="n"/>
      <c r="CF89" s="20" t="n"/>
      <c r="CG89" s="20" t="n"/>
      <c r="CH89" s="20" t="n"/>
      <c r="CI89" s="20" t="n"/>
      <c r="CJ89" s="20" t="n"/>
      <c r="CK89" s="20" t="n"/>
      <c r="CL89" s="20" t="n"/>
      <c r="CM89" s="20" t="n"/>
      <c r="CN89" s="20" t="n"/>
      <c r="CO89" s="20" t="n"/>
      <c r="CP89" s="20" t="n"/>
      <c r="CQ89" s="20" t="n"/>
      <c r="CR89" s="20" t="n"/>
      <c r="CS89" s="20" t="n"/>
      <c r="CT89" s="20" t="n"/>
      <c r="CU89" s="20" t="n"/>
      <c r="CV89" s="20" t="n"/>
      <c r="CW89" s="20" t="n"/>
      <c r="CX89" s="20" t="n"/>
      <c r="CY89" s="20" t="n"/>
      <c r="CZ89" s="20" t="n"/>
      <c r="DA89" s="20" t="n"/>
      <c r="DB89" s="20" t="n"/>
      <c r="DC89" s="20" t="n"/>
      <c r="DD89" s="20" t="n"/>
      <c r="DE89" s="20" t="n"/>
      <c r="DF89" s="20" t="n"/>
      <c r="DG89" s="20" t="n"/>
      <c r="DH89" s="20" t="n"/>
      <c r="DI89" s="20" t="n"/>
      <c r="DJ89" s="20" t="n"/>
      <c r="DK89" s="20" t="n"/>
      <c r="DL89" s="20" t="n"/>
      <c r="DM89" s="20" t="n"/>
      <c r="DN89" s="20" t="n"/>
      <c r="DO89" s="20" t="n"/>
      <c r="DP89" s="20" t="n"/>
      <c r="DQ89" s="20" t="n"/>
      <c r="DR89" s="20" t="n"/>
      <c r="DS89" s="3">
        <f>SUM(C89:L89)*Inicio!$W$4</f>
        <v/>
      </c>
      <c r="DT89" s="3">
        <f>SUM(M89:V89)*Inicio!$W$5</f>
        <v/>
      </c>
      <c r="DU89" s="3">
        <f>SUM(W89:AF89)*Inicio!$W$6</f>
        <v/>
      </c>
      <c r="DV89" s="3">
        <f>SUM(AG89:AP89)*Inicio!$W$7</f>
        <v/>
      </c>
      <c r="DW89" s="3">
        <f>SUM(AQ89:AZ89)*Inicio!$W$8</f>
        <v/>
      </c>
      <c r="DX89" s="3">
        <f>SUM(BA89:BJ89)*Inicio!$W$9</f>
        <v/>
      </c>
      <c r="DY89" s="3">
        <f>SUM(BK89:BT89)*Inicio!$W$10</f>
        <v/>
      </c>
      <c r="DZ89" s="3">
        <f>SUM(BU89:CD89)*Inicio!$W$11</f>
        <v/>
      </c>
      <c r="EA89" s="3">
        <f>SUM(CE89:CN89)*Inicio!$W$12</f>
        <v/>
      </c>
      <c r="EB89" s="3">
        <f>SUM(CO89:CX89)*Inicio!$W$13</f>
        <v/>
      </c>
      <c r="EC89" s="3">
        <f>SUM(CY89:DH89)*Inicio!$W$11</f>
        <v/>
      </c>
      <c r="ED89" s="3">
        <f>SUM(DI89:DR89)*Inicio!$W$12</f>
        <v/>
      </c>
      <c r="EE89" s="3">
        <f>SUM(C89:DR89)</f>
        <v/>
      </c>
      <c r="EF89" s="3">
        <f>SUM(EE86:EE89)</f>
        <v/>
      </c>
      <c r="EG89" s="3">
        <f>SUM(DS89:ED89)</f>
        <v/>
      </c>
      <c r="EH89" s="3">
        <f>SUM(EG86:EG89)</f>
        <v/>
      </c>
    </row>
    <row r="90" ht="20.25" customHeight="1">
      <c r="B90" s="28" t="inlineStr">
        <is>
          <t>20:15 - 20:30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4">
        <f>SUM(C90:L90)*Inicio!$W$4</f>
        <v/>
      </c>
      <c r="DT90" s="4">
        <f>SUM(M90:V90)*Inicio!$W$5</f>
        <v/>
      </c>
      <c r="DU90" s="4">
        <f>SUM(W90:AF90)*Inicio!$W$6</f>
        <v/>
      </c>
      <c r="DV90" s="4">
        <f>SUM(AG90:AP90)*Inicio!$W$7</f>
        <v/>
      </c>
      <c r="DW90" s="4">
        <f>SUM(AQ90:AZ90)*Inicio!$W$8</f>
        <v/>
      </c>
      <c r="DX90" s="4">
        <f>SUM(BA90:BJ90)*Inicio!$W$9</f>
        <v/>
      </c>
      <c r="DY90" s="4">
        <f>SUM(BK90:BT90)*Inicio!$W$10</f>
        <v/>
      </c>
      <c r="DZ90" s="4">
        <f>SUM(BU90:CD90)*Inicio!$W$11</f>
        <v/>
      </c>
      <c r="EA90" s="4">
        <f>SUM(CE90:CN90)*Inicio!$W$12</f>
        <v/>
      </c>
      <c r="EB90" s="4">
        <f>SUM(CO90:CX90)*Inicio!$W$13</f>
        <v/>
      </c>
      <c r="EC90" s="4">
        <f>SUM(CY90:DH90)*Inicio!$W$11</f>
        <v/>
      </c>
      <c r="ED90" s="4">
        <f>SUM(DI90:DR90)*Inicio!$W$12</f>
        <v/>
      </c>
      <c r="EE90" s="4">
        <f>SUM(C90:DR90)</f>
        <v/>
      </c>
      <c r="EF90" s="4">
        <f>SUM(EE87:EE90)</f>
        <v/>
      </c>
      <c r="EG90" s="4">
        <f>SUM(DS90:ED90)</f>
        <v/>
      </c>
      <c r="EH90" s="4">
        <f>SUM(EG87:EG90)</f>
        <v/>
      </c>
    </row>
    <row r="91" ht="20.25" customHeight="1">
      <c r="B91" s="28" t="inlineStr">
        <is>
          <t>20:30 - 20:45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4">
        <f>SUM(C91:L91)*Inicio!$W$4</f>
        <v/>
      </c>
      <c r="DT91" s="4">
        <f>SUM(M91:V91)*Inicio!$W$5</f>
        <v/>
      </c>
      <c r="DU91" s="4">
        <f>SUM(W91:AF91)*Inicio!$W$6</f>
        <v/>
      </c>
      <c r="DV91" s="4">
        <f>SUM(AG91:AP91)*Inicio!$W$7</f>
        <v/>
      </c>
      <c r="DW91" s="4">
        <f>SUM(AQ91:AZ91)*Inicio!$W$8</f>
        <v/>
      </c>
      <c r="DX91" s="4">
        <f>SUM(BA91:BJ91)*Inicio!$W$9</f>
        <v/>
      </c>
      <c r="DY91" s="4">
        <f>SUM(BK91:BT91)*Inicio!$W$10</f>
        <v/>
      </c>
      <c r="DZ91" s="4">
        <f>SUM(BU91:CD91)*Inicio!$W$11</f>
        <v/>
      </c>
      <c r="EA91" s="4">
        <f>SUM(CE91:CN91)*Inicio!$W$12</f>
        <v/>
      </c>
      <c r="EB91" s="4">
        <f>SUM(CO91:CX91)*Inicio!$W$13</f>
        <v/>
      </c>
      <c r="EC91" s="4">
        <f>SUM(CY91:DH91)*Inicio!$W$11</f>
        <v/>
      </c>
      <c r="ED91" s="4">
        <f>SUM(DI91:DR91)*Inicio!$W$12</f>
        <v/>
      </c>
      <c r="EE91" s="4">
        <f>SUM(C91:DR91)</f>
        <v/>
      </c>
      <c r="EF91" s="4">
        <f>SUM(EE88:EE91)</f>
        <v/>
      </c>
      <c r="EG91" s="4">
        <f>SUM(DS91:ED91)</f>
        <v/>
      </c>
      <c r="EH91" s="4">
        <f>SUM(EG88:EG91)</f>
        <v/>
      </c>
    </row>
    <row r="92" ht="20.25" customHeight="1">
      <c r="B92" s="26" t="inlineStr">
        <is>
          <t>20:45 - 21:00</t>
        </is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5">
        <f>SUM(C92:L92)*Inicio!$W$4</f>
        <v/>
      </c>
      <c r="DT92" s="5">
        <f>SUM(M92:V92)*Inicio!$W$5</f>
        <v/>
      </c>
      <c r="DU92" s="5">
        <f>SUM(W92:AF92)*Inicio!$W$6</f>
        <v/>
      </c>
      <c r="DV92" s="5">
        <f>SUM(AG92:AP92)*Inicio!$W$7</f>
        <v/>
      </c>
      <c r="DW92" s="5">
        <f>SUM(AQ92:AZ92)*Inicio!$W$8</f>
        <v/>
      </c>
      <c r="DX92" s="5">
        <f>SUM(BA92:BJ92)*Inicio!$W$9</f>
        <v/>
      </c>
      <c r="DY92" s="5">
        <f>SUM(BK92:BT92)*Inicio!$W$10</f>
        <v/>
      </c>
      <c r="DZ92" s="5">
        <f>SUM(BU92:CD92)*Inicio!$W$11</f>
        <v/>
      </c>
      <c r="EA92" s="5">
        <f>SUM(CE92:CN92)*Inicio!$W$12</f>
        <v/>
      </c>
      <c r="EB92" s="5">
        <f>SUM(CO92:CX92)*Inicio!$W$13</f>
        <v/>
      </c>
      <c r="EC92" s="5">
        <f>SUM(CY92:DH92)*Inicio!$W$11</f>
        <v/>
      </c>
      <c r="ED92" s="5">
        <f>SUM(DI92:DR92)*Inicio!$W$12</f>
        <v/>
      </c>
      <c r="EE92" s="5">
        <f>SUM(C92:DR92)</f>
        <v/>
      </c>
      <c r="EF92" s="5">
        <f>SUM(EE89:EE92)</f>
        <v/>
      </c>
      <c r="EG92" s="5">
        <f>SUM(DS92:ED92)</f>
        <v/>
      </c>
      <c r="EH92" s="5">
        <f>SUM(EG89:EG92)</f>
        <v/>
      </c>
    </row>
    <row r="93" ht="20.25" customHeight="1">
      <c r="B93" s="27" t="inlineStr">
        <is>
          <t>21:00 - 21:15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  <c r="CE93" s="20" t="n"/>
      <c r="CF93" s="20" t="n"/>
      <c r="CG93" s="20" t="n"/>
      <c r="CH93" s="20" t="n"/>
      <c r="CI93" s="20" t="n"/>
      <c r="CJ93" s="20" t="n"/>
      <c r="CK93" s="20" t="n"/>
      <c r="CL93" s="20" t="n"/>
      <c r="CM93" s="20" t="n"/>
      <c r="CN93" s="20" t="n"/>
      <c r="CO93" s="20" t="n"/>
      <c r="CP93" s="20" t="n"/>
      <c r="CQ93" s="20" t="n"/>
      <c r="CR93" s="20" t="n"/>
      <c r="CS93" s="20" t="n"/>
      <c r="CT93" s="20" t="n"/>
      <c r="CU93" s="20" t="n"/>
      <c r="CV93" s="20" t="n"/>
      <c r="CW93" s="20" t="n"/>
      <c r="CX93" s="20" t="n"/>
      <c r="CY93" s="20" t="n"/>
      <c r="CZ93" s="20" t="n"/>
      <c r="DA93" s="20" t="n"/>
      <c r="DB93" s="20" t="n"/>
      <c r="DC93" s="20" t="n"/>
      <c r="DD93" s="20" t="n"/>
      <c r="DE93" s="20" t="n"/>
      <c r="DF93" s="20" t="n"/>
      <c r="DG93" s="20" t="n"/>
      <c r="DH93" s="20" t="n"/>
      <c r="DI93" s="20" t="n"/>
      <c r="DJ93" s="20" t="n"/>
      <c r="DK93" s="20" t="n"/>
      <c r="DL93" s="20" t="n"/>
      <c r="DM93" s="20" t="n"/>
      <c r="DN93" s="20" t="n"/>
      <c r="DO93" s="20" t="n"/>
      <c r="DP93" s="20" t="n"/>
      <c r="DQ93" s="20" t="n"/>
      <c r="DR93" s="20" t="n"/>
      <c r="DS93" s="3">
        <f>SUM(C93:L93)*Inicio!$W$4</f>
        <v/>
      </c>
      <c r="DT93" s="3">
        <f>SUM(M93:V93)*Inicio!$W$5</f>
        <v/>
      </c>
      <c r="DU93" s="3">
        <f>SUM(W93:AF93)*Inicio!$W$6</f>
        <v/>
      </c>
      <c r="DV93" s="3">
        <f>SUM(AG93:AP93)*Inicio!$W$7</f>
        <v/>
      </c>
      <c r="DW93" s="3">
        <f>SUM(AQ93:AZ93)*Inicio!$W$8</f>
        <v/>
      </c>
      <c r="DX93" s="3">
        <f>SUM(BA93:BJ93)*Inicio!$W$9</f>
        <v/>
      </c>
      <c r="DY93" s="3">
        <f>SUM(BK93:BT93)*Inicio!$W$10</f>
        <v/>
      </c>
      <c r="DZ93" s="3">
        <f>SUM(BU93:CD93)*Inicio!$W$11</f>
        <v/>
      </c>
      <c r="EA93" s="3">
        <f>SUM(CE93:CN93)*Inicio!$W$12</f>
        <v/>
      </c>
      <c r="EB93" s="3">
        <f>SUM(CO93:CX93)*Inicio!$W$13</f>
        <v/>
      </c>
      <c r="EC93" s="3">
        <f>SUM(CY93:DH93)*Inicio!$W$11</f>
        <v/>
      </c>
      <c r="ED93" s="3">
        <f>SUM(DI93:DR93)*Inicio!$W$12</f>
        <v/>
      </c>
      <c r="EE93" s="3">
        <f>SUM(C93:DR93)</f>
        <v/>
      </c>
      <c r="EF93" s="3">
        <f>SUM(EE90:EE93)</f>
        <v/>
      </c>
      <c r="EG93" s="3">
        <f>SUM(DS93:ED93)</f>
        <v/>
      </c>
      <c r="EH93" s="3">
        <f>SUM(EG90:EG93)</f>
        <v/>
      </c>
    </row>
    <row r="94" ht="20.25" customHeight="1">
      <c r="B94" s="28" t="inlineStr">
        <is>
          <t>21:15 - 21:30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4">
        <f>SUM(C94:L94)*Inicio!$W$4</f>
        <v/>
      </c>
      <c r="DT94" s="4">
        <f>SUM(M94:V94)*Inicio!$W$5</f>
        <v/>
      </c>
      <c r="DU94" s="4">
        <f>SUM(W94:AF94)*Inicio!$W$6</f>
        <v/>
      </c>
      <c r="DV94" s="4">
        <f>SUM(AG94:AP94)*Inicio!$W$7</f>
        <v/>
      </c>
      <c r="DW94" s="4">
        <f>SUM(AQ94:AZ94)*Inicio!$W$8</f>
        <v/>
      </c>
      <c r="DX94" s="4">
        <f>SUM(BA94:BJ94)*Inicio!$W$9</f>
        <v/>
      </c>
      <c r="DY94" s="4">
        <f>SUM(BK94:BT94)*Inicio!$W$10</f>
        <v/>
      </c>
      <c r="DZ94" s="4">
        <f>SUM(BU94:CD94)*Inicio!$W$11</f>
        <v/>
      </c>
      <c r="EA94" s="4">
        <f>SUM(CE94:CN94)*Inicio!$W$12</f>
        <v/>
      </c>
      <c r="EB94" s="4">
        <f>SUM(CO94:CX94)*Inicio!$W$13</f>
        <v/>
      </c>
      <c r="EC94" s="4">
        <f>SUM(CY94:DH94)*Inicio!$W$11</f>
        <v/>
      </c>
      <c r="ED94" s="4">
        <f>SUM(DI94:DR94)*Inicio!$W$12</f>
        <v/>
      </c>
      <c r="EE94" s="4">
        <f>SUM(C94:DR94)</f>
        <v/>
      </c>
      <c r="EF94" s="4">
        <f>SUM(EE91:EE94)</f>
        <v/>
      </c>
      <c r="EG94" s="4">
        <f>SUM(DS94:ED94)</f>
        <v/>
      </c>
      <c r="EH94" s="4">
        <f>SUM(EG91:EG94)</f>
        <v/>
      </c>
    </row>
    <row r="95" ht="20.25" customHeight="1">
      <c r="B95" s="28" t="inlineStr">
        <is>
          <t>21:30 - 21:45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4">
        <f>SUM(C95:L95)*Inicio!$W$4</f>
        <v/>
      </c>
      <c r="DT95" s="4">
        <f>SUM(M95:V95)*Inicio!$W$5</f>
        <v/>
      </c>
      <c r="DU95" s="4">
        <f>SUM(W95:AF95)*Inicio!$W$6</f>
        <v/>
      </c>
      <c r="DV95" s="4">
        <f>SUM(AG95:AP95)*Inicio!$W$7</f>
        <v/>
      </c>
      <c r="DW95" s="4">
        <f>SUM(AQ95:AZ95)*Inicio!$W$8</f>
        <v/>
      </c>
      <c r="DX95" s="4">
        <f>SUM(BA95:BJ95)*Inicio!$W$9</f>
        <v/>
      </c>
      <c r="DY95" s="4">
        <f>SUM(BK95:BT95)*Inicio!$W$10</f>
        <v/>
      </c>
      <c r="DZ95" s="4">
        <f>SUM(BU95:CD95)*Inicio!$W$11</f>
        <v/>
      </c>
      <c r="EA95" s="4">
        <f>SUM(CE95:CN95)*Inicio!$W$12</f>
        <v/>
      </c>
      <c r="EB95" s="4">
        <f>SUM(CO95:CX95)*Inicio!$W$13</f>
        <v/>
      </c>
      <c r="EC95" s="4">
        <f>SUM(CY95:DH95)*Inicio!$W$11</f>
        <v/>
      </c>
      <c r="ED95" s="4">
        <f>SUM(DI95:DR95)*Inicio!$W$12</f>
        <v/>
      </c>
      <c r="EE95" s="4">
        <f>SUM(C95:DR95)</f>
        <v/>
      </c>
      <c r="EF95" s="4">
        <f>SUM(EE92:EE95)</f>
        <v/>
      </c>
      <c r="EG95" s="4">
        <f>SUM(DS95:ED95)</f>
        <v/>
      </c>
      <c r="EH95" s="4">
        <f>SUM(EG92:EG95)</f>
        <v/>
      </c>
    </row>
    <row r="96" ht="20.25" customHeight="1">
      <c r="B96" s="26" t="inlineStr">
        <is>
          <t>21:45 - 22:00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5">
        <f>SUM(C96:L96)*Inicio!$W$4</f>
        <v/>
      </c>
      <c r="DT96" s="5">
        <f>SUM(M96:V96)*Inicio!$W$5</f>
        <v/>
      </c>
      <c r="DU96" s="5">
        <f>SUM(W96:AF96)*Inicio!$W$6</f>
        <v/>
      </c>
      <c r="DV96" s="5">
        <f>SUM(AG96:AP96)*Inicio!$W$7</f>
        <v/>
      </c>
      <c r="DW96" s="5">
        <f>SUM(AQ96:AZ96)*Inicio!$W$8</f>
        <v/>
      </c>
      <c r="DX96" s="5">
        <f>SUM(BA96:BJ96)*Inicio!$W$9</f>
        <v/>
      </c>
      <c r="DY96" s="5">
        <f>SUM(BK96:BT96)*Inicio!$W$10</f>
        <v/>
      </c>
      <c r="DZ96" s="5">
        <f>SUM(BU96:CD96)*Inicio!$W$11</f>
        <v/>
      </c>
      <c r="EA96" s="5">
        <f>SUM(CE96:CN96)*Inicio!$W$12</f>
        <v/>
      </c>
      <c r="EB96" s="5">
        <f>SUM(CO96:CX96)*Inicio!$W$13</f>
        <v/>
      </c>
      <c r="EC96" s="5">
        <f>SUM(CY96:DH96)*Inicio!$W$11</f>
        <v/>
      </c>
      <c r="ED96" s="5">
        <f>SUM(DI96:DR96)*Inicio!$W$12</f>
        <v/>
      </c>
      <c r="EE96" s="5">
        <f>SUM(C96:DR96)</f>
        <v/>
      </c>
      <c r="EF96" s="5">
        <f>SUM(EE93:EE96)</f>
        <v/>
      </c>
      <c r="EG96" s="5">
        <f>SUM(DS96:ED96)</f>
        <v/>
      </c>
      <c r="EH96" s="5">
        <f>SUM(EG93:EG96)</f>
        <v/>
      </c>
    </row>
    <row r="97" ht="20.25" customHeight="1">
      <c r="B97" s="27" t="inlineStr">
        <is>
          <t>22:00 - 22:15</t>
        </is>
      </c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/>
      <c r="BT97" s="20" t="n"/>
      <c r="BU97" s="20" t="n"/>
      <c r="BV97" s="20" t="n"/>
      <c r="BW97" s="20" t="n"/>
      <c r="BX97" s="20" t="n"/>
      <c r="BY97" s="20" t="n"/>
      <c r="BZ97" s="20" t="n"/>
      <c r="CA97" s="20" t="n"/>
      <c r="CB97" s="20" t="n"/>
      <c r="CC97" s="20" t="n"/>
      <c r="CD97" s="20" t="n"/>
      <c r="CE97" s="20" t="n"/>
      <c r="CF97" s="20" t="n"/>
      <c r="CG97" s="20" t="n"/>
      <c r="CH97" s="20" t="n"/>
      <c r="CI97" s="20" t="n"/>
      <c r="CJ97" s="20" t="n"/>
      <c r="CK97" s="20" t="n"/>
      <c r="CL97" s="20" t="n"/>
      <c r="CM97" s="20" t="n"/>
      <c r="CN97" s="20" t="n"/>
      <c r="CO97" s="20" t="n"/>
      <c r="CP97" s="20" t="n"/>
      <c r="CQ97" s="20" t="n"/>
      <c r="CR97" s="20" t="n"/>
      <c r="CS97" s="20" t="n"/>
      <c r="CT97" s="20" t="n"/>
      <c r="CU97" s="20" t="n"/>
      <c r="CV97" s="20" t="n"/>
      <c r="CW97" s="20" t="n"/>
      <c r="CX97" s="20" t="n"/>
      <c r="CY97" s="20" t="n"/>
      <c r="CZ97" s="20" t="n"/>
      <c r="DA97" s="20" t="n"/>
      <c r="DB97" s="20" t="n"/>
      <c r="DC97" s="20" t="n"/>
      <c r="DD97" s="20" t="n"/>
      <c r="DE97" s="20" t="n"/>
      <c r="DF97" s="20" t="n"/>
      <c r="DG97" s="20" t="n"/>
      <c r="DH97" s="20" t="n"/>
      <c r="DI97" s="20" t="n"/>
      <c r="DJ97" s="20" t="n"/>
      <c r="DK97" s="20" t="n"/>
      <c r="DL97" s="20" t="n"/>
      <c r="DM97" s="20" t="n"/>
      <c r="DN97" s="20" t="n"/>
      <c r="DO97" s="20" t="n"/>
      <c r="DP97" s="20" t="n"/>
      <c r="DQ97" s="20" t="n"/>
      <c r="DR97" s="20" t="n"/>
      <c r="DS97" s="3">
        <f>SUM(C97:L97)*Inicio!$W$4</f>
        <v/>
      </c>
      <c r="DT97" s="3">
        <f>SUM(M97:V97)*Inicio!$W$5</f>
        <v/>
      </c>
      <c r="DU97" s="3">
        <f>SUM(W97:AF97)*Inicio!$W$6</f>
        <v/>
      </c>
      <c r="DV97" s="3">
        <f>SUM(AG97:AP97)*Inicio!$W$7</f>
        <v/>
      </c>
      <c r="DW97" s="3">
        <f>SUM(AQ97:AZ97)*Inicio!$W$8</f>
        <v/>
      </c>
      <c r="DX97" s="3">
        <f>SUM(BA97:BJ97)*Inicio!$W$9</f>
        <v/>
      </c>
      <c r="DY97" s="3">
        <f>SUM(BK97:BT97)*Inicio!$W$10</f>
        <v/>
      </c>
      <c r="DZ97" s="3">
        <f>SUM(BU97:CD97)*Inicio!$W$11</f>
        <v/>
      </c>
      <c r="EA97" s="3">
        <f>SUM(CE97:CN97)*Inicio!$W$12</f>
        <v/>
      </c>
      <c r="EB97" s="3">
        <f>SUM(CO97:CX97)*Inicio!$W$13</f>
        <v/>
      </c>
      <c r="EC97" s="3">
        <f>SUM(CY97:DH97)*Inicio!$W$11</f>
        <v/>
      </c>
      <c r="ED97" s="3">
        <f>SUM(DI97:DR97)*Inicio!$W$12</f>
        <v/>
      </c>
      <c r="EE97" s="3">
        <f>SUM(C97:DR97)</f>
        <v/>
      </c>
      <c r="EF97" s="3">
        <f>SUM(EE94:EE97)</f>
        <v/>
      </c>
      <c r="EG97" s="3">
        <f>SUM(DS97:ED97)</f>
        <v/>
      </c>
      <c r="EH97" s="3">
        <f>SUM(EG94:EG97)</f>
        <v/>
      </c>
    </row>
    <row r="98" ht="20.25" customHeight="1">
      <c r="B98" s="28" t="inlineStr">
        <is>
          <t>22:15 - 22:30</t>
        </is>
      </c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4">
        <f>SUM(C98:L98)*Inicio!$W$4</f>
        <v/>
      </c>
      <c r="DT98" s="4">
        <f>SUM(M98:V98)*Inicio!$W$5</f>
        <v/>
      </c>
      <c r="DU98" s="4">
        <f>SUM(W98:AF98)*Inicio!$W$6</f>
        <v/>
      </c>
      <c r="DV98" s="4">
        <f>SUM(AG98:AP98)*Inicio!$W$7</f>
        <v/>
      </c>
      <c r="DW98" s="4">
        <f>SUM(AQ98:AZ98)*Inicio!$W$8</f>
        <v/>
      </c>
      <c r="DX98" s="4">
        <f>SUM(BA98:BJ98)*Inicio!$W$9</f>
        <v/>
      </c>
      <c r="DY98" s="4">
        <f>SUM(BK98:BT98)*Inicio!$W$10</f>
        <v/>
      </c>
      <c r="DZ98" s="4">
        <f>SUM(BU98:CD98)*Inicio!$W$11</f>
        <v/>
      </c>
      <c r="EA98" s="4">
        <f>SUM(CE98:CN98)*Inicio!$W$12</f>
        <v/>
      </c>
      <c r="EB98" s="4">
        <f>SUM(CO98:CX98)*Inicio!$W$13</f>
        <v/>
      </c>
      <c r="EC98" s="4">
        <f>SUM(CY98:DH98)*Inicio!$W$11</f>
        <v/>
      </c>
      <c r="ED98" s="4">
        <f>SUM(DI98:DR98)*Inicio!$W$12</f>
        <v/>
      </c>
      <c r="EE98" s="4">
        <f>SUM(C98:DR98)</f>
        <v/>
      </c>
      <c r="EF98" s="4">
        <f>SUM(EE95:EE98)</f>
        <v/>
      </c>
      <c r="EG98" s="4">
        <f>SUM(DS98:ED98)</f>
        <v/>
      </c>
      <c r="EH98" s="4">
        <f>SUM(EG95:EG98)</f>
        <v/>
      </c>
    </row>
    <row r="99" ht="20.25" customHeight="1">
      <c r="B99" s="28" t="inlineStr">
        <is>
          <t>22:30 - 22:45</t>
        </is>
      </c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4">
        <f>SUM(C99:L99)*Inicio!$W$4</f>
        <v/>
      </c>
      <c r="DT99" s="4">
        <f>SUM(M99:V99)*Inicio!$W$5</f>
        <v/>
      </c>
      <c r="DU99" s="4">
        <f>SUM(W99:AF99)*Inicio!$W$6</f>
        <v/>
      </c>
      <c r="DV99" s="4">
        <f>SUM(AG99:AP99)*Inicio!$W$7</f>
        <v/>
      </c>
      <c r="DW99" s="4">
        <f>SUM(AQ99:AZ99)*Inicio!$W$8</f>
        <v/>
      </c>
      <c r="DX99" s="4">
        <f>SUM(BA99:BJ99)*Inicio!$W$9</f>
        <v/>
      </c>
      <c r="DY99" s="4">
        <f>SUM(BK99:BT99)*Inicio!$W$10</f>
        <v/>
      </c>
      <c r="DZ99" s="4">
        <f>SUM(BU99:CD99)*Inicio!$W$11</f>
        <v/>
      </c>
      <c r="EA99" s="4">
        <f>SUM(CE99:CN99)*Inicio!$W$12</f>
        <v/>
      </c>
      <c r="EB99" s="4">
        <f>SUM(CO99:CX99)*Inicio!$W$13</f>
        <v/>
      </c>
      <c r="EC99" s="4">
        <f>SUM(CY99:DH99)*Inicio!$W$11</f>
        <v/>
      </c>
      <c r="ED99" s="4">
        <f>SUM(DI99:DR99)*Inicio!$W$12</f>
        <v/>
      </c>
      <c r="EE99" s="4">
        <f>SUM(C99:DR99)</f>
        <v/>
      </c>
      <c r="EF99" s="4">
        <f>SUM(EE96:EE99)</f>
        <v/>
      </c>
      <c r="EG99" s="4">
        <f>SUM(DS99:ED99)</f>
        <v/>
      </c>
      <c r="EH99" s="4">
        <f>SUM(EG96:EG99)</f>
        <v/>
      </c>
    </row>
    <row r="100" ht="20.25" customHeight="1">
      <c r="B100" s="26" t="inlineStr">
        <is>
          <t>22:45 - 23:00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5">
        <f>SUM(C100:L100)*Inicio!$W$4</f>
        <v/>
      </c>
      <c r="DT100" s="5">
        <f>SUM(M100:V100)*Inicio!$W$5</f>
        <v/>
      </c>
      <c r="DU100" s="5">
        <f>SUM(W100:AF100)*Inicio!$W$6</f>
        <v/>
      </c>
      <c r="DV100" s="5">
        <f>SUM(AG100:AP100)*Inicio!$W$7</f>
        <v/>
      </c>
      <c r="DW100" s="5">
        <f>SUM(AQ100:AZ100)*Inicio!$W$8</f>
        <v/>
      </c>
      <c r="DX100" s="5">
        <f>SUM(BA100:BJ100)*Inicio!$W$9</f>
        <v/>
      </c>
      <c r="DY100" s="5">
        <f>SUM(BK100:BT100)*Inicio!$W$10</f>
        <v/>
      </c>
      <c r="DZ100" s="5">
        <f>SUM(BU100:CD100)*Inicio!$W$11</f>
        <v/>
      </c>
      <c r="EA100" s="5">
        <f>SUM(CE100:CN100)*Inicio!$W$12</f>
        <v/>
      </c>
      <c r="EB100" s="5">
        <f>SUM(CO100:CX100)*Inicio!$W$13</f>
        <v/>
      </c>
      <c r="EC100" s="5">
        <f>SUM(CY100:DH100)*Inicio!$W$11</f>
        <v/>
      </c>
      <c r="ED100" s="5">
        <f>SUM(DI100:DR100)*Inicio!$W$12</f>
        <v/>
      </c>
      <c r="EE100" s="5">
        <f>SUM(C100:DR100)</f>
        <v/>
      </c>
      <c r="EF100" s="5">
        <f>SUM(EE97:EE100)</f>
        <v/>
      </c>
      <c r="EG100" s="5">
        <f>SUM(DS100:ED100)</f>
        <v/>
      </c>
      <c r="EH100" s="5">
        <f>SUM(EG97:EG100)</f>
        <v/>
      </c>
    </row>
    <row r="101" ht="20.25" customHeight="1">
      <c r="B101" s="23" t="inlineStr">
        <is>
          <t>23:00 - 23:15</t>
        </is>
      </c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/>
      <c r="CA101" s="20" t="n"/>
      <c r="CB101" s="20" t="n"/>
      <c r="CC101" s="20" t="n"/>
      <c r="CD101" s="20" t="n"/>
      <c r="CE101" s="20" t="n"/>
      <c r="CF101" s="20" t="n"/>
      <c r="CG101" s="20" t="n"/>
      <c r="CH101" s="20" t="n"/>
      <c r="CI101" s="20" t="n"/>
      <c r="CJ101" s="20" t="n"/>
      <c r="CK101" s="20" t="n"/>
      <c r="CL101" s="20" t="n"/>
      <c r="CM101" s="20" t="n"/>
      <c r="CN101" s="20" t="n"/>
      <c r="CO101" s="20" t="n"/>
      <c r="CP101" s="20" t="n"/>
      <c r="CQ101" s="20" t="n"/>
      <c r="CR101" s="20" t="n"/>
      <c r="CS101" s="20" t="n"/>
      <c r="CT101" s="20" t="n"/>
      <c r="CU101" s="20" t="n"/>
      <c r="CV101" s="20" t="n"/>
      <c r="CW101" s="20" t="n"/>
      <c r="CX101" s="20" t="n"/>
      <c r="CY101" s="20" t="n"/>
      <c r="CZ101" s="20" t="n"/>
      <c r="DA101" s="20" t="n"/>
      <c r="DB101" s="20" t="n"/>
      <c r="DC101" s="20" t="n"/>
      <c r="DD101" s="20" t="n"/>
      <c r="DE101" s="20" t="n"/>
      <c r="DF101" s="20" t="n"/>
      <c r="DG101" s="20" t="n"/>
      <c r="DH101" s="20" t="n"/>
      <c r="DI101" s="20" t="n"/>
      <c r="DJ101" s="20" t="n"/>
      <c r="DK101" s="20" t="n"/>
      <c r="DL101" s="20" t="n"/>
      <c r="DM101" s="20" t="n"/>
      <c r="DN101" s="20" t="n"/>
      <c r="DO101" s="20" t="n"/>
      <c r="DP101" s="20" t="n"/>
      <c r="DQ101" s="20" t="n"/>
      <c r="DR101" s="20" t="n"/>
      <c r="DS101" s="4">
        <f>SUM(C101:L101)*Inicio!$W$4</f>
        <v/>
      </c>
      <c r="DT101" s="4">
        <f>SUM(M101:V101)*Inicio!$W$5</f>
        <v/>
      </c>
      <c r="DU101" s="4">
        <f>SUM(W101:AF101)*Inicio!$W$6</f>
        <v/>
      </c>
      <c r="DV101" s="4">
        <f>SUM(AG101:AP101)*Inicio!$W$7</f>
        <v/>
      </c>
      <c r="DW101" s="4">
        <f>SUM(AQ101:AZ101)*Inicio!$W$8</f>
        <v/>
      </c>
      <c r="DX101" s="4">
        <f>SUM(BA101:BJ101)*Inicio!$W$9</f>
        <v/>
      </c>
      <c r="DY101" s="4">
        <f>SUM(BK101:BT101)*Inicio!$W$10</f>
        <v/>
      </c>
      <c r="DZ101" s="4">
        <f>SUM(BU101:CD101)*Inicio!$W$11</f>
        <v/>
      </c>
      <c r="EA101" s="4">
        <f>SUM(CE101:CN101)*Inicio!$W$12</f>
        <v/>
      </c>
      <c r="EB101" s="4">
        <f>SUM(CO101:CX101)*Inicio!$W$13</f>
        <v/>
      </c>
      <c r="EC101" s="4">
        <f>SUM(CY101:DH101)*Inicio!$W$11</f>
        <v/>
      </c>
      <c r="ED101" s="4">
        <f>SUM(DI101:DR101)*Inicio!$W$12</f>
        <v/>
      </c>
      <c r="EE101" s="4">
        <f>SUM(C101:DR101)</f>
        <v/>
      </c>
      <c r="EF101" s="4">
        <f>SUM(EE98:EE101)</f>
        <v/>
      </c>
      <c r="EG101" s="4">
        <f>SUM(DS101:ED101)</f>
        <v/>
      </c>
      <c r="EH101" s="4">
        <f>SUM(EG98:EG101)</f>
        <v/>
      </c>
    </row>
    <row r="102" ht="20.25" customHeight="1">
      <c r="B102" s="24" t="inlineStr">
        <is>
          <t>23:15 - 23:30</t>
        </is>
      </c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4">
        <f>SUM(C102:L102)*Inicio!$W$4</f>
        <v/>
      </c>
      <c r="DT102" s="4">
        <f>SUM(M102:V102)*Inicio!$W$5</f>
        <v/>
      </c>
      <c r="DU102" s="4">
        <f>SUM(W102:AF102)*Inicio!$W$6</f>
        <v/>
      </c>
      <c r="DV102" s="4">
        <f>SUM(AG102:AP102)*Inicio!$W$7</f>
        <v/>
      </c>
      <c r="DW102" s="4">
        <f>SUM(AQ102:AZ102)*Inicio!$W$8</f>
        <v/>
      </c>
      <c r="DX102" s="4">
        <f>SUM(BA102:BJ102)*Inicio!$W$9</f>
        <v/>
      </c>
      <c r="DY102" s="4">
        <f>SUM(BK102:BT102)*Inicio!$W$10</f>
        <v/>
      </c>
      <c r="DZ102" s="4">
        <f>SUM(BU102:CD102)*Inicio!$W$11</f>
        <v/>
      </c>
      <c r="EA102" s="4">
        <f>SUM(CE102:CN102)*Inicio!$W$12</f>
        <v/>
      </c>
      <c r="EB102" s="4">
        <f>SUM(CO102:CX102)*Inicio!$W$13</f>
        <v/>
      </c>
      <c r="EC102" s="4">
        <f>SUM(CY102:DH102)*Inicio!$W$11</f>
        <v/>
      </c>
      <c r="ED102" s="4">
        <f>SUM(DI102:DR102)*Inicio!$W$12</f>
        <v/>
      </c>
      <c r="EE102" s="4">
        <f>SUM(C102:DR102)</f>
        <v/>
      </c>
      <c r="EF102" s="4">
        <f>SUM(EE99:EE102)</f>
        <v/>
      </c>
      <c r="EG102" s="4">
        <f>SUM(DS102:ED102)</f>
        <v/>
      </c>
      <c r="EH102" s="4">
        <f>SUM(EG99:EG102)</f>
        <v/>
      </c>
    </row>
    <row r="103" ht="20.25" customHeight="1">
      <c r="B103" s="24" t="inlineStr">
        <is>
          <t>23:30 - 23:45</t>
        </is>
      </c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4">
        <f>SUM(C103:L103)*Inicio!$W$4</f>
        <v/>
      </c>
      <c r="DT103" s="4">
        <f>SUM(M103:V103)*Inicio!$W$5</f>
        <v/>
      </c>
      <c r="DU103" s="4">
        <f>SUM(W103:AF103)*Inicio!$W$6</f>
        <v/>
      </c>
      <c r="DV103" s="4">
        <f>SUM(AG103:AP103)*Inicio!$W$7</f>
        <v/>
      </c>
      <c r="DW103" s="4">
        <f>SUM(AQ103:AZ103)*Inicio!$W$8</f>
        <v/>
      </c>
      <c r="DX103" s="4">
        <f>SUM(BA103:BJ103)*Inicio!$W$9</f>
        <v/>
      </c>
      <c r="DY103" s="4">
        <f>SUM(BK103:BT103)*Inicio!$W$10</f>
        <v/>
      </c>
      <c r="DZ103" s="4">
        <f>SUM(BU103:CD103)*Inicio!$W$11</f>
        <v/>
      </c>
      <c r="EA103" s="4">
        <f>SUM(CE103:CN103)*Inicio!$W$12</f>
        <v/>
      </c>
      <c r="EB103" s="4">
        <f>SUM(CO103:CX103)*Inicio!$W$13</f>
        <v/>
      </c>
      <c r="EC103" s="4">
        <f>SUM(CY103:DH103)*Inicio!$W$11</f>
        <v/>
      </c>
      <c r="ED103" s="4">
        <f>SUM(DI103:DR103)*Inicio!$W$12</f>
        <v/>
      </c>
      <c r="EE103" s="4">
        <f>SUM(C103:DR103)</f>
        <v/>
      </c>
      <c r="EF103" s="4">
        <f>SUM(EE100:EE103)</f>
        <v/>
      </c>
      <c r="EG103" s="4">
        <f>SUM(DS103:ED103)</f>
        <v/>
      </c>
      <c r="EH103" s="4">
        <f>SUM(EG100:EG103)</f>
        <v/>
      </c>
    </row>
    <row r="104" ht="20.25" customHeight="1">
      <c r="B104" s="25" t="inlineStr">
        <is>
          <t>23:45 - 24:00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5">
        <f>SUM(C104:L104)*Inicio!$W$4</f>
        <v/>
      </c>
      <c r="DT104" s="5">
        <f>SUM(M104:V104)*Inicio!$W$5</f>
        <v/>
      </c>
      <c r="DU104" s="5">
        <f>SUM(W104:AF104)*Inicio!$W$6</f>
        <v/>
      </c>
      <c r="DV104" s="5">
        <f>SUM(AG104:AP104)*Inicio!$W$7</f>
        <v/>
      </c>
      <c r="DW104" s="5">
        <f>SUM(AQ104:AZ104)*Inicio!$W$8</f>
        <v/>
      </c>
      <c r="DX104" s="5">
        <f>SUM(BA104:BJ104)*Inicio!$W$9</f>
        <v/>
      </c>
      <c r="DY104" s="5">
        <f>SUM(BK104:BT104)*Inicio!$W$10</f>
        <v/>
      </c>
      <c r="DZ104" s="5">
        <f>SUM(BU104:CD104)*Inicio!$W$11</f>
        <v/>
      </c>
      <c r="EA104" s="5">
        <f>SUM(CE104:CN104)*Inicio!$W$12</f>
        <v/>
      </c>
      <c r="EB104" s="5">
        <f>SUM(CO104:CX104)*Inicio!$W$13</f>
        <v/>
      </c>
      <c r="EC104" s="5">
        <f>SUM(CY104:DH104)*Inicio!$W$11</f>
        <v/>
      </c>
      <c r="ED104" s="5">
        <f>SUM(DI104:DR104)*Inicio!$W$12</f>
        <v/>
      </c>
      <c r="EE104" s="5">
        <f>SUM(C104:DR104)</f>
        <v/>
      </c>
      <c r="EF104" s="5">
        <f>SUM(EE101:EE104)</f>
        <v/>
      </c>
      <c r="EG104" s="5">
        <f>SUM(DS104:ED104)</f>
        <v/>
      </c>
      <c r="EH104" s="5">
        <f>SUM(EG101:EG104)</f>
        <v/>
      </c>
    </row>
    <row r="105" ht="20.25" customHeight="1">
      <c r="B105" s="6" t="inlineStr">
        <is>
          <t>Madrugada</t>
        </is>
      </c>
      <c r="C105" s="7">
        <f>SUM(C9:C32)</f>
        <v/>
      </c>
      <c r="D105" s="7">
        <f>SUM(D9:D32)</f>
        <v/>
      </c>
      <c r="E105" s="7">
        <f>SUM(E9:E32)</f>
        <v/>
      </c>
      <c r="F105" s="7">
        <f>SUM(F9:F32)</f>
        <v/>
      </c>
      <c r="G105" s="7">
        <f>SUM(G9:G32)</f>
        <v/>
      </c>
      <c r="H105" s="7">
        <f>SUM(H9:H32)</f>
        <v/>
      </c>
      <c r="I105" s="7">
        <f>SUM(I9:I32)</f>
        <v/>
      </c>
      <c r="J105" s="7">
        <f>SUM(J9:J32)</f>
        <v/>
      </c>
      <c r="K105" s="7">
        <f>SUM(K9:K32)</f>
        <v/>
      </c>
      <c r="L105" s="7">
        <f>SUM(L9:L32)</f>
        <v/>
      </c>
      <c r="M105" s="7">
        <f>SUM(M9:M32)</f>
        <v/>
      </c>
      <c r="N105" s="7">
        <f>SUM(N9:N32)</f>
        <v/>
      </c>
      <c r="O105" s="7">
        <f>SUM(O9:O32)</f>
        <v/>
      </c>
      <c r="P105" s="7">
        <f>SUM(P9:P32)</f>
        <v/>
      </c>
      <c r="Q105" s="7">
        <f>SUM(Q9:Q32)</f>
        <v/>
      </c>
      <c r="R105" s="7">
        <f>SUM(R9:R32)</f>
        <v/>
      </c>
      <c r="S105" s="7">
        <f>SUM(S9:S32)</f>
        <v/>
      </c>
      <c r="T105" s="7">
        <f>SUM(T9:T32)</f>
        <v/>
      </c>
      <c r="U105" s="7">
        <f>SUM(U9:U32)</f>
        <v/>
      </c>
      <c r="V105" s="7">
        <f>SUM(V9:V32)</f>
        <v/>
      </c>
      <c r="W105" s="7">
        <f>SUM(W9:W32)</f>
        <v/>
      </c>
      <c r="X105" s="7">
        <f>SUM(X9:X32)</f>
        <v/>
      </c>
      <c r="Y105" s="7">
        <f>SUM(Y9:Y32)</f>
        <v/>
      </c>
      <c r="Z105" s="7">
        <f>SUM(Z9:Z32)</f>
        <v/>
      </c>
      <c r="AA105" s="7">
        <f>SUM(AA9:AA32)</f>
        <v/>
      </c>
      <c r="AB105" s="7">
        <f>SUM(AB9:AB32)</f>
        <v/>
      </c>
      <c r="AC105" s="7">
        <f>SUM(AC9:AC32)</f>
        <v/>
      </c>
      <c r="AD105" s="7">
        <f>SUM(AD9:AD32)</f>
        <v/>
      </c>
      <c r="AE105" s="7">
        <f>SUM(AE9:AE32)</f>
        <v/>
      </c>
      <c r="AF105" s="7">
        <f>SUM(AF9:AF32)</f>
        <v/>
      </c>
      <c r="AG105" s="7">
        <f>SUM(AG9:AG32)</f>
        <v/>
      </c>
      <c r="AH105" s="7">
        <f>SUM(AH9:AH32)</f>
        <v/>
      </c>
      <c r="AI105" s="7">
        <f>SUM(AI9:AI32)</f>
        <v/>
      </c>
      <c r="AJ105" s="7">
        <f>SUM(AJ9:AJ32)</f>
        <v/>
      </c>
      <c r="AK105" s="7">
        <f>SUM(AK9:AK32)</f>
        <v/>
      </c>
      <c r="AL105" s="7">
        <f>SUM(AL9:AL32)</f>
        <v/>
      </c>
      <c r="AM105" s="7">
        <f>SUM(AM9:AM32)</f>
        <v/>
      </c>
      <c r="AN105" s="7">
        <f>SUM(AN9:AN32)</f>
        <v/>
      </c>
      <c r="AO105" s="7">
        <f>SUM(AO9:AO32)</f>
        <v/>
      </c>
      <c r="AP105" s="7">
        <f>SUM(AP9:AP32)</f>
        <v/>
      </c>
      <c r="AQ105" s="7">
        <f>SUM(AQ9:AQ32)</f>
        <v/>
      </c>
      <c r="AR105" s="7">
        <f>SUM(AR9:AR32)</f>
        <v/>
      </c>
      <c r="AS105" s="7">
        <f>SUM(AS9:AS32)</f>
        <v/>
      </c>
      <c r="AT105" s="7">
        <f>SUM(AT9:AT32)</f>
        <v/>
      </c>
      <c r="AU105" s="7">
        <f>SUM(AU9:AU32)</f>
        <v/>
      </c>
      <c r="AV105" s="7">
        <f>SUM(AV9:AV32)</f>
        <v/>
      </c>
      <c r="AW105" s="7">
        <f>SUM(AW9:AW32)</f>
        <v/>
      </c>
      <c r="AX105" s="7">
        <f>SUM(AX9:AX32)</f>
        <v/>
      </c>
      <c r="AY105" s="7">
        <f>SUM(AY9:AY32)</f>
        <v/>
      </c>
      <c r="AZ105" s="7">
        <f>SUM(AZ9:AZ32)</f>
        <v/>
      </c>
      <c r="BA105" s="7">
        <f>SUM(BA9:BA32)</f>
        <v/>
      </c>
      <c r="BB105" s="7">
        <f>SUM(BB9:BB32)</f>
        <v/>
      </c>
      <c r="BC105" s="7">
        <f>SUM(BC9:BC32)</f>
        <v/>
      </c>
      <c r="BD105" s="7">
        <f>SUM(BD9:BD32)</f>
        <v/>
      </c>
      <c r="BE105" s="7">
        <f>SUM(BE9:BE32)</f>
        <v/>
      </c>
      <c r="BF105" s="7">
        <f>SUM(BF9:BF32)</f>
        <v/>
      </c>
      <c r="BG105" s="7">
        <f>SUM(BG9:BG32)</f>
        <v/>
      </c>
      <c r="BH105" s="7">
        <f>SUM(BH9:BH32)</f>
        <v/>
      </c>
      <c r="BI105" s="7">
        <f>SUM(BI9:BI32)</f>
        <v/>
      </c>
      <c r="BJ105" s="7">
        <f>SUM(BJ9:BJ32)</f>
        <v/>
      </c>
      <c r="BK105" s="7">
        <f>SUM(BK9:BK32)</f>
        <v/>
      </c>
      <c r="BL105" s="7">
        <f>SUM(BL9:BL32)</f>
        <v/>
      </c>
      <c r="BM105" s="7">
        <f>SUM(BM9:BM32)</f>
        <v/>
      </c>
      <c r="BN105" s="7">
        <f>SUM(BN9:BN32)</f>
        <v/>
      </c>
      <c r="BO105" s="7">
        <f>SUM(BO9:BO32)</f>
        <v/>
      </c>
      <c r="BP105" s="7">
        <f>SUM(BP9:BP32)</f>
        <v/>
      </c>
      <c r="BQ105" s="7">
        <f>SUM(BQ9:BQ32)</f>
        <v/>
      </c>
      <c r="BR105" s="7">
        <f>SUM(BR9:BR32)</f>
        <v/>
      </c>
      <c r="BS105" s="7">
        <f>SUM(BS9:BS32)</f>
        <v/>
      </c>
      <c r="BT105" s="7">
        <f>SUM(BT9:BT32)</f>
        <v/>
      </c>
      <c r="BU105" s="7">
        <f>SUM(BU9:BU32)</f>
        <v/>
      </c>
      <c r="BV105" s="7">
        <f>SUM(BV9:BV32)</f>
        <v/>
      </c>
      <c r="BW105" s="7">
        <f>SUM(BW9:BW32)</f>
        <v/>
      </c>
      <c r="BX105" s="7">
        <f>SUM(BX9:BX32)</f>
        <v/>
      </c>
      <c r="BY105" s="7">
        <f>SUM(BY9:BY32)</f>
        <v/>
      </c>
      <c r="BZ105" s="7">
        <f>SUM(BZ9:BZ32)</f>
        <v/>
      </c>
      <c r="CA105" s="7">
        <f>SUM(CA9:CA32)</f>
        <v/>
      </c>
      <c r="CB105" s="7">
        <f>SUM(CB9:CB32)</f>
        <v/>
      </c>
      <c r="CC105" s="7">
        <f>SUM(CC9:CC32)</f>
        <v/>
      </c>
      <c r="CD105" s="7">
        <f>SUM(CD9:CD32)</f>
        <v/>
      </c>
      <c r="CE105" s="7">
        <f>SUM(CE9:CE32)</f>
        <v/>
      </c>
      <c r="CF105" s="7">
        <f>SUM(CF9:CF32)</f>
        <v/>
      </c>
      <c r="CG105" s="7">
        <f>SUM(CG9:CG32)</f>
        <v/>
      </c>
      <c r="CH105" s="7">
        <f>SUM(CH9:CH32)</f>
        <v/>
      </c>
      <c r="CI105" s="7">
        <f>SUM(CI9:CI32)</f>
        <v/>
      </c>
      <c r="CJ105" s="7">
        <f>SUM(CJ9:CJ32)</f>
        <v/>
      </c>
      <c r="CK105" s="7">
        <f>SUM(CK9:CK32)</f>
        <v/>
      </c>
      <c r="CL105" s="7">
        <f>SUM(CL9:CL32)</f>
        <v/>
      </c>
      <c r="CM105" s="7">
        <f>SUM(CM9:CM32)</f>
        <v/>
      </c>
      <c r="CN105" s="7">
        <f>SUM(CN9:CN32)</f>
        <v/>
      </c>
      <c r="CO105" s="7">
        <f>SUM(CO9:CO32)</f>
        <v/>
      </c>
      <c r="CP105" s="7">
        <f>SUM(CP9:CP32)</f>
        <v/>
      </c>
      <c r="CQ105" s="7">
        <f>SUM(CQ9:CQ32)</f>
        <v/>
      </c>
      <c r="CR105" s="7">
        <f>SUM(CR9:CR32)</f>
        <v/>
      </c>
      <c r="CS105" s="7">
        <f>SUM(CS9:CS32)</f>
        <v/>
      </c>
      <c r="CT105" s="7">
        <f>SUM(CT9:CT32)</f>
        <v/>
      </c>
      <c r="CU105" s="7">
        <f>SUM(CU9:CU32)</f>
        <v/>
      </c>
      <c r="CV105" s="7">
        <f>SUM(CV9:CV32)</f>
        <v/>
      </c>
      <c r="CW105" s="7">
        <f>SUM(CW9:CW32)</f>
        <v/>
      </c>
      <c r="CX105" s="7">
        <f>SUM(CX9:CX32)</f>
        <v/>
      </c>
      <c r="CY105" s="7">
        <f>SUM(CY9:CY32)</f>
        <v/>
      </c>
      <c r="CZ105" s="7">
        <f>SUM(CZ9:CZ32)</f>
        <v/>
      </c>
      <c r="DA105" s="7">
        <f>SUM(DA9:DA32)</f>
        <v/>
      </c>
      <c r="DB105" s="7">
        <f>SUM(DB9:DB32)</f>
        <v/>
      </c>
      <c r="DC105" s="7">
        <f>SUM(DC9:DC32)</f>
        <v/>
      </c>
      <c r="DD105" s="7">
        <f>SUM(DD9:DD32)</f>
        <v/>
      </c>
      <c r="DE105" s="7">
        <f>SUM(DE9:DE32)</f>
        <v/>
      </c>
      <c r="DF105" s="7">
        <f>SUM(DF9:DF32)</f>
        <v/>
      </c>
      <c r="DG105" s="7">
        <f>SUM(DG9:DG32)</f>
        <v/>
      </c>
      <c r="DH105" s="7">
        <f>SUM(DH9:DH32)</f>
        <v/>
      </c>
      <c r="DI105" s="7">
        <f>SUM(DI9:DI32)</f>
        <v/>
      </c>
      <c r="DJ105" s="7">
        <f>SUM(DJ9:DJ32)</f>
        <v/>
      </c>
      <c r="DK105" s="7">
        <f>SUM(DK9:DK32)</f>
        <v/>
      </c>
      <c r="DL105" s="7">
        <f>SUM(DL9:DL32)</f>
        <v/>
      </c>
      <c r="DM105" s="7">
        <f>SUM(DM9:DM32)</f>
        <v/>
      </c>
      <c r="DN105" s="7">
        <f>SUM(DN9:DN32)</f>
        <v/>
      </c>
      <c r="DO105" s="7">
        <f>SUM(DO9:DO32)</f>
        <v/>
      </c>
      <c r="DP105" s="7">
        <f>SUM(DP9:DP32)</f>
        <v/>
      </c>
      <c r="DQ105" s="7">
        <f>SUM(DQ9:DQ32)</f>
        <v/>
      </c>
      <c r="DR105" s="7">
        <f>SUM(DR9:DR32)</f>
        <v/>
      </c>
      <c r="DS105" s="8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86" t="n"/>
      <c r="ED105" s="86" t="n"/>
      <c r="EE105" s="10" t="n"/>
      <c r="EF105" s="10" t="n"/>
      <c r="EG105" s="10" t="n"/>
      <c r="EH105" s="10" t="n"/>
    </row>
    <row r="106" ht="20.25" customHeight="1">
      <c r="B106" s="6" t="inlineStr">
        <is>
          <t>Mañana</t>
        </is>
      </c>
      <c r="C106" s="7">
        <f>SUM(C33:C56)</f>
        <v/>
      </c>
      <c r="D106" s="7">
        <f>SUM(D33:D56)</f>
        <v/>
      </c>
      <c r="E106" s="7">
        <f>SUM(E33:E56)</f>
        <v/>
      </c>
      <c r="F106" s="7">
        <f>SUM(F33:F56)</f>
        <v/>
      </c>
      <c r="G106" s="7">
        <f>SUM(G33:G56)</f>
        <v/>
      </c>
      <c r="H106" s="7">
        <f>SUM(H33:H56)</f>
        <v/>
      </c>
      <c r="I106" s="7">
        <f>SUM(I33:I56)</f>
        <v/>
      </c>
      <c r="J106" s="7">
        <f>SUM(J33:J56)</f>
        <v/>
      </c>
      <c r="K106" s="7">
        <f>SUM(K33:K56)</f>
        <v/>
      </c>
      <c r="L106" s="7">
        <f>SUM(L33:L56)</f>
        <v/>
      </c>
      <c r="M106" s="7">
        <f>SUM(M33:M56)</f>
        <v/>
      </c>
      <c r="N106" s="7">
        <f>SUM(N33:N56)</f>
        <v/>
      </c>
      <c r="O106" s="7">
        <f>SUM(O33:O56)</f>
        <v/>
      </c>
      <c r="P106" s="7">
        <f>SUM(P33:P56)</f>
        <v/>
      </c>
      <c r="Q106" s="7">
        <f>SUM(Q33:Q56)</f>
        <v/>
      </c>
      <c r="R106" s="7">
        <f>SUM(R33:R56)</f>
        <v/>
      </c>
      <c r="S106" s="7">
        <f>SUM(S33:S56)</f>
        <v/>
      </c>
      <c r="T106" s="7">
        <f>SUM(T33:T56)</f>
        <v/>
      </c>
      <c r="U106" s="7">
        <f>SUM(U33:U56)</f>
        <v/>
      </c>
      <c r="V106" s="7">
        <f>SUM(V33:V56)</f>
        <v/>
      </c>
      <c r="W106" s="7">
        <f>SUM(W33:W56)</f>
        <v/>
      </c>
      <c r="X106" s="7">
        <f>SUM(X33:X56)</f>
        <v/>
      </c>
      <c r="Y106" s="7">
        <f>SUM(Y33:Y56)</f>
        <v/>
      </c>
      <c r="Z106" s="7">
        <f>SUM(Z33:Z56)</f>
        <v/>
      </c>
      <c r="AA106" s="7">
        <f>SUM(AA33:AA56)</f>
        <v/>
      </c>
      <c r="AB106" s="7">
        <f>SUM(AB33:AB56)</f>
        <v/>
      </c>
      <c r="AC106" s="7">
        <f>SUM(AC33:AC56)</f>
        <v/>
      </c>
      <c r="AD106" s="7">
        <f>SUM(AD33:AD56)</f>
        <v/>
      </c>
      <c r="AE106" s="7">
        <f>SUM(AE33:AE56)</f>
        <v/>
      </c>
      <c r="AF106" s="7">
        <f>SUM(AF33:AF56)</f>
        <v/>
      </c>
      <c r="AG106" s="7">
        <f>SUM(AG33:AG56)</f>
        <v/>
      </c>
      <c r="AH106" s="7">
        <f>SUM(AH33:AH56)</f>
        <v/>
      </c>
      <c r="AI106" s="7">
        <f>SUM(AI33:AI56)</f>
        <v/>
      </c>
      <c r="AJ106" s="7">
        <f>SUM(AJ33:AJ56)</f>
        <v/>
      </c>
      <c r="AK106" s="7">
        <f>SUM(AK33:AK56)</f>
        <v/>
      </c>
      <c r="AL106" s="7">
        <f>SUM(AL33:AL56)</f>
        <v/>
      </c>
      <c r="AM106" s="7">
        <f>SUM(AM33:AM56)</f>
        <v/>
      </c>
      <c r="AN106" s="7">
        <f>SUM(AN33:AN56)</f>
        <v/>
      </c>
      <c r="AO106" s="7">
        <f>SUM(AO33:AO56)</f>
        <v/>
      </c>
      <c r="AP106" s="7">
        <f>SUM(AP33:AP56)</f>
        <v/>
      </c>
      <c r="AQ106" s="7">
        <f>SUM(AQ33:AQ56)</f>
        <v/>
      </c>
      <c r="AR106" s="7">
        <f>SUM(AR33:AR56)</f>
        <v/>
      </c>
      <c r="AS106" s="7">
        <f>SUM(AS33:AS56)</f>
        <v/>
      </c>
      <c r="AT106" s="7">
        <f>SUM(AT33:AT56)</f>
        <v/>
      </c>
      <c r="AU106" s="7">
        <f>SUM(AU33:AU56)</f>
        <v/>
      </c>
      <c r="AV106" s="7">
        <f>SUM(AV33:AV56)</f>
        <v/>
      </c>
      <c r="AW106" s="7">
        <f>SUM(AW33:AW56)</f>
        <v/>
      </c>
      <c r="AX106" s="7">
        <f>SUM(AX33:AX56)</f>
        <v/>
      </c>
      <c r="AY106" s="7">
        <f>SUM(AY33:AY56)</f>
        <v/>
      </c>
      <c r="AZ106" s="7">
        <f>SUM(AZ33:AZ56)</f>
        <v/>
      </c>
      <c r="BA106" s="7">
        <f>SUM(BA33:BA56)</f>
        <v/>
      </c>
      <c r="BB106" s="7">
        <f>SUM(BB33:BB56)</f>
        <v/>
      </c>
      <c r="BC106" s="7">
        <f>SUM(BC33:BC56)</f>
        <v/>
      </c>
      <c r="BD106" s="7">
        <f>SUM(BD33:BD56)</f>
        <v/>
      </c>
      <c r="BE106" s="7">
        <f>SUM(BE33:BE56)</f>
        <v/>
      </c>
      <c r="BF106" s="7">
        <f>SUM(BF33:BF56)</f>
        <v/>
      </c>
      <c r="BG106" s="7">
        <f>SUM(BG33:BG56)</f>
        <v/>
      </c>
      <c r="BH106" s="7">
        <f>SUM(BH33:BH56)</f>
        <v/>
      </c>
      <c r="BI106" s="7">
        <f>SUM(BI33:BI56)</f>
        <v/>
      </c>
      <c r="BJ106" s="7">
        <f>SUM(BJ33:BJ56)</f>
        <v/>
      </c>
      <c r="BK106" s="7">
        <f>SUM(BK33:BK56)</f>
        <v/>
      </c>
      <c r="BL106" s="7">
        <f>SUM(BL33:BL56)</f>
        <v/>
      </c>
      <c r="BM106" s="7">
        <f>SUM(BM33:BM56)</f>
        <v/>
      </c>
      <c r="BN106" s="7">
        <f>SUM(BN33:BN56)</f>
        <v/>
      </c>
      <c r="BO106" s="7">
        <f>SUM(BO33:BO56)</f>
        <v/>
      </c>
      <c r="BP106" s="7">
        <f>SUM(BP33:BP56)</f>
        <v/>
      </c>
      <c r="BQ106" s="7">
        <f>SUM(BQ33:BQ56)</f>
        <v/>
      </c>
      <c r="BR106" s="7">
        <f>SUM(BR33:BR56)</f>
        <v/>
      </c>
      <c r="BS106" s="7">
        <f>SUM(BS33:BS56)</f>
        <v/>
      </c>
      <c r="BT106" s="7">
        <f>SUM(BT33:BT56)</f>
        <v/>
      </c>
      <c r="BU106" s="7">
        <f>SUM(BU33:BU56)</f>
        <v/>
      </c>
      <c r="BV106" s="7">
        <f>SUM(BV33:BV56)</f>
        <v/>
      </c>
      <c r="BW106" s="7">
        <f>SUM(BW33:BW56)</f>
        <v/>
      </c>
      <c r="BX106" s="7">
        <f>SUM(BX33:BX56)</f>
        <v/>
      </c>
      <c r="BY106" s="7">
        <f>SUM(BY33:BY56)</f>
        <v/>
      </c>
      <c r="BZ106" s="7">
        <f>SUM(BZ33:BZ56)</f>
        <v/>
      </c>
      <c r="CA106" s="7">
        <f>SUM(CA33:CA56)</f>
        <v/>
      </c>
      <c r="CB106" s="7">
        <f>SUM(CB33:CB56)</f>
        <v/>
      </c>
      <c r="CC106" s="7">
        <f>SUM(CC33:CC56)</f>
        <v/>
      </c>
      <c r="CD106" s="7">
        <f>SUM(CD33:CD56)</f>
        <v/>
      </c>
      <c r="CE106" s="7">
        <f>SUM(CE33:CE56)</f>
        <v/>
      </c>
      <c r="CF106" s="7">
        <f>SUM(CF33:CF56)</f>
        <v/>
      </c>
      <c r="CG106" s="7">
        <f>SUM(CG33:CG56)</f>
        <v/>
      </c>
      <c r="CH106" s="7">
        <f>SUM(CH33:CH56)</f>
        <v/>
      </c>
      <c r="CI106" s="7">
        <f>SUM(CI33:CI56)</f>
        <v/>
      </c>
      <c r="CJ106" s="7">
        <f>SUM(CJ33:CJ56)</f>
        <v/>
      </c>
      <c r="CK106" s="7">
        <f>SUM(CK33:CK56)</f>
        <v/>
      </c>
      <c r="CL106" s="7">
        <f>SUM(CL33:CL56)</f>
        <v/>
      </c>
      <c r="CM106" s="7">
        <f>SUM(CM33:CM56)</f>
        <v/>
      </c>
      <c r="CN106" s="7">
        <f>SUM(CN33:CN56)</f>
        <v/>
      </c>
      <c r="CO106" s="7">
        <f>SUM(CO33:CO56)</f>
        <v/>
      </c>
      <c r="CP106" s="7">
        <f>SUM(CP33:CP56)</f>
        <v/>
      </c>
      <c r="CQ106" s="7">
        <f>SUM(CQ33:CQ56)</f>
        <v/>
      </c>
      <c r="CR106" s="7">
        <f>SUM(CR33:CR56)</f>
        <v/>
      </c>
      <c r="CS106" s="7">
        <f>SUM(CS33:CS56)</f>
        <v/>
      </c>
      <c r="CT106" s="7">
        <f>SUM(CT33:CT56)</f>
        <v/>
      </c>
      <c r="CU106" s="7">
        <f>SUM(CU33:CU56)</f>
        <v/>
      </c>
      <c r="CV106" s="7">
        <f>SUM(CV33:CV56)</f>
        <v/>
      </c>
      <c r="CW106" s="7">
        <f>SUM(CW33:CW56)</f>
        <v/>
      </c>
      <c r="CX106" s="7">
        <f>SUM(CX33:CX56)</f>
        <v/>
      </c>
      <c r="CY106" s="7">
        <f>SUM(CY33:CY56)</f>
        <v/>
      </c>
      <c r="CZ106" s="7">
        <f>SUM(CZ33:CZ56)</f>
        <v/>
      </c>
      <c r="DA106" s="7">
        <f>SUM(DA33:DA56)</f>
        <v/>
      </c>
      <c r="DB106" s="7">
        <f>SUM(DB33:DB56)</f>
        <v/>
      </c>
      <c r="DC106" s="7">
        <f>SUM(DC33:DC56)</f>
        <v/>
      </c>
      <c r="DD106" s="7">
        <f>SUM(DD33:DD56)</f>
        <v/>
      </c>
      <c r="DE106" s="7">
        <f>SUM(DE33:DE56)</f>
        <v/>
      </c>
      <c r="DF106" s="7">
        <f>SUM(DF33:DF56)</f>
        <v/>
      </c>
      <c r="DG106" s="7">
        <f>SUM(DG33:DG56)</f>
        <v/>
      </c>
      <c r="DH106" s="7">
        <f>SUM(DH33:DH56)</f>
        <v/>
      </c>
      <c r="DI106" s="7">
        <f>SUM(DI33:DI56)</f>
        <v/>
      </c>
      <c r="DJ106" s="7">
        <f>SUM(DJ33:DJ56)</f>
        <v/>
      </c>
      <c r="DK106" s="7">
        <f>SUM(DK33:DK56)</f>
        <v/>
      </c>
      <c r="DL106" s="7">
        <f>SUM(DL33:DL56)</f>
        <v/>
      </c>
      <c r="DM106" s="7">
        <f>SUM(DM33:DM56)</f>
        <v/>
      </c>
      <c r="DN106" s="7">
        <f>SUM(DN33:DN56)</f>
        <v/>
      </c>
      <c r="DO106" s="7">
        <f>SUM(DO33:DO56)</f>
        <v/>
      </c>
      <c r="DP106" s="7">
        <f>SUM(DP33:DP56)</f>
        <v/>
      </c>
      <c r="DQ106" s="7">
        <f>SUM(DQ33:DQ56)</f>
        <v/>
      </c>
      <c r="DR106" s="7">
        <f>SUM(DR33:DR56)</f>
        <v/>
      </c>
      <c r="DS106" s="11" t="n"/>
      <c r="DT106" s="12" t="n"/>
      <c r="DU106" s="12" t="n"/>
      <c r="DV106" s="12" t="n"/>
      <c r="DW106" s="12" t="n"/>
      <c r="DX106" s="12" t="n"/>
      <c r="DY106" s="12" t="n"/>
      <c r="DZ106" s="12" t="n"/>
      <c r="EA106" s="12" t="n"/>
      <c r="EB106" s="12" t="n"/>
      <c r="EC106" s="12" t="n"/>
      <c r="ED106" s="12" t="n"/>
      <c r="EE106" s="10" t="n"/>
      <c r="EF106" s="10" t="n"/>
      <c r="EG106" s="10" t="n"/>
      <c r="EH106" s="10" t="n"/>
    </row>
    <row r="107" ht="20.25" customHeight="1">
      <c r="B107" s="6" t="inlineStr">
        <is>
          <t>Tarde</t>
        </is>
      </c>
      <c r="C107" s="7">
        <f>SUM(C57:C80)</f>
        <v/>
      </c>
      <c r="D107" s="7">
        <f>SUM(D57:D80)</f>
        <v/>
      </c>
      <c r="E107" s="7">
        <f>SUM(E57:E80)</f>
        <v/>
      </c>
      <c r="F107" s="7">
        <f>SUM(F57:F80)</f>
        <v/>
      </c>
      <c r="G107" s="7">
        <f>SUM(G57:G80)</f>
        <v/>
      </c>
      <c r="H107" s="7">
        <f>SUM(H57:H80)</f>
        <v/>
      </c>
      <c r="I107" s="7">
        <f>SUM(I57:I80)</f>
        <v/>
      </c>
      <c r="J107" s="7">
        <f>SUM(J57:J80)</f>
        <v/>
      </c>
      <c r="K107" s="7">
        <f>SUM(K57:K80)</f>
        <v/>
      </c>
      <c r="L107" s="7">
        <f>SUM(L57:L80)</f>
        <v/>
      </c>
      <c r="M107" s="7">
        <f>SUM(M57:M80)</f>
        <v/>
      </c>
      <c r="N107" s="7">
        <f>SUM(N57:N80)</f>
        <v/>
      </c>
      <c r="O107" s="7">
        <f>SUM(O57:O80)</f>
        <v/>
      </c>
      <c r="P107" s="7">
        <f>SUM(P57:P80)</f>
        <v/>
      </c>
      <c r="Q107" s="7">
        <f>SUM(Q57:Q80)</f>
        <v/>
      </c>
      <c r="R107" s="7">
        <f>SUM(R57:R80)</f>
        <v/>
      </c>
      <c r="S107" s="7">
        <f>SUM(S57:S80)</f>
        <v/>
      </c>
      <c r="T107" s="7">
        <f>SUM(T57:T80)</f>
        <v/>
      </c>
      <c r="U107" s="7">
        <f>SUM(U57:U80)</f>
        <v/>
      </c>
      <c r="V107" s="7">
        <f>SUM(V57:V80)</f>
        <v/>
      </c>
      <c r="W107" s="7">
        <f>SUM(W57:W80)</f>
        <v/>
      </c>
      <c r="X107" s="7">
        <f>SUM(X57:X80)</f>
        <v/>
      </c>
      <c r="Y107" s="7">
        <f>SUM(Y57:Y80)</f>
        <v/>
      </c>
      <c r="Z107" s="7">
        <f>SUM(Z57:Z80)</f>
        <v/>
      </c>
      <c r="AA107" s="7">
        <f>SUM(AA57:AA80)</f>
        <v/>
      </c>
      <c r="AB107" s="7">
        <f>SUM(AB57:AB80)</f>
        <v/>
      </c>
      <c r="AC107" s="7">
        <f>SUM(AC57:AC80)</f>
        <v/>
      </c>
      <c r="AD107" s="7">
        <f>SUM(AD57:AD80)</f>
        <v/>
      </c>
      <c r="AE107" s="7">
        <f>SUM(AE57:AE80)</f>
        <v/>
      </c>
      <c r="AF107" s="7">
        <f>SUM(AF57:AF80)</f>
        <v/>
      </c>
      <c r="AG107" s="7">
        <f>SUM(AG57:AG80)</f>
        <v/>
      </c>
      <c r="AH107" s="7">
        <f>SUM(AH57:AH80)</f>
        <v/>
      </c>
      <c r="AI107" s="7">
        <f>SUM(AI57:AI80)</f>
        <v/>
      </c>
      <c r="AJ107" s="7">
        <f>SUM(AJ57:AJ80)</f>
        <v/>
      </c>
      <c r="AK107" s="7">
        <f>SUM(AK57:AK80)</f>
        <v/>
      </c>
      <c r="AL107" s="7">
        <f>SUM(AL57:AL80)</f>
        <v/>
      </c>
      <c r="AM107" s="7">
        <f>SUM(AM57:AM80)</f>
        <v/>
      </c>
      <c r="AN107" s="7">
        <f>SUM(AN57:AN80)</f>
        <v/>
      </c>
      <c r="AO107" s="7">
        <f>SUM(AO57:AO80)</f>
        <v/>
      </c>
      <c r="AP107" s="7">
        <f>SUM(AP57:AP80)</f>
        <v/>
      </c>
      <c r="AQ107" s="7">
        <f>SUM(AQ57:AQ80)</f>
        <v/>
      </c>
      <c r="AR107" s="7">
        <f>SUM(AR57:AR80)</f>
        <v/>
      </c>
      <c r="AS107" s="7">
        <f>SUM(AS57:AS80)</f>
        <v/>
      </c>
      <c r="AT107" s="7">
        <f>SUM(AT57:AT80)</f>
        <v/>
      </c>
      <c r="AU107" s="7">
        <f>SUM(AU57:AU80)</f>
        <v/>
      </c>
      <c r="AV107" s="7">
        <f>SUM(AV57:AV80)</f>
        <v/>
      </c>
      <c r="AW107" s="7">
        <f>SUM(AW57:AW80)</f>
        <v/>
      </c>
      <c r="AX107" s="7">
        <f>SUM(AX57:AX80)</f>
        <v/>
      </c>
      <c r="AY107" s="7">
        <f>SUM(AY57:AY80)</f>
        <v/>
      </c>
      <c r="AZ107" s="7">
        <f>SUM(AZ57:AZ80)</f>
        <v/>
      </c>
      <c r="BA107" s="7">
        <f>SUM(BA57:BA80)</f>
        <v/>
      </c>
      <c r="BB107" s="7">
        <f>SUM(BB57:BB80)</f>
        <v/>
      </c>
      <c r="BC107" s="7">
        <f>SUM(BC57:BC80)</f>
        <v/>
      </c>
      <c r="BD107" s="7">
        <f>SUM(BD57:BD80)</f>
        <v/>
      </c>
      <c r="BE107" s="7">
        <f>SUM(BE57:BE80)</f>
        <v/>
      </c>
      <c r="BF107" s="7">
        <f>SUM(BF57:BF80)</f>
        <v/>
      </c>
      <c r="BG107" s="7">
        <f>SUM(BG57:BG80)</f>
        <v/>
      </c>
      <c r="BH107" s="7">
        <f>SUM(BH57:BH80)</f>
        <v/>
      </c>
      <c r="BI107" s="7">
        <f>SUM(BI57:BI80)</f>
        <v/>
      </c>
      <c r="BJ107" s="7">
        <f>SUM(BJ57:BJ80)</f>
        <v/>
      </c>
      <c r="BK107" s="7">
        <f>SUM(BK57:BK80)</f>
        <v/>
      </c>
      <c r="BL107" s="7">
        <f>SUM(BL57:BL80)</f>
        <v/>
      </c>
      <c r="BM107" s="7">
        <f>SUM(BM57:BM80)</f>
        <v/>
      </c>
      <c r="BN107" s="7">
        <f>SUM(BN57:BN80)</f>
        <v/>
      </c>
      <c r="BO107" s="7">
        <f>SUM(BO57:BO80)</f>
        <v/>
      </c>
      <c r="BP107" s="7">
        <f>SUM(BP57:BP80)</f>
        <v/>
      </c>
      <c r="BQ107" s="7">
        <f>SUM(BQ57:BQ80)</f>
        <v/>
      </c>
      <c r="BR107" s="7">
        <f>SUM(BR57:BR80)</f>
        <v/>
      </c>
      <c r="BS107" s="7">
        <f>SUM(BS57:BS80)</f>
        <v/>
      </c>
      <c r="BT107" s="7">
        <f>SUM(BT57:BT80)</f>
        <v/>
      </c>
      <c r="BU107" s="7">
        <f>SUM(BU57:BU80)</f>
        <v/>
      </c>
      <c r="BV107" s="7">
        <f>SUM(BV57:BV80)</f>
        <v/>
      </c>
      <c r="BW107" s="7">
        <f>SUM(BW57:BW80)</f>
        <v/>
      </c>
      <c r="BX107" s="7">
        <f>SUM(BX57:BX80)</f>
        <v/>
      </c>
      <c r="BY107" s="7">
        <f>SUM(BY57:BY80)</f>
        <v/>
      </c>
      <c r="BZ107" s="7">
        <f>SUM(BZ57:BZ80)</f>
        <v/>
      </c>
      <c r="CA107" s="7">
        <f>SUM(CA57:CA80)</f>
        <v/>
      </c>
      <c r="CB107" s="7">
        <f>SUM(CB57:CB80)</f>
        <v/>
      </c>
      <c r="CC107" s="7">
        <f>SUM(CC57:CC80)</f>
        <v/>
      </c>
      <c r="CD107" s="7">
        <f>SUM(CD57:CD80)</f>
        <v/>
      </c>
      <c r="CE107" s="7">
        <f>SUM(CE57:CE80)</f>
        <v/>
      </c>
      <c r="CF107" s="7">
        <f>SUM(CF57:CF80)</f>
        <v/>
      </c>
      <c r="CG107" s="7">
        <f>SUM(CG57:CG80)</f>
        <v/>
      </c>
      <c r="CH107" s="7">
        <f>SUM(CH57:CH80)</f>
        <v/>
      </c>
      <c r="CI107" s="7">
        <f>SUM(CI57:CI80)</f>
        <v/>
      </c>
      <c r="CJ107" s="7">
        <f>SUM(CJ57:CJ80)</f>
        <v/>
      </c>
      <c r="CK107" s="7">
        <f>SUM(CK57:CK80)</f>
        <v/>
      </c>
      <c r="CL107" s="7">
        <f>SUM(CL57:CL80)</f>
        <v/>
      </c>
      <c r="CM107" s="7">
        <f>SUM(CM57:CM80)</f>
        <v/>
      </c>
      <c r="CN107" s="7">
        <f>SUM(CN57:CN80)</f>
        <v/>
      </c>
      <c r="CO107" s="7">
        <f>SUM(CO57:CO80)</f>
        <v/>
      </c>
      <c r="CP107" s="7">
        <f>SUM(CP57:CP80)</f>
        <v/>
      </c>
      <c r="CQ107" s="7">
        <f>SUM(CQ57:CQ80)</f>
        <v/>
      </c>
      <c r="CR107" s="7">
        <f>SUM(CR57:CR80)</f>
        <v/>
      </c>
      <c r="CS107" s="7">
        <f>SUM(CS57:CS80)</f>
        <v/>
      </c>
      <c r="CT107" s="7">
        <f>SUM(CT57:CT80)</f>
        <v/>
      </c>
      <c r="CU107" s="7">
        <f>SUM(CU57:CU80)</f>
        <v/>
      </c>
      <c r="CV107" s="7">
        <f>SUM(CV57:CV80)</f>
        <v/>
      </c>
      <c r="CW107" s="7">
        <f>SUM(CW57:CW80)</f>
        <v/>
      </c>
      <c r="CX107" s="7">
        <f>SUM(CX57:CX80)</f>
        <v/>
      </c>
      <c r="CY107" s="7">
        <f>SUM(CY57:CY80)</f>
        <v/>
      </c>
      <c r="CZ107" s="7">
        <f>SUM(CZ57:CZ80)</f>
        <v/>
      </c>
      <c r="DA107" s="7">
        <f>SUM(DA57:DA80)</f>
        <v/>
      </c>
      <c r="DB107" s="7">
        <f>SUM(DB57:DB80)</f>
        <v/>
      </c>
      <c r="DC107" s="7">
        <f>SUM(DC57:DC80)</f>
        <v/>
      </c>
      <c r="DD107" s="7">
        <f>SUM(DD57:DD80)</f>
        <v/>
      </c>
      <c r="DE107" s="7">
        <f>SUM(DE57:DE80)</f>
        <v/>
      </c>
      <c r="DF107" s="7">
        <f>SUM(DF57:DF80)</f>
        <v/>
      </c>
      <c r="DG107" s="7">
        <f>SUM(DG57:DG80)</f>
        <v/>
      </c>
      <c r="DH107" s="7">
        <f>SUM(DH57:DH80)</f>
        <v/>
      </c>
      <c r="DI107" s="7">
        <f>SUM(DI57:DI80)</f>
        <v/>
      </c>
      <c r="DJ107" s="7">
        <f>SUM(DJ57:DJ80)</f>
        <v/>
      </c>
      <c r="DK107" s="7">
        <f>SUM(DK57:DK80)</f>
        <v/>
      </c>
      <c r="DL107" s="7">
        <f>SUM(DL57:DL80)</f>
        <v/>
      </c>
      <c r="DM107" s="7">
        <f>SUM(DM57:DM80)</f>
        <v/>
      </c>
      <c r="DN107" s="7">
        <f>SUM(DN57:DN80)</f>
        <v/>
      </c>
      <c r="DO107" s="7">
        <f>SUM(DO57:DO80)</f>
        <v/>
      </c>
      <c r="DP107" s="7">
        <f>SUM(DP57:DP80)</f>
        <v/>
      </c>
      <c r="DQ107" s="7">
        <f>SUM(DQ57:DQ80)</f>
        <v/>
      </c>
      <c r="DR107" s="7">
        <f>SUM(DR57:DR80)</f>
        <v/>
      </c>
      <c r="DS107" s="12" t="n"/>
      <c r="DT107" s="12" t="n"/>
      <c r="DU107" s="12" t="n"/>
      <c r="DV107" s="12" t="n"/>
      <c r="DW107" s="12" t="n"/>
      <c r="DX107" s="12" t="n"/>
      <c r="DY107" s="12" t="n"/>
      <c r="DZ107" s="12" t="n"/>
      <c r="EA107" s="12" t="n"/>
      <c r="EB107" s="12" t="n"/>
      <c r="EC107" s="12" t="n"/>
      <c r="ED107" s="12" t="n"/>
      <c r="EE107" s="10" t="n"/>
      <c r="EF107" s="10" t="n"/>
      <c r="EG107" s="10" t="n"/>
      <c r="EH107" s="10" t="n"/>
    </row>
    <row r="108" ht="20.25" customHeight="1">
      <c r="B108" s="6" t="inlineStr">
        <is>
          <t>Noche</t>
        </is>
      </c>
      <c r="C108" s="7">
        <f>SUM(C81:C104)</f>
        <v/>
      </c>
      <c r="D108" s="7">
        <f>SUM(D81:D104)</f>
        <v/>
      </c>
      <c r="E108" s="7">
        <f>SUM(E81:E104)</f>
        <v/>
      </c>
      <c r="F108" s="7">
        <f>SUM(F81:F104)</f>
        <v/>
      </c>
      <c r="G108" s="7">
        <f>SUM(G81:G104)</f>
        <v/>
      </c>
      <c r="H108" s="7">
        <f>SUM(H81:H104)</f>
        <v/>
      </c>
      <c r="I108" s="7">
        <f>SUM(I81:I104)</f>
        <v/>
      </c>
      <c r="J108" s="7">
        <f>SUM(J81:J104)</f>
        <v/>
      </c>
      <c r="K108" s="7">
        <f>SUM(K81:K104)</f>
        <v/>
      </c>
      <c r="L108" s="7">
        <f>SUM(L81:L104)</f>
        <v/>
      </c>
      <c r="M108" s="7">
        <f>SUM(M81:M104)</f>
        <v/>
      </c>
      <c r="N108" s="7">
        <f>SUM(N81:N104)</f>
        <v/>
      </c>
      <c r="O108" s="7">
        <f>SUM(O81:O104)</f>
        <v/>
      </c>
      <c r="P108" s="7">
        <f>SUM(P81:P104)</f>
        <v/>
      </c>
      <c r="Q108" s="7">
        <f>SUM(Q81:Q104)</f>
        <v/>
      </c>
      <c r="R108" s="7">
        <f>SUM(R81:R104)</f>
        <v/>
      </c>
      <c r="S108" s="7">
        <f>SUM(S81:S104)</f>
        <v/>
      </c>
      <c r="T108" s="7">
        <f>SUM(T81:T104)</f>
        <v/>
      </c>
      <c r="U108" s="7">
        <f>SUM(U81:U104)</f>
        <v/>
      </c>
      <c r="V108" s="7">
        <f>SUM(V81:V104)</f>
        <v/>
      </c>
      <c r="W108" s="7">
        <f>SUM(W81:W104)</f>
        <v/>
      </c>
      <c r="X108" s="7">
        <f>SUM(X81:X104)</f>
        <v/>
      </c>
      <c r="Y108" s="7">
        <f>SUM(Y81:Y104)</f>
        <v/>
      </c>
      <c r="Z108" s="7">
        <f>SUM(Z81:Z104)</f>
        <v/>
      </c>
      <c r="AA108" s="7">
        <f>SUM(AA81:AA104)</f>
        <v/>
      </c>
      <c r="AB108" s="7">
        <f>SUM(AB81:AB104)</f>
        <v/>
      </c>
      <c r="AC108" s="7">
        <f>SUM(AC81:AC104)</f>
        <v/>
      </c>
      <c r="AD108" s="7">
        <f>SUM(AD81:AD104)</f>
        <v/>
      </c>
      <c r="AE108" s="7">
        <f>SUM(AE81:AE104)</f>
        <v/>
      </c>
      <c r="AF108" s="7">
        <f>SUM(AF81:AF104)</f>
        <v/>
      </c>
      <c r="AG108" s="7">
        <f>SUM(AG81:AG104)</f>
        <v/>
      </c>
      <c r="AH108" s="7">
        <f>SUM(AH81:AH104)</f>
        <v/>
      </c>
      <c r="AI108" s="7">
        <f>SUM(AI81:AI104)</f>
        <v/>
      </c>
      <c r="AJ108" s="7">
        <f>SUM(AJ81:AJ104)</f>
        <v/>
      </c>
      <c r="AK108" s="7">
        <f>SUM(AK81:AK104)</f>
        <v/>
      </c>
      <c r="AL108" s="7">
        <f>SUM(AL81:AL104)</f>
        <v/>
      </c>
      <c r="AM108" s="7">
        <f>SUM(AM81:AM104)</f>
        <v/>
      </c>
      <c r="AN108" s="7">
        <f>SUM(AN81:AN104)</f>
        <v/>
      </c>
      <c r="AO108" s="7">
        <f>SUM(AO81:AO104)</f>
        <v/>
      </c>
      <c r="AP108" s="7">
        <f>SUM(AP81:AP104)</f>
        <v/>
      </c>
      <c r="AQ108" s="7">
        <f>SUM(AQ81:AQ104)</f>
        <v/>
      </c>
      <c r="AR108" s="7">
        <f>SUM(AR81:AR104)</f>
        <v/>
      </c>
      <c r="AS108" s="7">
        <f>SUM(AS81:AS104)</f>
        <v/>
      </c>
      <c r="AT108" s="7">
        <f>SUM(AT81:AT104)</f>
        <v/>
      </c>
      <c r="AU108" s="7">
        <f>SUM(AU81:AU104)</f>
        <v/>
      </c>
      <c r="AV108" s="7">
        <f>SUM(AV81:AV104)</f>
        <v/>
      </c>
      <c r="AW108" s="7">
        <f>SUM(AW81:AW104)</f>
        <v/>
      </c>
      <c r="AX108" s="7">
        <f>SUM(AX81:AX104)</f>
        <v/>
      </c>
      <c r="AY108" s="7">
        <f>SUM(AY81:AY104)</f>
        <v/>
      </c>
      <c r="AZ108" s="7">
        <f>SUM(AZ81:AZ104)</f>
        <v/>
      </c>
      <c r="BA108" s="7">
        <f>SUM(BA81:BA104)</f>
        <v/>
      </c>
      <c r="BB108" s="7">
        <f>SUM(BB81:BB104)</f>
        <v/>
      </c>
      <c r="BC108" s="7">
        <f>SUM(BC81:BC104)</f>
        <v/>
      </c>
      <c r="BD108" s="7">
        <f>SUM(BD81:BD104)</f>
        <v/>
      </c>
      <c r="BE108" s="7">
        <f>SUM(BE81:BE104)</f>
        <v/>
      </c>
      <c r="BF108" s="7">
        <f>SUM(BF81:BF104)</f>
        <v/>
      </c>
      <c r="BG108" s="7">
        <f>SUM(BG81:BG104)</f>
        <v/>
      </c>
      <c r="BH108" s="7">
        <f>SUM(BH81:BH104)</f>
        <v/>
      </c>
      <c r="BI108" s="7">
        <f>SUM(BI81:BI104)</f>
        <v/>
      </c>
      <c r="BJ108" s="7">
        <f>SUM(BJ81:BJ104)</f>
        <v/>
      </c>
      <c r="BK108" s="7">
        <f>SUM(BK81:BK104)</f>
        <v/>
      </c>
      <c r="BL108" s="7">
        <f>SUM(BL81:BL104)</f>
        <v/>
      </c>
      <c r="BM108" s="7">
        <f>SUM(BM81:BM104)</f>
        <v/>
      </c>
      <c r="BN108" s="7">
        <f>SUM(BN81:BN104)</f>
        <v/>
      </c>
      <c r="BO108" s="7">
        <f>SUM(BO81:BO104)</f>
        <v/>
      </c>
      <c r="BP108" s="7">
        <f>SUM(BP81:BP104)</f>
        <v/>
      </c>
      <c r="BQ108" s="7">
        <f>SUM(BQ81:BQ104)</f>
        <v/>
      </c>
      <c r="BR108" s="7">
        <f>SUM(BR81:BR104)</f>
        <v/>
      </c>
      <c r="BS108" s="7">
        <f>SUM(BS81:BS104)</f>
        <v/>
      </c>
      <c r="BT108" s="7">
        <f>SUM(BT81:BT104)</f>
        <v/>
      </c>
      <c r="BU108" s="7">
        <f>SUM(BU81:BU104)</f>
        <v/>
      </c>
      <c r="BV108" s="7">
        <f>SUM(BV81:BV104)</f>
        <v/>
      </c>
      <c r="BW108" s="7">
        <f>SUM(BW81:BW104)</f>
        <v/>
      </c>
      <c r="BX108" s="7">
        <f>SUM(BX81:BX104)</f>
        <v/>
      </c>
      <c r="BY108" s="7">
        <f>SUM(BY81:BY104)</f>
        <v/>
      </c>
      <c r="BZ108" s="7">
        <f>SUM(BZ81:BZ104)</f>
        <v/>
      </c>
      <c r="CA108" s="7">
        <f>SUM(CA81:CA104)</f>
        <v/>
      </c>
      <c r="CB108" s="7">
        <f>SUM(CB81:CB104)</f>
        <v/>
      </c>
      <c r="CC108" s="7">
        <f>SUM(CC81:CC104)</f>
        <v/>
      </c>
      <c r="CD108" s="7">
        <f>SUM(CD81:CD104)</f>
        <v/>
      </c>
      <c r="CE108" s="7">
        <f>SUM(CE81:CE104)</f>
        <v/>
      </c>
      <c r="CF108" s="7">
        <f>SUM(CF81:CF104)</f>
        <v/>
      </c>
      <c r="CG108" s="7">
        <f>SUM(CG81:CG104)</f>
        <v/>
      </c>
      <c r="CH108" s="7">
        <f>SUM(CH81:CH104)</f>
        <v/>
      </c>
      <c r="CI108" s="7">
        <f>SUM(CI81:CI104)</f>
        <v/>
      </c>
      <c r="CJ108" s="7">
        <f>SUM(CJ81:CJ104)</f>
        <v/>
      </c>
      <c r="CK108" s="7">
        <f>SUM(CK81:CK104)</f>
        <v/>
      </c>
      <c r="CL108" s="7">
        <f>SUM(CL81:CL104)</f>
        <v/>
      </c>
      <c r="CM108" s="7">
        <f>SUM(CM81:CM104)</f>
        <v/>
      </c>
      <c r="CN108" s="7">
        <f>SUM(CN81:CN104)</f>
        <v/>
      </c>
      <c r="CO108" s="7">
        <f>SUM(CO81:CO104)</f>
        <v/>
      </c>
      <c r="CP108" s="7">
        <f>SUM(CP81:CP104)</f>
        <v/>
      </c>
      <c r="CQ108" s="7">
        <f>SUM(CQ81:CQ104)</f>
        <v/>
      </c>
      <c r="CR108" s="7">
        <f>SUM(CR81:CR104)</f>
        <v/>
      </c>
      <c r="CS108" s="7">
        <f>SUM(CS81:CS104)</f>
        <v/>
      </c>
      <c r="CT108" s="7">
        <f>SUM(CT81:CT104)</f>
        <v/>
      </c>
      <c r="CU108" s="7">
        <f>SUM(CU81:CU104)</f>
        <v/>
      </c>
      <c r="CV108" s="7">
        <f>SUM(CV81:CV104)</f>
        <v/>
      </c>
      <c r="CW108" s="7">
        <f>SUM(CW81:CW104)</f>
        <v/>
      </c>
      <c r="CX108" s="7">
        <f>SUM(CX81:CX104)</f>
        <v/>
      </c>
      <c r="CY108" s="7">
        <f>SUM(CY81:CY104)</f>
        <v/>
      </c>
      <c r="CZ108" s="7">
        <f>SUM(CZ81:CZ104)</f>
        <v/>
      </c>
      <c r="DA108" s="7">
        <f>SUM(DA81:DA104)</f>
        <v/>
      </c>
      <c r="DB108" s="7">
        <f>SUM(DB81:DB104)</f>
        <v/>
      </c>
      <c r="DC108" s="7">
        <f>SUM(DC81:DC104)</f>
        <v/>
      </c>
      <c r="DD108" s="7">
        <f>SUM(DD81:DD104)</f>
        <v/>
      </c>
      <c r="DE108" s="7">
        <f>SUM(DE81:DE104)</f>
        <v/>
      </c>
      <c r="DF108" s="7">
        <f>SUM(DF81:DF104)</f>
        <v/>
      </c>
      <c r="DG108" s="7">
        <f>SUM(DG81:DG104)</f>
        <v/>
      </c>
      <c r="DH108" s="7">
        <f>SUM(DH81:DH104)</f>
        <v/>
      </c>
      <c r="DI108" s="7">
        <f>SUM(DI81:DI104)</f>
        <v/>
      </c>
      <c r="DJ108" s="7">
        <f>SUM(DJ81:DJ104)</f>
        <v/>
      </c>
      <c r="DK108" s="7">
        <f>SUM(DK81:DK104)</f>
        <v/>
      </c>
      <c r="DL108" s="7">
        <f>SUM(DL81:DL104)</f>
        <v/>
      </c>
      <c r="DM108" s="7">
        <f>SUM(DM81:DM104)</f>
        <v/>
      </c>
      <c r="DN108" s="7">
        <f>SUM(DN81:DN104)</f>
        <v/>
      </c>
      <c r="DO108" s="7">
        <f>SUM(DO81:DO104)</f>
        <v/>
      </c>
      <c r="DP108" s="7">
        <f>SUM(DP81:DP104)</f>
        <v/>
      </c>
      <c r="DQ108" s="7">
        <f>SUM(DQ81:DQ104)</f>
        <v/>
      </c>
      <c r="DR108" s="7">
        <f>SUM(DR81:DR104)</f>
        <v/>
      </c>
      <c r="DS108" s="12" t="n"/>
      <c r="DT108" s="12" t="n"/>
      <c r="DU108" s="12" t="n"/>
      <c r="DV108" s="12" t="n"/>
      <c r="DW108" s="12" t="n"/>
      <c r="DX108" s="12" t="n"/>
      <c r="DY108" s="12" t="n"/>
      <c r="DZ108" s="12" t="n"/>
      <c r="EA108" s="12" t="n"/>
      <c r="EB108" s="12" t="n"/>
      <c r="EC108" s="12" t="n"/>
      <c r="ED108" s="12" t="n"/>
      <c r="EE108" s="10" t="n"/>
      <c r="EF108" s="10" t="n"/>
      <c r="EG108" s="10" t="n"/>
      <c r="EH108" s="10" t="n"/>
    </row>
    <row r="109" ht="20.25" customHeight="1">
      <c r="EH109" s="10" t="n"/>
    </row>
  </sheetData>
  <mergeCells count="29">
    <mergeCell ref="EG7:EG8"/>
    <mergeCell ref="B2:EH2"/>
    <mergeCell ref="CO7:CX7"/>
    <mergeCell ref="B3:C3"/>
    <mergeCell ref="C7:L7"/>
    <mergeCell ref="DS7:ED7"/>
    <mergeCell ref="H5:K5"/>
    <mergeCell ref="BK7:BT7"/>
    <mergeCell ref="CY7:DH7"/>
    <mergeCell ref="DI7:DR7"/>
    <mergeCell ref="BU7:CD7"/>
    <mergeCell ref="F5:G5"/>
    <mergeCell ref="EF7:EF8"/>
    <mergeCell ref="EH7:EH8"/>
    <mergeCell ref="L3:EH5"/>
    <mergeCell ref="CE7:CN7"/>
    <mergeCell ref="B6:EH6"/>
    <mergeCell ref="EE7:EE8"/>
    <mergeCell ref="AQ7:AZ7"/>
    <mergeCell ref="D4:K4"/>
    <mergeCell ref="BA7:BJ7"/>
    <mergeCell ref="D3:K3"/>
    <mergeCell ref="B5:C5"/>
    <mergeCell ref="M7:V7"/>
    <mergeCell ref="D5:E5"/>
    <mergeCell ref="B7:B8"/>
    <mergeCell ref="W7:AF7"/>
    <mergeCell ref="AG7:AP7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B2:EH109"/>
  <sheetViews>
    <sheetView zoomScale="70" zoomScaleNormal="70" workbookViewId="0">
      <selection activeCell="A1" sqref="A1"/>
    </sheetView>
  </sheetViews>
  <sheetFormatPr baseColWidth="10" defaultColWidth="9.140625" defaultRowHeight="15" outlineLevelCol="0"/>
  <cols>
    <col width="13.5703125" bestFit="1" customWidth="1" min="1" max="1"/>
    <col width="17" bestFit="1" customWidth="1" min="2" max="2"/>
    <col width="13.5703125" bestFit="1" customWidth="1" style="1" min="3" max="102"/>
    <col width="13.5703125" customWidth="1" style="84" min="103" max="122"/>
    <col width="13.5703125" bestFit="1" customWidth="1" style="1" min="123" max="132"/>
    <col width="13.5703125" customWidth="1" style="84" min="133" max="134"/>
    <col width="13.5703125" bestFit="1" customWidth="1" style="2" min="135" max="137"/>
    <col width="13.5703125" bestFit="1" customWidth="1" style="1" min="138" max="138"/>
  </cols>
  <sheetData>
    <row r="1" ht="18.75" customHeight="1"/>
    <row r="2" ht="30" customHeight="1">
      <c r="B2" s="256" t="inlineStr">
        <is>
          <t>CONTROL DE FLUJO VEHICULAR CLASIFICADO</t>
        </is>
      </c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  <c r="BG2" s="228" t="n"/>
      <c r="BH2" s="228" t="n"/>
      <c r="BI2" s="228" t="n"/>
      <c r="BJ2" s="228" t="n"/>
      <c r="BK2" s="228" t="n"/>
      <c r="BL2" s="228" t="n"/>
      <c r="BM2" s="228" t="n"/>
      <c r="BN2" s="228" t="n"/>
      <c r="BO2" s="228" t="n"/>
      <c r="BP2" s="228" t="n"/>
      <c r="BQ2" s="228" t="n"/>
      <c r="BR2" s="228" t="n"/>
      <c r="BS2" s="228" t="n"/>
      <c r="BT2" s="228" t="n"/>
      <c r="BU2" s="228" t="n"/>
      <c r="BV2" s="228" t="n"/>
      <c r="BW2" s="228" t="n"/>
      <c r="BX2" s="228" t="n"/>
      <c r="BY2" s="228" t="n"/>
      <c r="BZ2" s="228" t="n"/>
      <c r="CA2" s="228" t="n"/>
      <c r="CB2" s="228" t="n"/>
      <c r="CC2" s="228" t="n"/>
      <c r="CD2" s="228" t="n"/>
      <c r="CE2" s="228" t="n"/>
      <c r="CF2" s="228" t="n"/>
      <c r="CG2" s="228" t="n"/>
      <c r="CH2" s="228" t="n"/>
      <c r="CI2" s="228" t="n"/>
      <c r="CJ2" s="228" t="n"/>
      <c r="CK2" s="228" t="n"/>
      <c r="CL2" s="228" t="n"/>
      <c r="CM2" s="228" t="n"/>
      <c r="CN2" s="228" t="n"/>
      <c r="CO2" s="228" t="n"/>
      <c r="CP2" s="228" t="n"/>
      <c r="CQ2" s="228" t="n"/>
      <c r="CR2" s="228" t="n"/>
      <c r="CS2" s="228" t="n"/>
      <c r="CT2" s="228" t="n"/>
      <c r="CU2" s="228" t="n"/>
      <c r="CV2" s="228" t="n"/>
      <c r="CW2" s="228" t="n"/>
      <c r="CX2" s="228" t="n"/>
      <c r="CY2" s="228" t="n"/>
      <c r="CZ2" s="228" t="n"/>
      <c r="DA2" s="228" t="n"/>
      <c r="DB2" s="228" t="n"/>
      <c r="DC2" s="228" t="n"/>
      <c r="DD2" s="228" t="n"/>
      <c r="DE2" s="228" t="n"/>
      <c r="DF2" s="228" t="n"/>
      <c r="DG2" s="228" t="n"/>
      <c r="DH2" s="228" t="n"/>
      <c r="DI2" s="228" t="n"/>
      <c r="DJ2" s="228" t="n"/>
      <c r="DK2" s="228" t="n"/>
      <c r="DL2" s="228" t="n"/>
      <c r="DM2" s="228" t="n"/>
      <c r="DN2" s="228" t="n"/>
      <c r="DO2" s="228" t="n"/>
      <c r="DP2" s="228" t="n"/>
      <c r="DQ2" s="228" t="n"/>
      <c r="DR2" s="228" t="n"/>
      <c r="DS2" s="228" t="n"/>
      <c r="DT2" s="228" t="n"/>
      <c r="DU2" s="228" t="n"/>
      <c r="DV2" s="228" t="n"/>
      <c r="DW2" s="228" t="n"/>
      <c r="DX2" s="228" t="n"/>
      <c r="DY2" s="228" t="n"/>
      <c r="DZ2" s="228" t="n"/>
      <c r="EA2" s="228" t="n"/>
      <c r="EB2" s="228" t="n"/>
      <c r="EC2" s="228" t="n"/>
      <c r="ED2" s="228" t="n"/>
      <c r="EE2" s="228" t="n"/>
      <c r="EF2" s="228" t="n"/>
      <c r="EG2" s="228" t="n"/>
      <c r="EH2" s="257" t="n"/>
    </row>
    <row r="3" ht="20.25" customHeight="1">
      <c r="B3" s="201" t="inlineStr">
        <is>
          <t xml:space="preserve">Intersección     :     </t>
        </is>
      </c>
      <c r="D3" s="203">
        <f>Inicio!G5</f>
        <v/>
      </c>
      <c r="L3" s="206" t="n"/>
      <c r="EH3" s="48" t="n"/>
    </row>
    <row r="4" ht="20.25" customHeight="1">
      <c r="B4" s="201" t="inlineStr">
        <is>
          <t xml:space="preserve">Fecha     :     </t>
        </is>
      </c>
      <c r="D4" s="204">
        <f>Inicio!G6</f>
        <v/>
      </c>
      <c r="EH4" s="48" t="n"/>
    </row>
    <row r="5" ht="20.25" customHeight="1">
      <c r="B5" s="201" t="inlineStr">
        <is>
          <t xml:space="preserve">Día     :     </t>
        </is>
      </c>
      <c r="D5" s="207">
        <f>Inicio!G8</f>
        <v/>
      </c>
      <c r="F5" s="202" t="inlineStr">
        <is>
          <t xml:space="preserve">Distrito     :     </t>
        </is>
      </c>
      <c r="H5" s="207">
        <f>Inicio!G9</f>
        <v/>
      </c>
      <c r="EH5" s="48" t="n"/>
    </row>
    <row r="6" ht="20.25" customHeight="1">
      <c r="B6" s="258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1" t="n"/>
    </row>
    <row r="7" ht="22.5" customHeight="1">
      <c r="B7" s="217" t="inlineStr">
        <is>
          <t>Horas de Control</t>
        </is>
      </c>
      <c r="C7" s="193">
        <f>Inicio!V4</f>
        <v/>
      </c>
      <c r="D7" s="259" t="n"/>
      <c r="E7" s="259" t="n"/>
      <c r="F7" s="259" t="n"/>
      <c r="G7" s="259" t="n"/>
      <c r="H7" s="259" t="n"/>
      <c r="I7" s="259" t="n"/>
      <c r="J7" s="259" t="n"/>
      <c r="K7" s="259" t="n"/>
      <c r="L7" s="260" t="n"/>
      <c r="M7" s="193">
        <f>Inicio!V5</f>
        <v/>
      </c>
      <c r="N7" s="259" t="n"/>
      <c r="O7" s="259" t="n"/>
      <c r="P7" s="259" t="n"/>
      <c r="Q7" s="259" t="n"/>
      <c r="R7" s="259" t="n"/>
      <c r="S7" s="259" t="n"/>
      <c r="T7" s="259" t="n"/>
      <c r="U7" s="259" t="n"/>
      <c r="V7" s="260" t="n"/>
      <c r="W7" s="193">
        <f>Inicio!V6</f>
        <v/>
      </c>
      <c r="X7" s="259" t="n"/>
      <c r="Y7" s="259" t="n"/>
      <c r="Z7" s="259" t="n"/>
      <c r="AA7" s="259" t="n"/>
      <c r="AB7" s="259" t="n"/>
      <c r="AC7" s="259" t="n"/>
      <c r="AD7" s="259" t="n"/>
      <c r="AE7" s="259" t="n"/>
      <c r="AF7" s="260" t="n"/>
      <c r="AG7" s="266">
        <f>Inicio!V7</f>
        <v/>
      </c>
      <c r="AH7" s="259" t="n"/>
      <c r="AI7" s="259" t="n"/>
      <c r="AJ7" s="259" t="n"/>
      <c r="AK7" s="259" t="n"/>
      <c r="AL7" s="259" t="n"/>
      <c r="AM7" s="259" t="n"/>
      <c r="AN7" s="259" t="n"/>
      <c r="AO7" s="259" t="n"/>
      <c r="AP7" s="260" t="n"/>
      <c r="AQ7" s="266">
        <f>Inicio!V8</f>
        <v/>
      </c>
      <c r="AR7" s="259" t="n"/>
      <c r="AS7" s="259" t="n"/>
      <c r="AT7" s="259" t="n"/>
      <c r="AU7" s="259" t="n"/>
      <c r="AV7" s="259" t="n"/>
      <c r="AW7" s="259" t="n"/>
      <c r="AX7" s="259" t="n"/>
      <c r="AY7" s="259" t="n"/>
      <c r="AZ7" s="260" t="n"/>
      <c r="BA7" s="266">
        <f>Inicio!V9</f>
        <v/>
      </c>
      <c r="BB7" s="259" t="n"/>
      <c r="BC7" s="259" t="n"/>
      <c r="BD7" s="259" t="n"/>
      <c r="BE7" s="259" t="n"/>
      <c r="BF7" s="259" t="n"/>
      <c r="BG7" s="259" t="n"/>
      <c r="BH7" s="259" t="n"/>
      <c r="BI7" s="259" t="n"/>
      <c r="BJ7" s="260" t="n"/>
      <c r="BK7" s="266">
        <f>Inicio!V10</f>
        <v/>
      </c>
      <c r="BL7" s="259" t="n"/>
      <c r="BM7" s="259" t="n"/>
      <c r="BN7" s="259" t="n"/>
      <c r="BO7" s="259" t="n"/>
      <c r="BP7" s="259" t="n"/>
      <c r="BQ7" s="259" t="n"/>
      <c r="BR7" s="259" t="n"/>
      <c r="BS7" s="259" t="n"/>
      <c r="BT7" s="260" t="n"/>
      <c r="BU7" s="266">
        <f>Inicio!V11</f>
        <v/>
      </c>
      <c r="BV7" s="259" t="n"/>
      <c r="BW7" s="259" t="n"/>
      <c r="BX7" s="259" t="n"/>
      <c r="BY7" s="259" t="n"/>
      <c r="BZ7" s="259" t="n"/>
      <c r="CA7" s="259" t="n"/>
      <c r="CB7" s="259" t="n"/>
      <c r="CC7" s="259" t="n"/>
      <c r="CD7" s="260" t="n"/>
      <c r="CE7" s="266">
        <f>Inicio!V12</f>
        <v/>
      </c>
      <c r="CF7" s="259" t="n"/>
      <c r="CG7" s="259" t="n"/>
      <c r="CH7" s="259" t="n"/>
      <c r="CI7" s="259" t="n"/>
      <c r="CJ7" s="259" t="n"/>
      <c r="CK7" s="259" t="n"/>
      <c r="CL7" s="259" t="n"/>
      <c r="CM7" s="259" t="n"/>
      <c r="CN7" s="260" t="n"/>
      <c r="CO7" s="266">
        <f>Inicio!V13</f>
        <v/>
      </c>
      <c r="CP7" s="259" t="n"/>
      <c r="CQ7" s="259" t="n"/>
      <c r="CR7" s="259" t="n"/>
      <c r="CS7" s="259" t="n"/>
      <c r="CT7" s="259" t="n"/>
      <c r="CU7" s="259" t="n"/>
      <c r="CV7" s="259" t="n"/>
      <c r="CW7" s="259" t="n"/>
      <c r="CX7" s="260" t="n"/>
      <c r="CY7" s="266">
        <f>Inicio!V14</f>
        <v/>
      </c>
      <c r="CZ7" s="259" t="n"/>
      <c r="DA7" s="259" t="n"/>
      <c r="DB7" s="259" t="n"/>
      <c r="DC7" s="259" t="n"/>
      <c r="DD7" s="259" t="n"/>
      <c r="DE7" s="259" t="n"/>
      <c r="DF7" s="259" t="n"/>
      <c r="DG7" s="259" t="n"/>
      <c r="DH7" s="260" t="n"/>
      <c r="DI7" s="266">
        <f>Inicio!V15</f>
        <v/>
      </c>
      <c r="DJ7" s="259" t="n"/>
      <c r="DK7" s="259" t="n"/>
      <c r="DL7" s="259" t="n"/>
      <c r="DM7" s="259" t="n"/>
      <c r="DN7" s="259" t="n"/>
      <c r="DO7" s="259" t="n"/>
      <c r="DP7" s="259" t="n"/>
      <c r="DQ7" s="259" t="n"/>
      <c r="DR7" s="260" t="n"/>
      <c r="DS7" s="264" t="inlineStr">
        <is>
          <t>Movimiento UCP</t>
        </is>
      </c>
      <c r="DT7" s="262" t="n"/>
      <c r="DU7" s="262" t="n"/>
      <c r="DV7" s="262" t="n"/>
      <c r="DW7" s="262" t="n"/>
      <c r="DX7" s="262" t="n"/>
      <c r="DY7" s="262" t="n"/>
      <c r="DZ7" s="262" t="n"/>
      <c r="EA7" s="262" t="n"/>
      <c r="EB7" s="262" t="n"/>
      <c r="EC7" s="262" t="n"/>
      <c r="ED7" s="263" t="n"/>
      <c r="EE7" s="196" t="inlineStr">
        <is>
          <t>Total
c/15'</t>
        </is>
      </c>
      <c r="EF7" s="196" t="inlineStr">
        <is>
          <t>Suma
1h</t>
        </is>
      </c>
      <c r="EG7" s="196" t="inlineStr">
        <is>
          <t>(UCP)
c/15'</t>
        </is>
      </c>
      <c r="EH7" s="196" t="inlineStr">
        <is>
          <t>(UCP)
1h</t>
        </is>
      </c>
    </row>
    <row r="8" ht="23.25" customHeight="1">
      <c r="B8" s="265" t="n"/>
      <c r="C8" s="14">
        <f>IF(Inicio!$G24 = 0,"",Inicio!$G24)</f>
        <v/>
      </c>
      <c r="D8" s="14">
        <f>IF(Inicio!$G25 = 0,"",Inicio!$G25)</f>
        <v/>
      </c>
      <c r="E8" s="14">
        <f>IF(Inicio!$G26 = 0,"",Inicio!$G26)</f>
        <v/>
      </c>
      <c r="F8" s="14">
        <f>IF(Inicio!$G27 = 0,"",Inicio!$G27)</f>
        <v/>
      </c>
      <c r="G8" s="14">
        <f>IF(Inicio!$G28 = 0,"",Inicio!$G28)</f>
        <v/>
      </c>
      <c r="H8" s="14">
        <f>IF(Inicio!$G29 = 0,"",Inicio!$G29)</f>
        <v/>
      </c>
      <c r="I8" s="14">
        <f>IF(Inicio!$G30 = 0,"",Inicio!$G30)</f>
        <v/>
      </c>
      <c r="J8" s="14">
        <f>IF(Inicio!$G31 = 0,"",Inicio!$G31)</f>
        <v/>
      </c>
      <c r="K8" s="14">
        <f>IF(Inicio!$G32 = 0,"",Inicio!$G32)</f>
        <v/>
      </c>
      <c r="L8" s="14">
        <f>IF(Inicio!$G33 = 0,"",Inicio!$G33)</f>
        <v/>
      </c>
      <c r="M8" s="14">
        <f>IF(Inicio!$G24 = 0,"",Inicio!$G24)</f>
        <v/>
      </c>
      <c r="N8" s="14">
        <f>IF(Inicio!$G25 = 0,"",Inicio!$G25)</f>
        <v/>
      </c>
      <c r="O8" s="14">
        <f>IF(Inicio!$G26 = 0,"",Inicio!$G26)</f>
        <v/>
      </c>
      <c r="P8" s="14">
        <f>IF(Inicio!$G27 = 0,"",Inicio!$G27)</f>
        <v/>
      </c>
      <c r="Q8" s="14">
        <f>IF(Inicio!$G28 = 0,"",Inicio!$G28)</f>
        <v/>
      </c>
      <c r="R8" s="14">
        <f>IF(Inicio!$G29 = 0,"",Inicio!$G29)</f>
        <v/>
      </c>
      <c r="S8" s="14">
        <f>IF(Inicio!$G30 = 0,"",Inicio!$G30)</f>
        <v/>
      </c>
      <c r="T8" s="14">
        <f>IF(Inicio!$G31 = 0,"",Inicio!$G31)</f>
        <v/>
      </c>
      <c r="U8" s="14">
        <f>IF(Inicio!$G32 = 0,"",Inicio!$G32)</f>
        <v/>
      </c>
      <c r="V8" s="14">
        <f>IF(Inicio!$G33 = 0,"",Inicio!$G33)</f>
        <v/>
      </c>
      <c r="W8" s="14">
        <f>IF(Inicio!$G24 = 0,"",Inicio!$G24)</f>
        <v/>
      </c>
      <c r="X8" s="14">
        <f>IF(Inicio!$G25 = 0,"",Inicio!$G25)</f>
        <v/>
      </c>
      <c r="Y8" s="14">
        <f>IF(Inicio!$G26 = 0,"",Inicio!$G26)</f>
        <v/>
      </c>
      <c r="Z8" s="14">
        <f>IF(Inicio!$G27 = 0,"",Inicio!$G27)</f>
        <v/>
      </c>
      <c r="AA8" s="14">
        <f>IF(Inicio!$G28 = 0,"",Inicio!$G28)</f>
        <v/>
      </c>
      <c r="AB8" s="14">
        <f>IF(Inicio!$G29 = 0,"",Inicio!$G29)</f>
        <v/>
      </c>
      <c r="AC8" s="14">
        <f>IF(Inicio!$G30 = 0,"",Inicio!$G30)</f>
        <v/>
      </c>
      <c r="AD8" s="14">
        <f>IF(Inicio!$G31 = 0,"",Inicio!$G31)</f>
        <v/>
      </c>
      <c r="AE8" s="14">
        <f>IF(Inicio!$G32 = 0,"",Inicio!$G32)</f>
        <v/>
      </c>
      <c r="AF8" s="14">
        <f>IF(Inicio!$G33 = 0,"",Inicio!$G33)</f>
        <v/>
      </c>
      <c r="AG8" s="14">
        <f>IF(Inicio!$G24 = 0,"",Inicio!$G24)</f>
        <v/>
      </c>
      <c r="AH8" s="14">
        <f>IF(Inicio!$G25 = 0,"",Inicio!$G25)</f>
        <v/>
      </c>
      <c r="AI8" s="14">
        <f>IF(Inicio!$G26 = 0,"",Inicio!$G26)</f>
        <v/>
      </c>
      <c r="AJ8" s="14">
        <f>IF(Inicio!$G27 = 0,"",Inicio!$G27)</f>
        <v/>
      </c>
      <c r="AK8" s="14">
        <f>IF(Inicio!$G28 = 0,"",Inicio!$G28)</f>
        <v/>
      </c>
      <c r="AL8" s="14">
        <f>IF(Inicio!$G29 = 0,"",Inicio!$G29)</f>
        <v/>
      </c>
      <c r="AM8" s="14">
        <f>IF(Inicio!$G30 = 0,"",Inicio!$G30)</f>
        <v/>
      </c>
      <c r="AN8" s="14">
        <f>IF(Inicio!$G31 = 0,"",Inicio!$G31)</f>
        <v/>
      </c>
      <c r="AO8" s="14">
        <f>IF(Inicio!$G32 = 0,"",Inicio!$G32)</f>
        <v/>
      </c>
      <c r="AP8" s="14">
        <f>IF(Inicio!$G33 = 0,"",Inicio!$G33)</f>
        <v/>
      </c>
      <c r="AQ8" s="14">
        <f>IF(Inicio!$G24 = 0,"",Inicio!$G24)</f>
        <v/>
      </c>
      <c r="AR8" s="14">
        <f>IF(Inicio!$G25 = 0,"",Inicio!$G25)</f>
        <v/>
      </c>
      <c r="AS8" s="14">
        <f>IF(Inicio!$G26 = 0,"",Inicio!$G26)</f>
        <v/>
      </c>
      <c r="AT8" s="14">
        <f>IF(Inicio!$G27 = 0,"",Inicio!$G27)</f>
        <v/>
      </c>
      <c r="AU8" s="14">
        <f>IF(Inicio!$G28 = 0,"",Inicio!$G28)</f>
        <v/>
      </c>
      <c r="AV8" s="14">
        <f>IF(Inicio!$G29 = 0,"",Inicio!$G29)</f>
        <v/>
      </c>
      <c r="AW8" s="14">
        <f>IF(Inicio!$G30 = 0,"",Inicio!$G30)</f>
        <v/>
      </c>
      <c r="AX8" s="14">
        <f>IF(Inicio!$G31 = 0,"",Inicio!$G31)</f>
        <v/>
      </c>
      <c r="AY8" s="14">
        <f>IF(Inicio!$G32 = 0,"",Inicio!$G32)</f>
        <v/>
      </c>
      <c r="AZ8" s="14">
        <f>IF(Inicio!$G33 = 0,"",Inicio!$G33)</f>
        <v/>
      </c>
      <c r="BA8" s="14">
        <f>IF(Inicio!$G24 = 0,"",Inicio!$G24)</f>
        <v/>
      </c>
      <c r="BB8" s="14">
        <f>IF(Inicio!$G25 = 0,"",Inicio!$G25)</f>
        <v/>
      </c>
      <c r="BC8" s="14">
        <f>IF(Inicio!$G26 = 0,"",Inicio!$G26)</f>
        <v/>
      </c>
      <c r="BD8" s="14">
        <f>IF(Inicio!$G27 = 0,"",Inicio!$G27)</f>
        <v/>
      </c>
      <c r="BE8" s="14">
        <f>IF(Inicio!$G28 = 0,"",Inicio!$G28)</f>
        <v/>
      </c>
      <c r="BF8" s="14">
        <f>IF(Inicio!$G29 = 0,"",Inicio!$G29)</f>
        <v/>
      </c>
      <c r="BG8" s="14">
        <f>IF(Inicio!$G30 = 0,"",Inicio!$G30)</f>
        <v/>
      </c>
      <c r="BH8" s="14">
        <f>IF(Inicio!$G31 = 0,"",Inicio!$G31)</f>
        <v/>
      </c>
      <c r="BI8" s="14">
        <f>IF(Inicio!$G32 = 0,"",Inicio!$G32)</f>
        <v/>
      </c>
      <c r="BJ8" s="14">
        <f>IF(Inicio!$G33 = 0,"",Inicio!$G33)</f>
        <v/>
      </c>
      <c r="BK8" s="14">
        <f>IF(Inicio!$G24 = 0,"",Inicio!$G24)</f>
        <v/>
      </c>
      <c r="BL8" s="14">
        <f>IF(Inicio!$G25 = 0,"",Inicio!$G25)</f>
        <v/>
      </c>
      <c r="BM8" s="14">
        <f>IF(Inicio!$G26 = 0,"",Inicio!$G26)</f>
        <v/>
      </c>
      <c r="BN8" s="14">
        <f>IF(Inicio!$G27 = 0,"",Inicio!$G27)</f>
        <v/>
      </c>
      <c r="BO8" s="14">
        <f>IF(Inicio!$G28 = 0,"",Inicio!$G28)</f>
        <v/>
      </c>
      <c r="BP8" s="14">
        <f>IF(Inicio!$G29 = 0,"",Inicio!$G29)</f>
        <v/>
      </c>
      <c r="BQ8" s="14">
        <f>IF(Inicio!$G30 = 0,"",Inicio!$G30)</f>
        <v/>
      </c>
      <c r="BR8" s="14">
        <f>IF(Inicio!$G31 = 0,"",Inicio!$G31)</f>
        <v/>
      </c>
      <c r="BS8" s="14">
        <f>IF(Inicio!$G32 = 0,"",Inicio!$G32)</f>
        <v/>
      </c>
      <c r="BT8" s="14">
        <f>IF(Inicio!$G33 = 0,"",Inicio!$G33)</f>
        <v/>
      </c>
      <c r="BU8" s="14">
        <f>IF(Inicio!$G24 = 0,"",Inicio!$G24)</f>
        <v/>
      </c>
      <c r="BV8" s="14">
        <f>IF(Inicio!$G25 = 0,"",Inicio!$G25)</f>
        <v/>
      </c>
      <c r="BW8" s="14">
        <f>IF(Inicio!$G26 = 0,"",Inicio!$G26)</f>
        <v/>
      </c>
      <c r="BX8" s="14">
        <f>IF(Inicio!$G27 = 0,"",Inicio!$G27)</f>
        <v/>
      </c>
      <c r="BY8" s="14">
        <f>IF(Inicio!$G28 = 0,"",Inicio!$G28)</f>
        <v/>
      </c>
      <c r="BZ8" s="14">
        <f>IF(Inicio!$G29 = 0,"",Inicio!$G29)</f>
        <v/>
      </c>
      <c r="CA8" s="14">
        <f>IF(Inicio!$G30 = 0,"",Inicio!$G30)</f>
        <v/>
      </c>
      <c r="CB8" s="14">
        <f>IF(Inicio!$G31 = 0,"",Inicio!$G31)</f>
        <v/>
      </c>
      <c r="CC8" s="14">
        <f>IF(Inicio!$G32 = 0,"",Inicio!$G32)</f>
        <v/>
      </c>
      <c r="CD8" s="14">
        <f>IF(Inicio!$G33 = 0,"",Inicio!$G33)</f>
        <v/>
      </c>
      <c r="CE8" s="14">
        <f>IF(Inicio!$G24 = 0,"",Inicio!$G24)</f>
        <v/>
      </c>
      <c r="CF8" s="14">
        <f>IF(Inicio!$G25 = 0,"",Inicio!$G25)</f>
        <v/>
      </c>
      <c r="CG8" s="14">
        <f>IF(Inicio!$G26 = 0,"",Inicio!$G26)</f>
        <v/>
      </c>
      <c r="CH8" s="14">
        <f>IF(Inicio!$G27 = 0,"",Inicio!$G27)</f>
        <v/>
      </c>
      <c r="CI8" s="14">
        <f>IF(Inicio!$G28 = 0,"",Inicio!$G28)</f>
        <v/>
      </c>
      <c r="CJ8" s="14">
        <f>IF(Inicio!$G29 = 0,"",Inicio!$G29)</f>
        <v/>
      </c>
      <c r="CK8" s="14">
        <f>IF(Inicio!$G30 = 0,"",Inicio!$G30)</f>
        <v/>
      </c>
      <c r="CL8" s="14">
        <f>IF(Inicio!$G31 = 0,"",Inicio!$G31)</f>
        <v/>
      </c>
      <c r="CM8" s="14">
        <f>IF(Inicio!$G32 = 0,"",Inicio!$G32)</f>
        <v/>
      </c>
      <c r="CN8" s="14">
        <f>IF(Inicio!$G33 = 0,"",Inicio!$G33)</f>
        <v/>
      </c>
      <c r="CO8" s="14">
        <f>IF(Inicio!$G24 = 0,"",Inicio!$G24)</f>
        <v/>
      </c>
      <c r="CP8" s="14">
        <f>IF(Inicio!$G25 = 0,"",Inicio!$G25)</f>
        <v/>
      </c>
      <c r="CQ8" s="14">
        <f>IF(Inicio!$G26 = 0,"",Inicio!$G26)</f>
        <v/>
      </c>
      <c r="CR8" s="14">
        <f>IF(Inicio!$G27 = 0,"",Inicio!$G27)</f>
        <v/>
      </c>
      <c r="CS8" s="14">
        <f>IF(Inicio!$G28 = 0,"",Inicio!$G28)</f>
        <v/>
      </c>
      <c r="CT8" s="14">
        <f>IF(Inicio!$G29 = 0,"",Inicio!$G29)</f>
        <v/>
      </c>
      <c r="CU8" s="14">
        <f>IF(Inicio!$G30 = 0,"",Inicio!$G30)</f>
        <v/>
      </c>
      <c r="CV8" s="14">
        <f>IF(Inicio!$G31 = 0,"",Inicio!$G31)</f>
        <v/>
      </c>
      <c r="CW8" s="14">
        <f>IF(Inicio!$G32 = 0,"",Inicio!$G32)</f>
        <v/>
      </c>
      <c r="CX8" s="14">
        <f>IF(Inicio!$G33 = 0,"",Inicio!$G33)</f>
        <v/>
      </c>
      <c r="CY8" s="14">
        <f>IF(Inicio!$G24 = 0,"",Inicio!$G24)</f>
        <v/>
      </c>
      <c r="CZ8" s="14">
        <f>IF(Inicio!$G25 = 0,"",Inicio!$G25)</f>
        <v/>
      </c>
      <c r="DA8" s="14">
        <f>IF(Inicio!$G26 = 0,"",Inicio!$G26)</f>
        <v/>
      </c>
      <c r="DB8" s="14">
        <f>IF(Inicio!$G27 = 0,"",Inicio!$G27)</f>
        <v/>
      </c>
      <c r="DC8" s="14">
        <f>IF(Inicio!$G28 = 0,"",Inicio!$G28)</f>
        <v/>
      </c>
      <c r="DD8" s="14">
        <f>IF(Inicio!$G29 = 0,"",Inicio!$G29)</f>
        <v/>
      </c>
      <c r="DE8" s="14">
        <f>IF(Inicio!$G30 = 0,"",Inicio!$G30)</f>
        <v/>
      </c>
      <c r="DF8" s="14">
        <f>IF(Inicio!$G31 = 0,"",Inicio!$G31)</f>
        <v/>
      </c>
      <c r="DG8" s="14">
        <f>IF(Inicio!$G32 = 0,"",Inicio!$G32)</f>
        <v/>
      </c>
      <c r="DH8" s="14">
        <f>IF(Inicio!$G33 = 0,"",Inicio!$G33)</f>
        <v/>
      </c>
      <c r="DI8" s="14">
        <f>IF(Inicio!$G24 = 0,"",Inicio!$G24)</f>
        <v/>
      </c>
      <c r="DJ8" s="14">
        <f>IF(Inicio!$G25 = 0,"",Inicio!$G25)</f>
        <v/>
      </c>
      <c r="DK8" s="14">
        <f>IF(Inicio!$G26 = 0,"",Inicio!$G26)</f>
        <v/>
      </c>
      <c r="DL8" s="14">
        <f>IF(Inicio!$G27 = 0,"",Inicio!$G27)</f>
        <v/>
      </c>
      <c r="DM8" s="14">
        <f>IF(Inicio!$G28 = 0,"",Inicio!$G28)</f>
        <v/>
      </c>
      <c r="DN8" s="14">
        <f>IF(Inicio!$G29 = 0,"",Inicio!$G29)</f>
        <v/>
      </c>
      <c r="DO8" s="14">
        <f>IF(Inicio!$G30 = 0,"",Inicio!$G30)</f>
        <v/>
      </c>
      <c r="DP8" s="14">
        <f>IF(Inicio!$G31 = 0,"",Inicio!$G31)</f>
        <v/>
      </c>
      <c r="DQ8" s="14">
        <f>IF(Inicio!$G32 = 0,"",Inicio!$G32)</f>
        <v/>
      </c>
      <c r="DR8" s="14">
        <f>IF(Inicio!$G33 = 0,"",Inicio!$G33)</f>
        <v/>
      </c>
      <c r="DS8" s="52">
        <f>C7</f>
        <v/>
      </c>
      <c r="DT8" s="52">
        <f>M7</f>
        <v/>
      </c>
      <c r="DU8" s="52">
        <f>W7</f>
        <v/>
      </c>
      <c r="DV8" s="52">
        <f>AG7</f>
        <v/>
      </c>
      <c r="DW8" s="52">
        <f>AQ7</f>
        <v/>
      </c>
      <c r="DX8" s="52">
        <f>BA7</f>
        <v/>
      </c>
      <c r="DY8" s="52">
        <f>BK7</f>
        <v/>
      </c>
      <c r="DZ8" s="52">
        <f>BU7</f>
        <v/>
      </c>
      <c r="EA8" s="52">
        <f>CE7</f>
        <v/>
      </c>
      <c r="EB8" s="52">
        <f>CO7</f>
        <v/>
      </c>
      <c r="EC8" s="52">
        <f>CY7</f>
        <v/>
      </c>
      <c r="ED8" s="52">
        <f>DI7</f>
        <v/>
      </c>
      <c r="EE8" s="265" t="n"/>
      <c r="EF8" s="265" t="n"/>
      <c r="EG8" s="265" t="n"/>
      <c r="EH8" s="265" t="n"/>
    </row>
    <row r="9" ht="20.25" customHeight="1">
      <c r="B9" s="23" t="inlineStr">
        <is>
          <t>00:00 - 00:15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3">
        <f>SUM(C9:L9)*Inicio!$W$4</f>
        <v/>
      </c>
      <c r="DT9" s="3">
        <f>SUM(M9:V9)*Inicio!$W$5</f>
        <v/>
      </c>
      <c r="DU9" s="3">
        <f>SUM(W9:AF9)*Inicio!$W$6</f>
        <v/>
      </c>
      <c r="DV9" s="3">
        <f>SUM(AG9:AP9)*Inicio!$W$7</f>
        <v/>
      </c>
      <c r="DW9" s="3">
        <f>SUM(AQ9:AZ9)*Inicio!$W$8</f>
        <v/>
      </c>
      <c r="DX9" s="3">
        <f>SUM(BA9:BJ9)*Inicio!$W$9</f>
        <v/>
      </c>
      <c r="DY9" s="3">
        <f>SUM(BK9:BT9)*Inicio!$W$10</f>
        <v/>
      </c>
      <c r="DZ9" s="3">
        <f>SUM(BU9:CD9)*Inicio!$W$11</f>
        <v/>
      </c>
      <c r="EA9" s="3">
        <f>SUM(CE9:CN9)*Inicio!$W$12</f>
        <v/>
      </c>
      <c r="EB9" s="3">
        <f>SUM(CO9:CX9)*Inicio!$W$13</f>
        <v/>
      </c>
      <c r="EC9" s="3">
        <f>SUM(CY9:DH9)*Inicio!$W$11</f>
        <v/>
      </c>
      <c r="ED9" s="3">
        <f>SUM(DI9:DR9)*Inicio!$W$12</f>
        <v/>
      </c>
      <c r="EE9" s="3">
        <f>SUM(C9:DR9)</f>
        <v/>
      </c>
      <c r="EF9" s="3">
        <f>EE9</f>
        <v/>
      </c>
      <c r="EG9" s="3">
        <f>SUM(DS9:ED9)</f>
        <v/>
      </c>
      <c r="EH9" s="3">
        <f>EG9</f>
        <v/>
      </c>
    </row>
    <row r="10" ht="20.25" customHeight="1">
      <c r="B10" s="24" t="inlineStr">
        <is>
          <t>00:15 - 00:30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4">
        <f>SUM(C10:L10)*Inicio!$W$4</f>
        <v/>
      </c>
      <c r="DT10" s="4">
        <f>SUM(M10:V10)*Inicio!$W$5</f>
        <v/>
      </c>
      <c r="DU10" s="4">
        <f>SUM(W10:AF10)*Inicio!$W$6</f>
        <v/>
      </c>
      <c r="DV10" s="4">
        <f>SUM(AG10:AP10)*Inicio!$W$7</f>
        <v/>
      </c>
      <c r="DW10" s="4">
        <f>SUM(AQ10:AZ10)*Inicio!$W$8</f>
        <v/>
      </c>
      <c r="DX10" s="4">
        <f>SUM(BA10:BJ10)*Inicio!$W$9</f>
        <v/>
      </c>
      <c r="DY10" s="4">
        <f>SUM(BK10:BT10)*Inicio!$W$10</f>
        <v/>
      </c>
      <c r="DZ10" s="4">
        <f>SUM(BU10:CD10)*Inicio!$W$11</f>
        <v/>
      </c>
      <c r="EA10" s="4">
        <f>SUM(CE10:CN10)*Inicio!$W$12</f>
        <v/>
      </c>
      <c r="EB10" s="4">
        <f>SUM(CO10:CX10)*Inicio!$W$13</f>
        <v/>
      </c>
      <c r="EC10" s="4">
        <f>SUM(CY10:DH10)*Inicio!$W$11</f>
        <v/>
      </c>
      <c r="ED10" s="4">
        <f>SUM(DI10:DR10)*Inicio!$W$12</f>
        <v/>
      </c>
      <c r="EE10" s="4">
        <f>SUM(C10:DR10)</f>
        <v/>
      </c>
      <c r="EF10" s="4">
        <f>SUM(EE9:EE10)</f>
        <v/>
      </c>
      <c r="EG10" s="4">
        <f>SUM(DS10:ED10)</f>
        <v/>
      </c>
      <c r="EH10" s="4">
        <f>SUM(EG9:EG10)</f>
        <v/>
      </c>
    </row>
    <row r="11" ht="20.25" customHeight="1">
      <c r="B11" s="24" t="inlineStr">
        <is>
          <t>00:30 - 00:45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4">
        <f>SUM(C11:L11)*Inicio!$W$4</f>
        <v/>
      </c>
      <c r="DT11" s="4">
        <f>SUM(M11:V11)*Inicio!$W$5</f>
        <v/>
      </c>
      <c r="DU11" s="4">
        <f>SUM(W11:AF11)*Inicio!$W$6</f>
        <v/>
      </c>
      <c r="DV11" s="4">
        <f>SUM(AG11:AP11)*Inicio!$W$7</f>
        <v/>
      </c>
      <c r="DW11" s="4">
        <f>SUM(AQ11:AZ11)*Inicio!$W$8</f>
        <v/>
      </c>
      <c r="DX11" s="4">
        <f>SUM(BA11:BJ11)*Inicio!$W$9</f>
        <v/>
      </c>
      <c r="DY11" s="4">
        <f>SUM(BK11:BT11)*Inicio!$W$10</f>
        <v/>
      </c>
      <c r="DZ11" s="4">
        <f>SUM(BU11:CD11)*Inicio!$W$11</f>
        <v/>
      </c>
      <c r="EA11" s="4">
        <f>SUM(CE11:CN11)*Inicio!$W$12</f>
        <v/>
      </c>
      <c r="EB11" s="4">
        <f>SUM(CO11:CX11)*Inicio!$W$13</f>
        <v/>
      </c>
      <c r="EC11" s="4">
        <f>SUM(CY11:DH11)*Inicio!$W$11</f>
        <v/>
      </c>
      <c r="ED11" s="4">
        <f>SUM(DI11:DR11)*Inicio!$W$12</f>
        <v/>
      </c>
      <c r="EE11" s="4">
        <f>SUM(C11:DR11)</f>
        <v/>
      </c>
      <c r="EF11" s="4">
        <f>SUM(EE9:EE11)</f>
        <v/>
      </c>
      <c r="EG11" s="4">
        <f>SUM(DS11:ED11)</f>
        <v/>
      </c>
      <c r="EH11" s="4">
        <f>SUM(EG9:EG11)</f>
        <v/>
      </c>
    </row>
    <row r="12" ht="20.25" customHeight="1">
      <c r="B12" s="25" t="inlineStr">
        <is>
          <t>00:45 - 01:00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5">
        <f>SUM(C12:L12)*Inicio!$W$4</f>
        <v/>
      </c>
      <c r="DT12" s="5">
        <f>SUM(M12:V12)*Inicio!$W$5</f>
        <v/>
      </c>
      <c r="DU12" s="5">
        <f>SUM(W12:AF12)*Inicio!$W$6</f>
        <v/>
      </c>
      <c r="DV12" s="5">
        <f>SUM(AG12:AP12)*Inicio!$W$7</f>
        <v/>
      </c>
      <c r="DW12" s="5">
        <f>SUM(AQ12:AZ12)*Inicio!$W$8</f>
        <v/>
      </c>
      <c r="DX12" s="5">
        <f>SUM(BA12:BJ12)*Inicio!$W$9</f>
        <v/>
      </c>
      <c r="DY12" s="5">
        <f>SUM(BK12:BT12)*Inicio!$W$10</f>
        <v/>
      </c>
      <c r="DZ12" s="5">
        <f>SUM(BU12:CD12)*Inicio!$W$11</f>
        <v/>
      </c>
      <c r="EA12" s="5">
        <f>SUM(CE12:CN12)*Inicio!$W$12</f>
        <v/>
      </c>
      <c r="EB12" s="5">
        <f>SUM(CO12:CX12)*Inicio!$W$13</f>
        <v/>
      </c>
      <c r="EC12" s="85">
        <f>SUM(CY12:DH12)*Inicio!$W$11</f>
        <v/>
      </c>
      <c r="ED12" s="85">
        <f>SUM(DI12:DR12)*Inicio!$W$12</f>
        <v/>
      </c>
      <c r="EE12" s="4">
        <f>SUM(C12:DR12)</f>
        <v/>
      </c>
      <c r="EF12" s="5">
        <f>SUM(EE9:EE12)</f>
        <v/>
      </c>
      <c r="EG12" s="5">
        <f>SUM(DS12:ED12)</f>
        <v/>
      </c>
      <c r="EH12" s="5">
        <f>SUM(EG9:EG12)</f>
        <v/>
      </c>
    </row>
    <row r="13" ht="20.25" customHeight="1">
      <c r="B13" s="23" t="inlineStr">
        <is>
          <t>01:00 - 01:15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3">
        <f>SUM(C13:L13)*Inicio!$W$4</f>
        <v/>
      </c>
      <c r="DT13" s="3">
        <f>SUM(M13:V13)*Inicio!$W$5</f>
        <v/>
      </c>
      <c r="DU13" s="3">
        <f>SUM(W13:AF13)*Inicio!$W$6</f>
        <v/>
      </c>
      <c r="DV13" s="3">
        <f>SUM(AG13:AP13)*Inicio!$W$7</f>
        <v/>
      </c>
      <c r="DW13" s="3">
        <f>SUM(AQ13:AZ13)*Inicio!$W$8</f>
        <v/>
      </c>
      <c r="DX13" s="3">
        <f>SUM(BA13:BJ13)*Inicio!$W$9</f>
        <v/>
      </c>
      <c r="DY13" s="3">
        <f>SUM(BK13:BT13)*Inicio!$W$10</f>
        <v/>
      </c>
      <c r="DZ13" s="3">
        <f>SUM(BU13:CD13)*Inicio!$W$11</f>
        <v/>
      </c>
      <c r="EA13" s="3">
        <f>SUM(CE13:CN13)*Inicio!$W$12</f>
        <v/>
      </c>
      <c r="EB13" s="3">
        <f>SUM(CO13:CX13)*Inicio!$W$13</f>
        <v/>
      </c>
      <c r="EC13" s="3">
        <f>SUM(CY13:DH13)*Inicio!$W$11</f>
        <v/>
      </c>
      <c r="ED13" s="3">
        <f>SUM(DI13:DR13)*Inicio!$W$12</f>
        <v/>
      </c>
      <c r="EE13" s="3">
        <f>SUM(C13:DR13)</f>
        <v/>
      </c>
      <c r="EF13" s="3">
        <f>SUM(EE10:EE13)</f>
        <v/>
      </c>
      <c r="EG13" s="3">
        <f>SUM(DS13:ED13)</f>
        <v/>
      </c>
      <c r="EH13" s="3">
        <f>SUM(EG10:EG13)</f>
        <v/>
      </c>
    </row>
    <row r="14" ht="20.25" customHeight="1">
      <c r="B14" s="24" t="inlineStr">
        <is>
          <t>01:15 - 01:30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4">
        <f>SUM(C14:L14)*Inicio!$W$4</f>
        <v/>
      </c>
      <c r="DT14" s="4">
        <f>SUM(M14:V14)*Inicio!$W$5</f>
        <v/>
      </c>
      <c r="DU14" s="4">
        <f>SUM(W14:AF14)*Inicio!$W$6</f>
        <v/>
      </c>
      <c r="DV14" s="4">
        <f>SUM(AG14:AP14)*Inicio!$W$7</f>
        <v/>
      </c>
      <c r="DW14" s="4">
        <f>SUM(AQ14:AZ14)*Inicio!$W$8</f>
        <v/>
      </c>
      <c r="DX14" s="4">
        <f>SUM(BA14:BJ14)*Inicio!$W$9</f>
        <v/>
      </c>
      <c r="DY14" s="4">
        <f>SUM(BK14:BT14)*Inicio!$W$10</f>
        <v/>
      </c>
      <c r="DZ14" s="4">
        <f>SUM(BU14:CD14)*Inicio!$W$11</f>
        <v/>
      </c>
      <c r="EA14" s="4">
        <f>SUM(CE14:CN14)*Inicio!$W$12</f>
        <v/>
      </c>
      <c r="EB14" s="4">
        <f>SUM(CO14:CX14)*Inicio!$W$13</f>
        <v/>
      </c>
      <c r="EC14" s="4">
        <f>SUM(CY14:DH14)*Inicio!$W$11</f>
        <v/>
      </c>
      <c r="ED14" s="4">
        <f>SUM(DI14:DR14)*Inicio!$W$12</f>
        <v/>
      </c>
      <c r="EE14" s="4">
        <f>SUM(C14:DR14)</f>
        <v/>
      </c>
      <c r="EF14" s="4">
        <f>SUM(EE11:EE14)</f>
        <v/>
      </c>
      <c r="EG14" s="4">
        <f>SUM(DS14:ED14)</f>
        <v/>
      </c>
      <c r="EH14" s="4">
        <f>SUM(EG11:EG14)</f>
        <v/>
      </c>
    </row>
    <row r="15" ht="20.25" customHeight="1">
      <c r="B15" s="24" t="inlineStr">
        <is>
          <t>01:30 - 01:45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4">
        <f>SUM(C15:L15)*Inicio!$W$4</f>
        <v/>
      </c>
      <c r="DT15" s="4">
        <f>SUM(M15:V15)*Inicio!$W$5</f>
        <v/>
      </c>
      <c r="DU15" s="4">
        <f>SUM(W15:AF15)*Inicio!$W$6</f>
        <v/>
      </c>
      <c r="DV15" s="4">
        <f>SUM(AG15:AP15)*Inicio!$W$7</f>
        <v/>
      </c>
      <c r="DW15" s="4">
        <f>SUM(AQ15:AZ15)*Inicio!$W$8</f>
        <v/>
      </c>
      <c r="DX15" s="4">
        <f>SUM(BA15:BJ15)*Inicio!$W$9</f>
        <v/>
      </c>
      <c r="DY15" s="4">
        <f>SUM(BK15:BT15)*Inicio!$W$10</f>
        <v/>
      </c>
      <c r="DZ15" s="4">
        <f>SUM(BU15:CD15)*Inicio!$W$11</f>
        <v/>
      </c>
      <c r="EA15" s="4">
        <f>SUM(CE15:CN15)*Inicio!$W$12</f>
        <v/>
      </c>
      <c r="EB15" s="4">
        <f>SUM(CO15:CX15)*Inicio!$W$13</f>
        <v/>
      </c>
      <c r="EC15" s="4">
        <f>SUM(CY15:DH15)*Inicio!$W$11</f>
        <v/>
      </c>
      <c r="ED15" s="4">
        <f>SUM(DI15:DR15)*Inicio!$W$12</f>
        <v/>
      </c>
      <c r="EE15" s="4">
        <f>SUM(C15:DR15)</f>
        <v/>
      </c>
      <c r="EF15" s="4">
        <f>SUM(EE12:EE15)</f>
        <v/>
      </c>
      <c r="EG15" s="4">
        <f>SUM(DS15:ED15)</f>
        <v/>
      </c>
      <c r="EH15" s="4">
        <f>SUM(EG12:EG15)</f>
        <v/>
      </c>
    </row>
    <row r="16" ht="20.25" customHeight="1">
      <c r="B16" s="25" t="inlineStr">
        <is>
          <t>01:45 - 02:00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5">
        <f>SUM(C16:L16)*Inicio!$W$4</f>
        <v/>
      </c>
      <c r="DT16" s="5">
        <f>SUM(M16:V16)*Inicio!$W$5</f>
        <v/>
      </c>
      <c r="DU16" s="5">
        <f>SUM(W16:AF16)*Inicio!$W$6</f>
        <v/>
      </c>
      <c r="DV16" s="5">
        <f>SUM(AG16:AP16)*Inicio!$W$7</f>
        <v/>
      </c>
      <c r="DW16" s="5">
        <f>SUM(AQ16:AZ16)*Inicio!$W$8</f>
        <v/>
      </c>
      <c r="DX16" s="5">
        <f>SUM(BA16:BJ16)*Inicio!$W$9</f>
        <v/>
      </c>
      <c r="DY16" s="5">
        <f>SUM(BK16:BT16)*Inicio!$W$10</f>
        <v/>
      </c>
      <c r="DZ16" s="5">
        <f>SUM(BU16:CD16)*Inicio!$W$11</f>
        <v/>
      </c>
      <c r="EA16" s="5">
        <f>SUM(CE16:CN16)*Inicio!$W$12</f>
        <v/>
      </c>
      <c r="EB16" s="5">
        <f>SUM(CO16:CX16)*Inicio!$W$13</f>
        <v/>
      </c>
      <c r="EC16" s="5">
        <f>SUM(CY16:DH16)*Inicio!$W$11</f>
        <v/>
      </c>
      <c r="ED16" s="5">
        <f>SUM(DI16:DR16)*Inicio!$W$12</f>
        <v/>
      </c>
      <c r="EE16" s="5">
        <f>SUM(C16:DR16)</f>
        <v/>
      </c>
      <c r="EF16" s="5">
        <f>SUM(EE13:EE16)</f>
        <v/>
      </c>
      <c r="EG16" s="5">
        <f>SUM(DS16:ED16)</f>
        <v/>
      </c>
      <c r="EH16" s="5">
        <f>SUM(EG13:EG16)</f>
        <v/>
      </c>
    </row>
    <row r="17" ht="20.25" customHeight="1">
      <c r="B17" s="23" t="inlineStr">
        <is>
          <t>02:00 - 02:15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3">
        <f>SUM(C17:L17)*Inicio!$W$4</f>
        <v/>
      </c>
      <c r="DT17" s="3">
        <f>SUM(M17:V17)*Inicio!$W$5</f>
        <v/>
      </c>
      <c r="DU17" s="3">
        <f>SUM(W17:AF17)*Inicio!$W$6</f>
        <v/>
      </c>
      <c r="DV17" s="3">
        <f>SUM(AG17:AP17)*Inicio!$W$7</f>
        <v/>
      </c>
      <c r="DW17" s="3">
        <f>SUM(AQ17:AZ17)*Inicio!$W$8</f>
        <v/>
      </c>
      <c r="DX17" s="3">
        <f>SUM(BA17:BJ17)*Inicio!$W$9</f>
        <v/>
      </c>
      <c r="DY17" s="3">
        <f>SUM(BK17:BT17)*Inicio!$W$10</f>
        <v/>
      </c>
      <c r="DZ17" s="3">
        <f>SUM(BU17:CD17)*Inicio!$W$11</f>
        <v/>
      </c>
      <c r="EA17" s="3">
        <f>SUM(CE17:CN17)*Inicio!$W$12</f>
        <v/>
      </c>
      <c r="EB17" s="3">
        <f>SUM(CO17:CX17)*Inicio!$W$13</f>
        <v/>
      </c>
      <c r="EC17" s="3">
        <f>SUM(CY17:DH17)*Inicio!$W$11</f>
        <v/>
      </c>
      <c r="ED17" s="3">
        <f>SUM(DI17:DR17)*Inicio!$W$12</f>
        <v/>
      </c>
      <c r="EE17" s="3">
        <f>SUM(C17:DR17)</f>
        <v/>
      </c>
      <c r="EF17" s="3">
        <f>SUM(EE14:EE17)</f>
        <v/>
      </c>
      <c r="EG17" s="3">
        <f>SUM(DS17:ED17)</f>
        <v/>
      </c>
      <c r="EH17" s="3">
        <f>SUM(EG14:EG17)</f>
        <v/>
      </c>
    </row>
    <row r="18" ht="20.25" customHeight="1">
      <c r="B18" s="24" t="inlineStr">
        <is>
          <t>02:15 - 02:30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4">
        <f>SUM(C18:L18)*Inicio!$W$4</f>
        <v/>
      </c>
      <c r="DT18" s="4">
        <f>SUM(M18:V18)*Inicio!$W$5</f>
        <v/>
      </c>
      <c r="DU18" s="4">
        <f>SUM(W18:AF18)*Inicio!$W$6</f>
        <v/>
      </c>
      <c r="DV18" s="4">
        <f>SUM(AG18:AP18)*Inicio!$W$7</f>
        <v/>
      </c>
      <c r="DW18" s="4">
        <f>SUM(AQ18:AZ18)*Inicio!$W$8</f>
        <v/>
      </c>
      <c r="DX18" s="4">
        <f>SUM(BA18:BJ18)*Inicio!$W$9</f>
        <v/>
      </c>
      <c r="DY18" s="4">
        <f>SUM(BK18:BT18)*Inicio!$W$10</f>
        <v/>
      </c>
      <c r="DZ18" s="4">
        <f>SUM(BU18:CD18)*Inicio!$W$11</f>
        <v/>
      </c>
      <c r="EA18" s="4">
        <f>SUM(CE18:CN18)*Inicio!$W$12</f>
        <v/>
      </c>
      <c r="EB18" s="4">
        <f>SUM(CO18:CX18)*Inicio!$W$13</f>
        <v/>
      </c>
      <c r="EC18" s="4">
        <f>SUM(CY18:DH18)*Inicio!$W$11</f>
        <v/>
      </c>
      <c r="ED18" s="4">
        <f>SUM(DI18:DR18)*Inicio!$W$12</f>
        <v/>
      </c>
      <c r="EE18" s="4">
        <f>SUM(C18:DR18)</f>
        <v/>
      </c>
      <c r="EF18" s="4">
        <f>SUM(EE15:EE18)</f>
        <v/>
      </c>
      <c r="EG18" s="4">
        <f>SUM(DS18:ED18)</f>
        <v/>
      </c>
      <c r="EH18" s="4">
        <f>SUM(EG15:EG18)</f>
        <v/>
      </c>
    </row>
    <row r="19" ht="20.25" customHeight="1">
      <c r="B19" s="24" t="inlineStr">
        <is>
          <t>02:30 - 02:45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4">
        <f>SUM(C19:L19)*Inicio!$W$4</f>
        <v/>
      </c>
      <c r="DT19" s="4">
        <f>SUM(M19:V19)*Inicio!$W$5</f>
        <v/>
      </c>
      <c r="DU19" s="4">
        <f>SUM(W19:AF19)*Inicio!$W$6</f>
        <v/>
      </c>
      <c r="DV19" s="4">
        <f>SUM(AG19:AP19)*Inicio!$W$7</f>
        <v/>
      </c>
      <c r="DW19" s="4">
        <f>SUM(AQ19:AZ19)*Inicio!$W$8</f>
        <v/>
      </c>
      <c r="DX19" s="4">
        <f>SUM(BA19:BJ19)*Inicio!$W$9</f>
        <v/>
      </c>
      <c r="DY19" s="4">
        <f>SUM(BK19:BT19)*Inicio!$W$10</f>
        <v/>
      </c>
      <c r="DZ19" s="4">
        <f>SUM(BU19:CD19)*Inicio!$W$11</f>
        <v/>
      </c>
      <c r="EA19" s="4">
        <f>SUM(CE19:CN19)*Inicio!$W$12</f>
        <v/>
      </c>
      <c r="EB19" s="4">
        <f>SUM(CO19:CX19)*Inicio!$W$13</f>
        <v/>
      </c>
      <c r="EC19" s="4">
        <f>SUM(CY19:DH19)*Inicio!$W$11</f>
        <v/>
      </c>
      <c r="ED19" s="4">
        <f>SUM(DI19:DR19)*Inicio!$W$12</f>
        <v/>
      </c>
      <c r="EE19" s="4">
        <f>SUM(C19:DR19)</f>
        <v/>
      </c>
      <c r="EF19" s="4">
        <f>SUM(EE16:EE19)</f>
        <v/>
      </c>
      <c r="EG19" s="4">
        <f>SUM(DS19:ED19)</f>
        <v/>
      </c>
      <c r="EH19" s="4">
        <f>SUM(EG16:EG19)</f>
        <v/>
      </c>
    </row>
    <row r="20" ht="20.25" customHeight="1">
      <c r="B20" s="25" t="inlineStr">
        <is>
          <t>02:45 - 03:00</t>
        </is>
      </c>
      <c r="C20" s="22" t="n">
        <v>55</v>
      </c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>
        <v>0</v>
      </c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>
        <v>0</v>
      </c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>
        <v>16</v>
      </c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>
        <v>0</v>
      </c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>
        <v>0</v>
      </c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>
        <v>0</v>
      </c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>
        <v>0</v>
      </c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>
        <v>0</v>
      </c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>
        <v>0</v>
      </c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>
        <v>0</v>
      </c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>
        <v>0</v>
      </c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5">
        <f>SUM(C20:L20)*Inicio!$W$4</f>
        <v/>
      </c>
      <c r="DT20" s="5">
        <f>SUM(M20:V20)*Inicio!$W$5</f>
        <v/>
      </c>
      <c r="DU20" s="5">
        <f>SUM(W20:AF20)*Inicio!$W$6</f>
        <v/>
      </c>
      <c r="DV20" s="5">
        <f>SUM(AG20:AP20)*Inicio!$W$7</f>
        <v/>
      </c>
      <c r="DW20" s="5">
        <f>SUM(AQ20:AZ20)*Inicio!$W$8</f>
        <v/>
      </c>
      <c r="DX20" s="5">
        <f>SUM(BA20:BJ20)*Inicio!$W$9</f>
        <v/>
      </c>
      <c r="DY20" s="5">
        <f>SUM(BK20:BT20)*Inicio!$W$10</f>
        <v/>
      </c>
      <c r="DZ20" s="5">
        <f>SUM(BU20:CD20)*Inicio!$W$11</f>
        <v/>
      </c>
      <c r="EA20" s="5">
        <f>SUM(CE20:CN20)*Inicio!$W$12</f>
        <v/>
      </c>
      <c r="EB20" s="5">
        <f>SUM(CO20:CX20)*Inicio!$W$13</f>
        <v/>
      </c>
      <c r="EC20" s="5">
        <f>SUM(CY20:DH20)*Inicio!$W$11</f>
        <v/>
      </c>
      <c r="ED20" s="5">
        <f>SUM(DI20:DR20)*Inicio!$W$12</f>
        <v/>
      </c>
      <c r="EE20" s="5">
        <f>SUM(C20:DR20)</f>
        <v/>
      </c>
      <c r="EF20" s="5">
        <f>SUM(EE17:EE20)</f>
        <v/>
      </c>
      <c r="EG20" s="5">
        <f>SUM(DS20:ED20)</f>
        <v/>
      </c>
      <c r="EH20" s="5">
        <f>SUM(EG17:EG20)</f>
        <v/>
      </c>
    </row>
    <row r="21" ht="20.25" customHeight="1">
      <c r="B21" s="23" t="inlineStr">
        <is>
          <t>03:00 - 03:15</t>
        </is>
      </c>
      <c r="C21" s="20" t="n">
        <v>55</v>
      </c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>
        <v>0</v>
      </c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>
        <v>2</v>
      </c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>
        <v>13</v>
      </c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>
        <v>0</v>
      </c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>
        <v>0</v>
      </c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>
        <v>0</v>
      </c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>
        <v>0</v>
      </c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>
        <v>0</v>
      </c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>
        <v>0</v>
      </c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>
        <v>0</v>
      </c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>
        <v>0</v>
      </c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3">
        <f>SUM(C21:L21)*Inicio!$W$4</f>
        <v/>
      </c>
      <c r="DT21" s="3">
        <f>SUM(M21:V21)*Inicio!$W$5</f>
        <v/>
      </c>
      <c r="DU21" s="3">
        <f>SUM(W21:AF21)*Inicio!$W$6</f>
        <v/>
      </c>
      <c r="DV21" s="3">
        <f>SUM(AG21:AP21)*Inicio!$W$7</f>
        <v/>
      </c>
      <c r="DW21" s="3">
        <f>SUM(AQ21:AZ21)*Inicio!$W$8</f>
        <v/>
      </c>
      <c r="DX21" s="3">
        <f>SUM(BA21:BJ21)*Inicio!$W$9</f>
        <v/>
      </c>
      <c r="DY21" s="3">
        <f>SUM(BK21:BT21)*Inicio!$W$10</f>
        <v/>
      </c>
      <c r="DZ21" s="3">
        <f>SUM(BU21:CD21)*Inicio!$W$11</f>
        <v/>
      </c>
      <c r="EA21" s="3">
        <f>SUM(CE21:CN21)*Inicio!$W$12</f>
        <v/>
      </c>
      <c r="EB21" s="3">
        <f>SUM(CO21:CX21)*Inicio!$W$13</f>
        <v/>
      </c>
      <c r="EC21" s="3">
        <f>SUM(CY21:DH21)*Inicio!$W$11</f>
        <v/>
      </c>
      <c r="ED21" s="3">
        <f>SUM(DI21:DR21)*Inicio!$W$12</f>
        <v/>
      </c>
      <c r="EE21" s="3">
        <f>SUM(C21:DR21)</f>
        <v/>
      </c>
      <c r="EF21" s="3">
        <f>SUM(EE18:EE21)</f>
        <v/>
      </c>
      <c r="EG21" s="3">
        <f>SUM(DS21:ED21)</f>
        <v/>
      </c>
      <c r="EH21" s="3">
        <f>SUM(EG18:EG21)</f>
        <v/>
      </c>
    </row>
    <row r="22" ht="20.25" customHeight="1">
      <c r="B22" s="24" t="inlineStr">
        <is>
          <t>03:15 - 03:30</t>
        </is>
      </c>
      <c r="C22" s="21" t="n">
        <v>41</v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>
        <v>0</v>
      </c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>
        <v>0</v>
      </c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>
        <v>5</v>
      </c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>
        <v>0</v>
      </c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0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>
        <v>0</v>
      </c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>
        <v>0</v>
      </c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>
        <v>0</v>
      </c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>
        <v>0</v>
      </c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>
        <v>0</v>
      </c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4">
        <f>SUM(C22:L22)*Inicio!$W$4</f>
        <v/>
      </c>
      <c r="DT22" s="4">
        <f>SUM(M22:V22)*Inicio!$W$5</f>
        <v/>
      </c>
      <c r="DU22" s="4">
        <f>SUM(W22:AF22)*Inicio!$W$6</f>
        <v/>
      </c>
      <c r="DV22" s="4">
        <f>SUM(AG22:AP22)*Inicio!$W$7</f>
        <v/>
      </c>
      <c r="DW22" s="4">
        <f>SUM(AQ22:AZ22)*Inicio!$W$8</f>
        <v/>
      </c>
      <c r="DX22" s="4">
        <f>SUM(BA22:BJ22)*Inicio!$W$9</f>
        <v/>
      </c>
      <c r="DY22" s="4">
        <f>SUM(BK22:BT22)*Inicio!$W$10</f>
        <v/>
      </c>
      <c r="DZ22" s="4">
        <f>SUM(BU22:CD22)*Inicio!$W$11</f>
        <v/>
      </c>
      <c r="EA22" s="4">
        <f>SUM(CE22:CN22)*Inicio!$W$12</f>
        <v/>
      </c>
      <c r="EB22" s="4">
        <f>SUM(CO22:CX22)*Inicio!$W$13</f>
        <v/>
      </c>
      <c r="EC22" s="4">
        <f>SUM(CY22:DH22)*Inicio!$W$11</f>
        <v/>
      </c>
      <c r="ED22" s="4">
        <f>SUM(DI22:DR22)*Inicio!$W$12</f>
        <v/>
      </c>
      <c r="EE22" s="4">
        <f>SUM(C22:DR22)</f>
        <v/>
      </c>
      <c r="EF22" s="4">
        <f>SUM(EE19:EE22)</f>
        <v/>
      </c>
      <c r="EG22" s="4">
        <f>SUM(DS22:ED22)</f>
        <v/>
      </c>
      <c r="EH22" s="4">
        <f>SUM(EG19:EG22)</f>
        <v/>
      </c>
    </row>
    <row r="23" ht="20.25" customHeight="1">
      <c r="B23" s="24" t="inlineStr">
        <is>
          <t>03:30 - 03:45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4">
        <f>SUM(C23:L23)*Inicio!$W$4</f>
        <v/>
      </c>
      <c r="DT23" s="4">
        <f>SUM(M23:V23)*Inicio!$W$5</f>
        <v/>
      </c>
      <c r="DU23" s="4">
        <f>SUM(W23:AF23)*Inicio!$W$6</f>
        <v/>
      </c>
      <c r="DV23" s="4">
        <f>SUM(AG23:AP23)*Inicio!$W$7</f>
        <v/>
      </c>
      <c r="DW23" s="4">
        <f>SUM(AQ23:AZ23)*Inicio!$W$8</f>
        <v/>
      </c>
      <c r="DX23" s="4">
        <f>SUM(BA23:BJ23)*Inicio!$W$9</f>
        <v/>
      </c>
      <c r="DY23" s="4">
        <f>SUM(BK23:BT23)*Inicio!$W$10</f>
        <v/>
      </c>
      <c r="DZ23" s="4">
        <f>SUM(BU23:CD23)*Inicio!$W$11</f>
        <v/>
      </c>
      <c r="EA23" s="4">
        <f>SUM(CE23:CN23)*Inicio!$W$12</f>
        <v/>
      </c>
      <c r="EB23" s="4">
        <f>SUM(CO23:CX23)*Inicio!$W$13</f>
        <v/>
      </c>
      <c r="EC23" s="4">
        <f>SUM(CY23:DH23)*Inicio!$W$11</f>
        <v/>
      </c>
      <c r="ED23" s="4">
        <f>SUM(DI23:DR23)*Inicio!$W$12</f>
        <v/>
      </c>
      <c r="EE23" s="4">
        <f>SUM(C23:DR23)</f>
        <v/>
      </c>
      <c r="EF23" s="4">
        <f>SUM(EE20:EE23)</f>
        <v/>
      </c>
      <c r="EG23" s="4">
        <f>SUM(DS23:ED23)</f>
        <v/>
      </c>
      <c r="EH23" s="4">
        <f>SUM(EG20:EG23)</f>
        <v/>
      </c>
    </row>
    <row r="24" ht="20.25" customHeight="1">
      <c r="B24" s="25" t="inlineStr">
        <is>
          <t>03:45 - 04:00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5">
        <f>SUM(C24:L24)*Inicio!$W$4</f>
        <v/>
      </c>
      <c r="DT24" s="5">
        <f>SUM(M24:V24)*Inicio!$W$5</f>
        <v/>
      </c>
      <c r="DU24" s="5">
        <f>SUM(W24:AF24)*Inicio!$W$6</f>
        <v/>
      </c>
      <c r="DV24" s="5">
        <f>SUM(AG24:AP24)*Inicio!$W$7</f>
        <v/>
      </c>
      <c r="DW24" s="5">
        <f>SUM(AQ24:AZ24)*Inicio!$W$8</f>
        <v/>
      </c>
      <c r="DX24" s="5">
        <f>SUM(BA24:BJ24)*Inicio!$W$9</f>
        <v/>
      </c>
      <c r="DY24" s="5">
        <f>SUM(BK24:BT24)*Inicio!$W$10</f>
        <v/>
      </c>
      <c r="DZ24" s="5">
        <f>SUM(BU24:CD24)*Inicio!$W$11</f>
        <v/>
      </c>
      <c r="EA24" s="5">
        <f>SUM(CE24:CN24)*Inicio!$W$12</f>
        <v/>
      </c>
      <c r="EB24" s="5">
        <f>SUM(CO24:CX24)*Inicio!$W$13</f>
        <v/>
      </c>
      <c r="EC24" s="5">
        <f>SUM(CY24:DH24)*Inicio!$W$11</f>
        <v/>
      </c>
      <c r="ED24" s="5">
        <f>SUM(DI24:DR24)*Inicio!$W$12</f>
        <v/>
      </c>
      <c r="EE24" s="5">
        <f>SUM(C24:DR24)</f>
        <v/>
      </c>
      <c r="EF24" s="5">
        <f>SUM(EE21:EE24)</f>
        <v/>
      </c>
      <c r="EG24" s="5">
        <f>SUM(DS24:ED24)</f>
        <v/>
      </c>
      <c r="EH24" s="5">
        <f>SUM(EG21:EG24)</f>
        <v/>
      </c>
    </row>
    <row r="25" ht="20.25" customHeight="1">
      <c r="B25" s="23" t="inlineStr">
        <is>
          <t>04:00 - 04:15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3">
        <f>SUM(C25:L25)*Inicio!$W$4</f>
        <v/>
      </c>
      <c r="DT25" s="3">
        <f>SUM(M25:V25)*Inicio!$W$5</f>
        <v/>
      </c>
      <c r="DU25" s="3">
        <f>SUM(W25:AF25)*Inicio!$W$6</f>
        <v/>
      </c>
      <c r="DV25" s="3">
        <f>SUM(AG25:AP25)*Inicio!$W$7</f>
        <v/>
      </c>
      <c r="DW25" s="3">
        <f>SUM(AQ25:AZ25)*Inicio!$W$8</f>
        <v/>
      </c>
      <c r="DX25" s="3">
        <f>SUM(BA25:BJ25)*Inicio!$W$9</f>
        <v/>
      </c>
      <c r="DY25" s="3">
        <f>SUM(BK25:BT25)*Inicio!$W$10</f>
        <v/>
      </c>
      <c r="DZ25" s="3">
        <f>SUM(BU25:CD25)*Inicio!$W$11</f>
        <v/>
      </c>
      <c r="EA25" s="3">
        <f>SUM(CE25:CN25)*Inicio!$W$12</f>
        <v/>
      </c>
      <c r="EB25" s="3">
        <f>SUM(CO25:CX25)*Inicio!$W$13</f>
        <v/>
      </c>
      <c r="EC25" s="3">
        <f>SUM(CY25:DH25)*Inicio!$W$11</f>
        <v/>
      </c>
      <c r="ED25" s="3">
        <f>SUM(DI25:DR25)*Inicio!$W$12</f>
        <v/>
      </c>
      <c r="EE25" s="3">
        <f>SUM(C25:DR25)</f>
        <v/>
      </c>
      <c r="EF25" s="3">
        <f>SUM(EE22:EE25)</f>
        <v/>
      </c>
      <c r="EG25" s="3">
        <f>SUM(DS25:ED25)</f>
        <v/>
      </c>
      <c r="EH25" s="3">
        <f>SUM(EG22:EG25)</f>
        <v/>
      </c>
    </row>
    <row r="26" ht="20.25" customHeight="1">
      <c r="B26" s="24" t="inlineStr">
        <is>
          <t>04:15 - 04:30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4">
        <f>SUM(C26:L26)*Inicio!$W$4</f>
        <v/>
      </c>
      <c r="DT26" s="4">
        <f>SUM(M26:V26)*Inicio!$W$5</f>
        <v/>
      </c>
      <c r="DU26" s="4">
        <f>SUM(W26:AF26)*Inicio!$W$6</f>
        <v/>
      </c>
      <c r="DV26" s="4">
        <f>SUM(AG26:AP26)*Inicio!$W$7</f>
        <v/>
      </c>
      <c r="DW26" s="4">
        <f>SUM(AQ26:AZ26)*Inicio!$W$8</f>
        <v/>
      </c>
      <c r="DX26" s="4">
        <f>SUM(BA26:BJ26)*Inicio!$W$9</f>
        <v/>
      </c>
      <c r="DY26" s="4">
        <f>SUM(BK26:BT26)*Inicio!$W$10</f>
        <v/>
      </c>
      <c r="DZ26" s="4">
        <f>SUM(BU26:CD26)*Inicio!$W$11</f>
        <v/>
      </c>
      <c r="EA26" s="4">
        <f>SUM(CE26:CN26)*Inicio!$W$12</f>
        <v/>
      </c>
      <c r="EB26" s="4">
        <f>SUM(CO26:CX26)*Inicio!$W$13</f>
        <v/>
      </c>
      <c r="EC26" s="4">
        <f>SUM(CY26:DH26)*Inicio!$W$11</f>
        <v/>
      </c>
      <c r="ED26" s="4">
        <f>SUM(DI26:DR26)*Inicio!$W$12</f>
        <v/>
      </c>
      <c r="EE26" s="4">
        <f>SUM(C26:DR26)</f>
        <v/>
      </c>
      <c r="EF26" s="4">
        <f>SUM(EE23:EE26)</f>
        <v/>
      </c>
      <c r="EG26" s="4">
        <f>SUM(DS26:ED26)</f>
        <v/>
      </c>
      <c r="EH26" s="4">
        <f>SUM(EG23:EG26)</f>
        <v/>
      </c>
    </row>
    <row r="27" ht="20.25" customHeight="1">
      <c r="B27" s="24" t="inlineStr">
        <is>
          <t>04:30 - 04:45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4">
        <f>SUM(C27:L27)*Inicio!$W$4</f>
        <v/>
      </c>
      <c r="DT27" s="4">
        <f>SUM(M27:V27)*Inicio!$W$5</f>
        <v/>
      </c>
      <c r="DU27" s="4">
        <f>SUM(W27:AF27)*Inicio!$W$6</f>
        <v/>
      </c>
      <c r="DV27" s="4">
        <f>SUM(AG27:AP27)*Inicio!$W$7</f>
        <v/>
      </c>
      <c r="DW27" s="4">
        <f>SUM(AQ27:AZ27)*Inicio!$W$8</f>
        <v/>
      </c>
      <c r="DX27" s="4">
        <f>SUM(BA27:BJ27)*Inicio!$W$9</f>
        <v/>
      </c>
      <c r="DY27" s="4">
        <f>SUM(BK27:BT27)*Inicio!$W$10</f>
        <v/>
      </c>
      <c r="DZ27" s="4">
        <f>SUM(BU27:CD27)*Inicio!$W$11</f>
        <v/>
      </c>
      <c r="EA27" s="4">
        <f>SUM(CE27:CN27)*Inicio!$W$12</f>
        <v/>
      </c>
      <c r="EB27" s="4">
        <f>SUM(CO27:CX27)*Inicio!$W$13</f>
        <v/>
      </c>
      <c r="EC27" s="4">
        <f>SUM(CY27:DH27)*Inicio!$W$11</f>
        <v/>
      </c>
      <c r="ED27" s="4">
        <f>SUM(DI27:DR27)*Inicio!$W$12</f>
        <v/>
      </c>
      <c r="EE27" s="4">
        <f>SUM(C27:DR27)</f>
        <v/>
      </c>
      <c r="EF27" s="4">
        <f>SUM(EE24:EE27)</f>
        <v/>
      </c>
      <c r="EG27" s="4">
        <f>SUM(DS27:ED27)</f>
        <v/>
      </c>
      <c r="EH27" s="4">
        <f>SUM(EG24:EG27)</f>
        <v/>
      </c>
    </row>
    <row r="28" ht="20.25" customHeight="1">
      <c r="B28" s="25" t="inlineStr">
        <is>
          <t>04:45 - 05:00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5">
        <f>SUM(C28:L28)*Inicio!$W$4</f>
        <v/>
      </c>
      <c r="DT28" s="5">
        <f>SUM(M28:V28)*Inicio!$W$5</f>
        <v/>
      </c>
      <c r="DU28" s="5">
        <f>SUM(W28:AF28)*Inicio!$W$6</f>
        <v/>
      </c>
      <c r="DV28" s="5">
        <f>SUM(AG28:AP28)*Inicio!$W$7</f>
        <v/>
      </c>
      <c r="DW28" s="5">
        <f>SUM(AQ28:AZ28)*Inicio!$W$8</f>
        <v/>
      </c>
      <c r="DX28" s="5">
        <f>SUM(BA28:BJ28)*Inicio!$W$9</f>
        <v/>
      </c>
      <c r="DY28" s="5">
        <f>SUM(BK28:BT28)*Inicio!$W$10</f>
        <v/>
      </c>
      <c r="DZ28" s="5">
        <f>SUM(BU28:CD28)*Inicio!$W$11</f>
        <v/>
      </c>
      <c r="EA28" s="5">
        <f>SUM(CE28:CN28)*Inicio!$W$12</f>
        <v/>
      </c>
      <c r="EB28" s="5">
        <f>SUM(CO28:CX28)*Inicio!$W$13</f>
        <v/>
      </c>
      <c r="EC28" s="5">
        <f>SUM(CY28:DH28)*Inicio!$W$11</f>
        <v/>
      </c>
      <c r="ED28" s="5">
        <f>SUM(DI28:DR28)*Inicio!$W$12</f>
        <v/>
      </c>
      <c r="EE28" s="5">
        <f>SUM(C28:DR28)</f>
        <v/>
      </c>
      <c r="EF28" s="5">
        <f>SUM(EE25:EE28)</f>
        <v/>
      </c>
      <c r="EG28" s="5">
        <f>SUM(DS28:ED28)</f>
        <v/>
      </c>
      <c r="EH28" s="5">
        <f>SUM(EG25:EG28)</f>
        <v/>
      </c>
    </row>
    <row r="29" ht="20.25" customHeight="1">
      <c r="B29" s="23" t="inlineStr">
        <is>
          <t>05:00 - 05:15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3">
        <f>SUM(C29:L29)*Inicio!$W$4</f>
        <v/>
      </c>
      <c r="DT29" s="3">
        <f>SUM(M29:V29)*Inicio!$W$5</f>
        <v/>
      </c>
      <c r="DU29" s="3">
        <f>SUM(W29:AF29)*Inicio!$W$6</f>
        <v/>
      </c>
      <c r="DV29" s="3">
        <f>SUM(AG29:AP29)*Inicio!$W$7</f>
        <v/>
      </c>
      <c r="DW29" s="3">
        <f>SUM(AQ29:AZ29)*Inicio!$W$8</f>
        <v/>
      </c>
      <c r="DX29" s="3">
        <f>SUM(BA29:BJ29)*Inicio!$W$9</f>
        <v/>
      </c>
      <c r="DY29" s="3">
        <f>SUM(BK29:BT29)*Inicio!$W$10</f>
        <v/>
      </c>
      <c r="DZ29" s="3">
        <f>SUM(BU29:CD29)*Inicio!$W$11</f>
        <v/>
      </c>
      <c r="EA29" s="3">
        <f>SUM(CE29:CN29)*Inicio!$W$12</f>
        <v/>
      </c>
      <c r="EB29" s="3">
        <f>SUM(CO29:CX29)*Inicio!$W$13</f>
        <v/>
      </c>
      <c r="EC29" s="3">
        <f>SUM(CY29:DH29)*Inicio!$W$11</f>
        <v/>
      </c>
      <c r="ED29" s="3">
        <f>SUM(DI29:DR29)*Inicio!$W$12</f>
        <v/>
      </c>
      <c r="EE29" s="3">
        <f>SUM(C29:DR29)</f>
        <v/>
      </c>
      <c r="EF29" s="3">
        <f>SUM(EE26:EE29)</f>
        <v/>
      </c>
      <c r="EG29" s="3">
        <f>SUM(DS29:ED29)</f>
        <v/>
      </c>
      <c r="EH29" s="3">
        <f>SUM(EG26:EG29)</f>
        <v/>
      </c>
    </row>
    <row r="30" ht="20.25" customHeight="1">
      <c r="B30" s="24" t="inlineStr">
        <is>
          <t>05:15 - 05:30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4">
        <f>SUM(C30:L30)*Inicio!$W$4</f>
        <v/>
      </c>
      <c r="DT30" s="4">
        <f>SUM(M30:V30)*Inicio!$W$5</f>
        <v/>
      </c>
      <c r="DU30" s="4">
        <f>SUM(W30:AF30)*Inicio!$W$6</f>
        <v/>
      </c>
      <c r="DV30" s="4">
        <f>SUM(AG30:AP30)*Inicio!$W$7</f>
        <v/>
      </c>
      <c r="DW30" s="4">
        <f>SUM(AQ30:AZ30)*Inicio!$W$8</f>
        <v/>
      </c>
      <c r="DX30" s="4">
        <f>SUM(BA30:BJ30)*Inicio!$W$9</f>
        <v/>
      </c>
      <c r="DY30" s="4">
        <f>SUM(BK30:BT30)*Inicio!$W$10</f>
        <v/>
      </c>
      <c r="DZ30" s="4">
        <f>SUM(BU30:CD30)*Inicio!$W$11</f>
        <v/>
      </c>
      <c r="EA30" s="4">
        <f>SUM(CE30:CN30)*Inicio!$W$12</f>
        <v/>
      </c>
      <c r="EB30" s="4">
        <f>SUM(CO30:CX30)*Inicio!$W$13</f>
        <v/>
      </c>
      <c r="EC30" s="4">
        <f>SUM(CY30:DH30)*Inicio!$W$11</f>
        <v/>
      </c>
      <c r="ED30" s="4">
        <f>SUM(DI30:DR30)*Inicio!$W$12</f>
        <v/>
      </c>
      <c r="EE30" s="4">
        <f>SUM(C30:DR30)</f>
        <v/>
      </c>
      <c r="EF30" s="4">
        <f>SUM(EE27:EE30)</f>
        <v/>
      </c>
      <c r="EG30" s="4">
        <f>SUM(DS30:ED30)</f>
        <v/>
      </c>
      <c r="EH30" s="4">
        <f>SUM(EG27:EG30)</f>
        <v/>
      </c>
    </row>
    <row r="31" ht="20.25" customHeight="1">
      <c r="B31" s="24" t="inlineStr">
        <is>
          <t>05:30 - 05:45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4">
        <f>SUM(C31:L31)*Inicio!$W$4</f>
        <v/>
      </c>
      <c r="DT31" s="4">
        <f>SUM(M31:V31)*Inicio!$W$5</f>
        <v/>
      </c>
      <c r="DU31" s="4">
        <f>SUM(W31:AF31)*Inicio!$W$6</f>
        <v/>
      </c>
      <c r="DV31" s="4">
        <f>SUM(AG31:AP31)*Inicio!$W$7</f>
        <v/>
      </c>
      <c r="DW31" s="4">
        <f>SUM(AQ31:AZ31)*Inicio!$W$8</f>
        <v/>
      </c>
      <c r="DX31" s="4">
        <f>SUM(BA31:BJ31)*Inicio!$W$9</f>
        <v/>
      </c>
      <c r="DY31" s="4">
        <f>SUM(BK31:BT31)*Inicio!$W$10</f>
        <v/>
      </c>
      <c r="DZ31" s="4">
        <f>SUM(BU31:CD31)*Inicio!$W$11</f>
        <v/>
      </c>
      <c r="EA31" s="4">
        <f>SUM(CE31:CN31)*Inicio!$W$12</f>
        <v/>
      </c>
      <c r="EB31" s="4">
        <f>SUM(CO31:CX31)*Inicio!$W$13</f>
        <v/>
      </c>
      <c r="EC31" s="4">
        <f>SUM(CY31:DH31)*Inicio!$W$11</f>
        <v/>
      </c>
      <c r="ED31" s="4">
        <f>SUM(DI31:DR31)*Inicio!$W$12</f>
        <v/>
      </c>
      <c r="EE31" s="4">
        <f>SUM(C31:DR31)</f>
        <v/>
      </c>
      <c r="EF31" s="4">
        <f>SUM(EE28:EE31)</f>
        <v/>
      </c>
      <c r="EG31" s="4">
        <f>SUM(DS31:ED31)</f>
        <v/>
      </c>
      <c r="EH31" s="4">
        <f>SUM(EG28:EG31)</f>
        <v/>
      </c>
    </row>
    <row r="32" ht="20.25" customHeight="1">
      <c r="B32" s="25" t="inlineStr">
        <is>
          <t>05:45 - 06:00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5">
        <f>SUM(C32:L32)*Inicio!$W$4</f>
        <v/>
      </c>
      <c r="DT32" s="5">
        <f>SUM(M32:V32)*Inicio!$W$5</f>
        <v/>
      </c>
      <c r="DU32" s="5">
        <f>SUM(W32:AF32)*Inicio!$W$6</f>
        <v/>
      </c>
      <c r="DV32" s="5">
        <f>SUM(AG32:AP32)*Inicio!$W$7</f>
        <v/>
      </c>
      <c r="DW32" s="5">
        <f>SUM(AQ32:AZ32)*Inicio!$W$8</f>
        <v/>
      </c>
      <c r="DX32" s="5">
        <f>SUM(BA32:BJ32)*Inicio!$W$9</f>
        <v/>
      </c>
      <c r="DY32" s="5">
        <f>SUM(BK32:BT32)*Inicio!$W$10</f>
        <v/>
      </c>
      <c r="DZ32" s="5">
        <f>SUM(BU32:CD32)*Inicio!$W$11</f>
        <v/>
      </c>
      <c r="EA32" s="5">
        <f>SUM(CE32:CN32)*Inicio!$W$12</f>
        <v/>
      </c>
      <c r="EB32" s="5">
        <f>SUM(CO32:CX32)*Inicio!$W$13</f>
        <v/>
      </c>
      <c r="EC32" s="5">
        <f>SUM(CY32:DH32)*Inicio!$W$11</f>
        <v/>
      </c>
      <c r="ED32" s="5">
        <f>SUM(DI32:DR32)*Inicio!$W$12</f>
        <v/>
      </c>
      <c r="EE32" s="5">
        <f>SUM(C32:DR32)</f>
        <v/>
      </c>
      <c r="EF32" s="5">
        <f>SUM(EE29:EE32)</f>
        <v/>
      </c>
      <c r="EG32" s="5">
        <f>SUM(DS32:ED32)</f>
        <v/>
      </c>
      <c r="EH32" s="5">
        <f>SUM(EG29:EG32)</f>
        <v/>
      </c>
    </row>
    <row r="33" ht="20.25" customHeight="1">
      <c r="B33" s="23" t="inlineStr">
        <is>
          <t>06:00 - 06:15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3">
        <f>SUM(C33:L33)*Inicio!$W$4</f>
        <v/>
      </c>
      <c r="DT33" s="3">
        <f>SUM(M33:V33)*Inicio!$W$5</f>
        <v/>
      </c>
      <c r="DU33" s="3">
        <f>SUM(W33:AF33)*Inicio!$W$6</f>
        <v/>
      </c>
      <c r="DV33" s="3">
        <f>SUM(AG33:AP33)*Inicio!$W$7</f>
        <v/>
      </c>
      <c r="DW33" s="3">
        <f>SUM(AQ33:AZ33)*Inicio!$W$8</f>
        <v/>
      </c>
      <c r="DX33" s="3">
        <f>SUM(BA33:BJ33)*Inicio!$W$9</f>
        <v/>
      </c>
      <c r="DY33" s="3">
        <f>SUM(BK33:BT33)*Inicio!$W$10</f>
        <v/>
      </c>
      <c r="DZ33" s="3">
        <f>SUM(BU33:CD33)*Inicio!$W$11</f>
        <v/>
      </c>
      <c r="EA33" s="3">
        <f>SUM(CE33:CN33)*Inicio!$W$12</f>
        <v/>
      </c>
      <c r="EB33" s="3">
        <f>SUM(CO33:CX33)*Inicio!$W$13</f>
        <v/>
      </c>
      <c r="EC33" s="3">
        <f>SUM(CY33:DH33)*Inicio!$W$11</f>
        <v/>
      </c>
      <c r="ED33" s="3">
        <f>SUM(DI33:DR33)*Inicio!$W$12</f>
        <v/>
      </c>
      <c r="EE33" s="3">
        <f>SUM(C33:DR33)</f>
        <v/>
      </c>
      <c r="EF33" s="3">
        <f>SUM(EE30:EE33)</f>
        <v/>
      </c>
      <c r="EG33" s="3">
        <f>SUM(DS33:ED33)</f>
        <v/>
      </c>
      <c r="EH33" s="3">
        <f>SUM(EG30:EG33)</f>
        <v/>
      </c>
    </row>
    <row r="34" ht="20.25" customHeight="1">
      <c r="B34" s="24" t="inlineStr">
        <is>
          <t>06:15 - 06:30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4">
        <f>SUM(C34:L34)*Inicio!$W$4</f>
        <v/>
      </c>
      <c r="DT34" s="4">
        <f>SUM(M34:V34)*Inicio!$W$5</f>
        <v/>
      </c>
      <c r="DU34" s="4">
        <f>SUM(W34:AF34)*Inicio!$W$6</f>
        <v/>
      </c>
      <c r="DV34" s="4">
        <f>SUM(AG34:AP34)*Inicio!$W$7</f>
        <v/>
      </c>
      <c r="DW34" s="4">
        <f>SUM(AQ34:AZ34)*Inicio!$W$8</f>
        <v/>
      </c>
      <c r="DX34" s="4">
        <f>SUM(BA34:BJ34)*Inicio!$W$9</f>
        <v/>
      </c>
      <c r="DY34" s="4">
        <f>SUM(BK34:BT34)*Inicio!$W$10</f>
        <v/>
      </c>
      <c r="DZ34" s="4">
        <f>SUM(BU34:CD34)*Inicio!$W$11</f>
        <v/>
      </c>
      <c r="EA34" s="4">
        <f>SUM(CE34:CN34)*Inicio!$W$12</f>
        <v/>
      </c>
      <c r="EB34" s="4">
        <f>SUM(CO34:CX34)*Inicio!$W$13</f>
        <v/>
      </c>
      <c r="EC34" s="4">
        <f>SUM(CY34:DH34)*Inicio!$W$11</f>
        <v/>
      </c>
      <c r="ED34" s="4">
        <f>SUM(DI34:DR34)*Inicio!$W$12</f>
        <v/>
      </c>
      <c r="EE34" s="4">
        <f>SUM(C34:DR34)</f>
        <v/>
      </c>
      <c r="EF34" s="4">
        <f>SUM(EE31:EE34)</f>
        <v/>
      </c>
      <c r="EG34" s="4">
        <f>SUM(DS34:ED34)</f>
        <v/>
      </c>
      <c r="EH34" s="4">
        <f>SUM(EG31:EG34)</f>
        <v/>
      </c>
    </row>
    <row r="35" ht="20.25" customHeight="1">
      <c r="B35" s="24" t="inlineStr">
        <is>
          <t>06:30 - 06:45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4">
        <f>SUM(C35:L35)*Inicio!$W$4</f>
        <v/>
      </c>
      <c r="DT35" s="4">
        <f>SUM(M35:V35)*Inicio!$W$5</f>
        <v/>
      </c>
      <c r="DU35" s="4">
        <f>SUM(W35:AF35)*Inicio!$W$6</f>
        <v/>
      </c>
      <c r="DV35" s="4">
        <f>SUM(AG35:AP35)*Inicio!$W$7</f>
        <v/>
      </c>
      <c r="DW35" s="4">
        <f>SUM(AQ35:AZ35)*Inicio!$W$8</f>
        <v/>
      </c>
      <c r="DX35" s="4">
        <f>SUM(BA35:BJ35)*Inicio!$W$9</f>
        <v/>
      </c>
      <c r="DY35" s="4">
        <f>SUM(BK35:BT35)*Inicio!$W$10</f>
        <v/>
      </c>
      <c r="DZ35" s="4">
        <f>SUM(BU35:CD35)*Inicio!$W$11</f>
        <v/>
      </c>
      <c r="EA35" s="4">
        <f>SUM(CE35:CN35)*Inicio!$W$12</f>
        <v/>
      </c>
      <c r="EB35" s="4">
        <f>SUM(CO35:CX35)*Inicio!$W$13</f>
        <v/>
      </c>
      <c r="EC35" s="4">
        <f>SUM(CY35:DH35)*Inicio!$W$11</f>
        <v/>
      </c>
      <c r="ED35" s="4">
        <f>SUM(DI35:DR35)*Inicio!$W$12</f>
        <v/>
      </c>
      <c r="EE35" s="4">
        <f>SUM(C35:DR35)</f>
        <v/>
      </c>
      <c r="EF35" s="4">
        <f>SUM(EE32:EE35)</f>
        <v/>
      </c>
      <c r="EG35" s="4">
        <f>SUM(DS35:ED35)</f>
        <v/>
      </c>
      <c r="EH35" s="4">
        <f>SUM(EG32:EG35)</f>
        <v/>
      </c>
    </row>
    <row r="36" ht="20.25" customHeight="1">
      <c r="B36" s="26" t="inlineStr">
        <is>
          <t>06:45 - 07:00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5">
        <f>SUM(C36:L36)*Inicio!$W$4</f>
        <v/>
      </c>
      <c r="DT36" s="5">
        <f>SUM(M36:V36)*Inicio!$W$5</f>
        <v/>
      </c>
      <c r="DU36" s="5">
        <f>SUM(W36:AF36)*Inicio!$W$6</f>
        <v/>
      </c>
      <c r="DV36" s="5">
        <f>SUM(AG36:AP36)*Inicio!$W$7</f>
        <v/>
      </c>
      <c r="DW36" s="5">
        <f>SUM(AQ36:AZ36)*Inicio!$W$8</f>
        <v/>
      </c>
      <c r="DX36" s="5">
        <f>SUM(BA36:BJ36)*Inicio!$W$9</f>
        <v/>
      </c>
      <c r="DY36" s="5">
        <f>SUM(BK36:BT36)*Inicio!$W$10</f>
        <v/>
      </c>
      <c r="DZ36" s="5">
        <f>SUM(BU36:CD36)*Inicio!$W$11</f>
        <v/>
      </c>
      <c r="EA36" s="5">
        <f>SUM(CE36:CN36)*Inicio!$W$12</f>
        <v/>
      </c>
      <c r="EB36" s="5">
        <f>SUM(CO36:CX36)*Inicio!$W$13</f>
        <v/>
      </c>
      <c r="EC36" s="5">
        <f>SUM(CY36:DH36)*Inicio!$W$11</f>
        <v/>
      </c>
      <c r="ED36" s="5">
        <f>SUM(DI36:DR36)*Inicio!$W$12</f>
        <v/>
      </c>
      <c r="EE36" s="5">
        <f>SUM(C36:DR36)</f>
        <v/>
      </c>
      <c r="EF36" s="5">
        <f>SUM(EE33:EE36)</f>
        <v/>
      </c>
      <c r="EG36" s="5">
        <f>SUM(DS36:ED36)</f>
        <v/>
      </c>
      <c r="EH36" s="5">
        <f>SUM(EG33:EG36)</f>
        <v/>
      </c>
    </row>
    <row r="37" ht="20.25" customHeight="1">
      <c r="B37" s="27" t="inlineStr">
        <is>
          <t>07:00 - 07:15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  <c r="CE37" s="20" t="n"/>
      <c r="CF37" s="20" t="n"/>
      <c r="CG37" s="20" t="n"/>
      <c r="CH37" s="20" t="n"/>
      <c r="CI37" s="20" t="n"/>
      <c r="CJ37" s="20" t="n"/>
      <c r="CK37" s="20" t="n"/>
      <c r="CL37" s="20" t="n"/>
      <c r="CM37" s="20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0" t="n"/>
      <c r="CZ37" s="20" t="n"/>
      <c r="DA37" s="20" t="n"/>
      <c r="DB37" s="20" t="n"/>
      <c r="DC37" s="20" t="n"/>
      <c r="DD37" s="20" t="n"/>
      <c r="DE37" s="20" t="n"/>
      <c r="DF37" s="20" t="n"/>
      <c r="DG37" s="20" t="n"/>
      <c r="DH37" s="20" t="n"/>
      <c r="DI37" s="20" t="n"/>
      <c r="DJ37" s="20" t="n"/>
      <c r="DK37" s="20" t="n"/>
      <c r="DL37" s="20" t="n"/>
      <c r="DM37" s="20" t="n"/>
      <c r="DN37" s="20" t="n"/>
      <c r="DO37" s="20" t="n"/>
      <c r="DP37" s="20" t="n"/>
      <c r="DQ37" s="20" t="n"/>
      <c r="DR37" s="20" t="n"/>
      <c r="DS37" s="3">
        <f>SUM(C37:L37)*Inicio!$W$4</f>
        <v/>
      </c>
      <c r="DT37" s="3">
        <f>SUM(M37:V37)*Inicio!$W$5</f>
        <v/>
      </c>
      <c r="DU37" s="3">
        <f>SUM(W37:AF37)*Inicio!$W$6</f>
        <v/>
      </c>
      <c r="DV37" s="3">
        <f>SUM(AG37:AP37)*Inicio!$W$7</f>
        <v/>
      </c>
      <c r="DW37" s="3">
        <f>SUM(AQ37:AZ37)*Inicio!$W$8</f>
        <v/>
      </c>
      <c r="DX37" s="3">
        <f>SUM(BA37:BJ37)*Inicio!$W$9</f>
        <v/>
      </c>
      <c r="DY37" s="3">
        <f>SUM(BK37:BT37)*Inicio!$W$10</f>
        <v/>
      </c>
      <c r="DZ37" s="3">
        <f>SUM(BU37:CD37)*Inicio!$W$11</f>
        <v/>
      </c>
      <c r="EA37" s="3">
        <f>SUM(CE37:CN37)*Inicio!$W$12</f>
        <v/>
      </c>
      <c r="EB37" s="3">
        <f>SUM(CO37:CX37)*Inicio!$W$13</f>
        <v/>
      </c>
      <c r="EC37" s="3">
        <f>SUM(CY37:DH37)*Inicio!$W$11</f>
        <v/>
      </c>
      <c r="ED37" s="3">
        <f>SUM(DI37:DR37)*Inicio!$W$12</f>
        <v/>
      </c>
      <c r="EE37" s="3">
        <f>SUM(C37:DR37)</f>
        <v/>
      </c>
      <c r="EF37" s="3">
        <f>SUM(EE34:EE37)</f>
        <v/>
      </c>
      <c r="EG37" s="3">
        <f>SUM(DS37:ED37)</f>
        <v/>
      </c>
      <c r="EH37" s="3">
        <f>SUM(EG34:EG37)</f>
        <v/>
      </c>
    </row>
    <row r="38" ht="20.25" customHeight="1">
      <c r="B38" s="28" t="inlineStr">
        <is>
          <t>07:15 - 07:30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4">
        <f>SUM(C38:L38)*Inicio!$W$4</f>
        <v/>
      </c>
      <c r="DT38" s="4">
        <f>SUM(M38:V38)*Inicio!$W$5</f>
        <v/>
      </c>
      <c r="DU38" s="4">
        <f>SUM(W38:AF38)*Inicio!$W$6</f>
        <v/>
      </c>
      <c r="DV38" s="4">
        <f>SUM(AG38:AP38)*Inicio!$W$7</f>
        <v/>
      </c>
      <c r="DW38" s="4">
        <f>SUM(AQ38:AZ38)*Inicio!$W$8</f>
        <v/>
      </c>
      <c r="DX38" s="4">
        <f>SUM(BA38:BJ38)*Inicio!$W$9</f>
        <v/>
      </c>
      <c r="DY38" s="4">
        <f>SUM(BK38:BT38)*Inicio!$W$10</f>
        <v/>
      </c>
      <c r="DZ38" s="4">
        <f>SUM(BU38:CD38)*Inicio!$W$11</f>
        <v/>
      </c>
      <c r="EA38" s="4">
        <f>SUM(CE38:CN38)*Inicio!$W$12</f>
        <v/>
      </c>
      <c r="EB38" s="4">
        <f>SUM(CO38:CX38)*Inicio!$W$13</f>
        <v/>
      </c>
      <c r="EC38" s="4">
        <f>SUM(CY38:DH38)*Inicio!$W$11</f>
        <v/>
      </c>
      <c r="ED38" s="4">
        <f>SUM(DI38:DR38)*Inicio!$W$12</f>
        <v/>
      </c>
      <c r="EE38" s="4">
        <f>SUM(C38:DR38)</f>
        <v/>
      </c>
      <c r="EF38" s="4">
        <f>SUM(EE35:EE38)</f>
        <v/>
      </c>
      <c r="EG38" s="4">
        <f>SUM(DS38:ED38)</f>
        <v/>
      </c>
      <c r="EH38" s="4">
        <f>SUM(EG35:EG38)</f>
        <v/>
      </c>
    </row>
    <row r="39" ht="20.25" customHeight="1">
      <c r="B39" s="28" t="inlineStr">
        <is>
          <t>07:30 - 07:45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4">
        <f>SUM(C39:L39)*Inicio!$W$4</f>
        <v/>
      </c>
      <c r="DT39" s="4">
        <f>SUM(M39:V39)*Inicio!$W$5</f>
        <v/>
      </c>
      <c r="DU39" s="4">
        <f>SUM(W39:AF39)*Inicio!$W$6</f>
        <v/>
      </c>
      <c r="DV39" s="4">
        <f>SUM(AG39:AP39)*Inicio!$W$7</f>
        <v/>
      </c>
      <c r="DW39" s="4">
        <f>SUM(AQ39:AZ39)*Inicio!$W$8</f>
        <v/>
      </c>
      <c r="DX39" s="4">
        <f>SUM(BA39:BJ39)*Inicio!$W$9</f>
        <v/>
      </c>
      <c r="DY39" s="4">
        <f>SUM(BK39:BT39)*Inicio!$W$10</f>
        <v/>
      </c>
      <c r="DZ39" s="4">
        <f>SUM(BU39:CD39)*Inicio!$W$11</f>
        <v/>
      </c>
      <c r="EA39" s="4">
        <f>SUM(CE39:CN39)*Inicio!$W$12</f>
        <v/>
      </c>
      <c r="EB39" s="4">
        <f>SUM(CO39:CX39)*Inicio!$W$13</f>
        <v/>
      </c>
      <c r="EC39" s="4">
        <f>SUM(CY39:DH39)*Inicio!$W$11</f>
        <v/>
      </c>
      <c r="ED39" s="4">
        <f>SUM(DI39:DR39)*Inicio!$W$12</f>
        <v/>
      </c>
      <c r="EE39" s="4">
        <f>SUM(C39:DR39)</f>
        <v/>
      </c>
      <c r="EF39" s="4">
        <f>SUM(EE36:EE39)</f>
        <v/>
      </c>
      <c r="EG39" s="4">
        <f>SUM(DS39:ED39)</f>
        <v/>
      </c>
      <c r="EH39" s="4">
        <f>SUM(EG36:EG39)</f>
        <v/>
      </c>
    </row>
    <row r="40" ht="20.25" customHeight="1">
      <c r="B40" s="26" t="inlineStr">
        <is>
          <t>07:45 - 08:00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5">
        <f>SUM(C40:L40)*Inicio!$W$4</f>
        <v/>
      </c>
      <c r="DT40" s="5">
        <f>SUM(M40:V40)*Inicio!$W$5</f>
        <v/>
      </c>
      <c r="DU40" s="5">
        <f>SUM(W40:AF40)*Inicio!$W$6</f>
        <v/>
      </c>
      <c r="DV40" s="5">
        <f>SUM(AG40:AP40)*Inicio!$W$7</f>
        <v/>
      </c>
      <c r="DW40" s="5">
        <f>SUM(AQ40:AZ40)*Inicio!$W$8</f>
        <v/>
      </c>
      <c r="DX40" s="5">
        <f>SUM(BA40:BJ40)*Inicio!$W$9</f>
        <v/>
      </c>
      <c r="DY40" s="5">
        <f>SUM(BK40:BT40)*Inicio!$W$10</f>
        <v/>
      </c>
      <c r="DZ40" s="5">
        <f>SUM(BU40:CD40)*Inicio!$W$11</f>
        <v/>
      </c>
      <c r="EA40" s="5">
        <f>SUM(CE40:CN40)*Inicio!$W$12</f>
        <v/>
      </c>
      <c r="EB40" s="5">
        <f>SUM(CO40:CX40)*Inicio!$W$13</f>
        <v/>
      </c>
      <c r="EC40" s="5">
        <f>SUM(CY40:DH40)*Inicio!$W$11</f>
        <v/>
      </c>
      <c r="ED40" s="5">
        <f>SUM(DI40:DR40)*Inicio!$W$12</f>
        <v/>
      </c>
      <c r="EE40" s="5">
        <f>SUM(C40:DR40)</f>
        <v/>
      </c>
      <c r="EF40" s="5">
        <f>SUM(EE37:EE40)</f>
        <v/>
      </c>
      <c r="EG40" s="5">
        <f>SUM(DS40:ED40)</f>
        <v/>
      </c>
      <c r="EH40" s="5">
        <f>SUM(EG37:EG40)</f>
        <v/>
      </c>
    </row>
    <row r="41" ht="20.25" customHeight="1">
      <c r="B41" s="27" t="inlineStr">
        <is>
          <t>08:00 - 08:15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0" t="n"/>
      <c r="CO41" s="20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0" t="n"/>
      <c r="DA41" s="20" t="n"/>
      <c r="DB41" s="20" t="n"/>
      <c r="DC41" s="20" t="n"/>
      <c r="DD41" s="20" t="n"/>
      <c r="DE41" s="20" t="n"/>
      <c r="DF41" s="20" t="n"/>
      <c r="DG41" s="20" t="n"/>
      <c r="DH41" s="20" t="n"/>
      <c r="DI41" s="20" t="n"/>
      <c r="DJ41" s="20" t="n"/>
      <c r="DK41" s="20" t="n"/>
      <c r="DL41" s="20" t="n"/>
      <c r="DM41" s="20" t="n"/>
      <c r="DN41" s="20" t="n"/>
      <c r="DO41" s="20" t="n"/>
      <c r="DP41" s="20" t="n"/>
      <c r="DQ41" s="20" t="n"/>
      <c r="DR41" s="20" t="n"/>
      <c r="DS41" s="3">
        <f>SUM(C41:L41)*Inicio!$W$4</f>
        <v/>
      </c>
      <c r="DT41" s="3">
        <f>SUM(M41:V41)*Inicio!$W$5</f>
        <v/>
      </c>
      <c r="DU41" s="3">
        <f>SUM(W41:AF41)*Inicio!$W$6</f>
        <v/>
      </c>
      <c r="DV41" s="3">
        <f>SUM(AG41:AP41)*Inicio!$W$7</f>
        <v/>
      </c>
      <c r="DW41" s="3">
        <f>SUM(AQ41:AZ41)*Inicio!$W$8</f>
        <v/>
      </c>
      <c r="DX41" s="3">
        <f>SUM(BA41:BJ41)*Inicio!$W$9</f>
        <v/>
      </c>
      <c r="DY41" s="3">
        <f>SUM(BK41:BT41)*Inicio!$W$10</f>
        <v/>
      </c>
      <c r="DZ41" s="3">
        <f>SUM(BU41:CD41)*Inicio!$W$11</f>
        <v/>
      </c>
      <c r="EA41" s="3">
        <f>SUM(CE41:CN41)*Inicio!$W$12</f>
        <v/>
      </c>
      <c r="EB41" s="3">
        <f>SUM(CO41:CX41)*Inicio!$W$13</f>
        <v/>
      </c>
      <c r="EC41" s="3">
        <f>SUM(CY41:DH41)*Inicio!$W$11</f>
        <v/>
      </c>
      <c r="ED41" s="3">
        <f>SUM(DI41:DR41)*Inicio!$W$12</f>
        <v/>
      </c>
      <c r="EE41" s="3">
        <f>SUM(C41:DR41)</f>
        <v/>
      </c>
      <c r="EF41" s="3">
        <f>SUM(EE38:EE41)</f>
        <v/>
      </c>
      <c r="EG41" s="3">
        <f>SUM(DS41:ED41)</f>
        <v/>
      </c>
      <c r="EH41" s="3">
        <f>SUM(EG38:EG41)</f>
        <v/>
      </c>
    </row>
    <row r="42" ht="20.25" customHeight="1">
      <c r="B42" s="28" t="inlineStr">
        <is>
          <t>08:15 - 08:30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4">
        <f>SUM(C42:L42)*Inicio!$W$4</f>
        <v/>
      </c>
      <c r="DT42" s="4">
        <f>SUM(M42:V42)*Inicio!$W$5</f>
        <v/>
      </c>
      <c r="DU42" s="4">
        <f>SUM(W42:AF42)*Inicio!$W$6</f>
        <v/>
      </c>
      <c r="DV42" s="4">
        <f>SUM(AG42:AP42)*Inicio!$W$7</f>
        <v/>
      </c>
      <c r="DW42" s="4">
        <f>SUM(AQ42:AZ42)*Inicio!$W$8</f>
        <v/>
      </c>
      <c r="DX42" s="4">
        <f>SUM(BA42:BJ42)*Inicio!$W$9</f>
        <v/>
      </c>
      <c r="DY42" s="4">
        <f>SUM(BK42:BT42)*Inicio!$W$10</f>
        <v/>
      </c>
      <c r="DZ42" s="4">
        <f>SUM(BU42:CD42)*Inicio!$W$11</f>
        <v/>
      </c>
      <c r="EA42" s="4">
        <f>SUM(CE42:CN42)*Inicio!$W$12</f>
        <v/>
      </c>
      <c r="EB42" s="4">
        <f>SUM(CO42:CX42)*Inicio!$W$13</f>
        <v/>
      </c>
      <c r="EC42" s="4">
        <f>SUM(CY42:DH42)*Inicio!$W$11</f>
        <v/>
      </c>
      <c r="ED42" s="4">
        <f>SUM(DI42:DR42)*Inicio!$W$12</f>
        <v/>
      </c>
      <c r="EE42" s="4">
        <f>SUM(C42:DR42)</f>
        <v/>
      </c>
      <c r="EF42" s="4">
        <f>SUM(EE39:EE42)</f>
        <v/>
      </c>
      <c r="EG42" s="4">
        <f>SUM(DS42:ED42)</f>
        <v/>
      </c>
      <c r="EH42" s="4">
        <f>SUM(EG39:EG42)</f>
        <v/>
      </c>
    </row>
    <row r="43" ht="20.25" customHeight="1">
      <c r="B43" s="28" t="inlineStr">
        <is>
          <t>08:30 - 08:45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4">
        <f>SUM(C43:L43)*Inicio!$W$4</f>
        <v/>
      </c>
      <c r="DT43" s="4">
        <f>SUM(M43:V43)*Inicio!$W$5</f>
        <v/>
      </c>
      <c r="DU43" s="4">
        <f>SUM(W43:AF43)*Inicio!$W$6</f>
        <v/>
      </c>
      <c r="DV43" s="4">
        <f>SUM(AG43:AP43)*Inicio!$W$7</f>
        <v/>
      </c>
      <c r="DW43" s="4">
        <f>SUM(AQ43:AZ43)*Inicio!$W$8</f>
        <v/>
      </c>
      <c r="DX43" s="4">
        <f>SUM(BA43:BJ43)*Inicio!$W$9</f>
        <v/>
      </c>
      <c r="DY43" s="4">
        <f>SUM(BK43:BT43)*Inicio!$W$10</f>
        <v/>
      </c>
      <c r="DZ43" s="4">
        <f>SUM(BU43:CD43)*Inicio!$W$11</f>
        <v/>
      </c>
      <c r="EA43" s="4">
        <f>SUM(CE43:CN43)*Inicio!$W$12</f>
        <v/>
      </c>
      <c r="EB43" s="4">
        <f>SUM(CO43:CX43)*Inicio!$W$13</f>
        <v/>
      </c>
      <c r="EC43" s="4">
        <f>SUM(CY43:DH43)*Inicio!$W$11</f>
        <v/>
      </c>
      <c r="ED43" s="4">
        <f>SUM(DI43:DR43)*Inicio!$W$12</f>
        <v/>
      </c>
      <c r="EE43" s="4">
        <f>SUM(C43:DR43)</f>
        <v/>
      </c>
      <c r="EF43" s="4">
        <f>SUM(EE40:EE43)</f>
        <v/>
      </c>
      <c r="EG43" s="4">
        <f>SUM(DS43:ED43)</f>
        <v/>
      </c>
      <c r="EH43" s="4">
        <f>SUM(EG40:EG43)</f>
        <v/>
      </c>
    </row>
    <row r="44" ht="20.25" customHeight="1">
      <c r="B44" s="26" t="inlineStr">
        <is>
          <t>08:45 - 09:00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5">
        <f>SUM(C44:L44)*Inicio!$W$4</f>
        <v/>
      </c>
      <c r="DT44" s="5">
        <f>SUM(M44:V44)*Inicio!$W$5</f>
        <v/>
      </c>
      <c r="DU44" s="5">
        <f>SUM(W44:AF44)*Inicio!$W$6</f>
        <v/>
      </c>
      <c r="DV44" s="5">
        <f>SUM(AG44:AP44)*Inicio!$W$7</f>
        <v/>
      </c>
      <c r="DW44" s="5">
        <f>SUM(AQ44:AZ44)*Inicio!$W$8</f>
        <v/>
      </c>
      <c r="DX44" s="5">
        <f>SUM(BA44:BJ44)*Inicio!$W$9</f>
        <v/>
      </c>
      <c r="DY44" s="5">
        <f>SUM(BK44:BT44)*Inicio!$W$10</f>
        <v/>
      </c>
      <c r="DZ44" s="5">
        <f>SUM(BU44:CD44)*Inicio!$W$11</f>
        <v/>
      </c>
      <c r="EA44" s="5">
        <f>SUM(CE44:CN44)*Inicio!$W$12</f>
        <v/>
      </c>
      <c r="EB44" s="5">
        <f>SUM(CO44:CX44)*Inicio!$W$13</f>
        <v/>
      </c>
      <c r="EC44" s="5">
        <f>SUM(CY44:DH44)*Inicio!$W$11</f>
        <v/>
      </c>
      <c r="ED44" s="5">
        <f>SUM(DI44:DR44)*Inicio!$W$12</f>
        <v/>
      </c>
      <c r="EE44" s="5">
        <f>SUM(C44:DR44)</f>
        <v/>
      </c>
      <c r="EF44" s="5">
        <f>SUM(EE41:EE44)</f>
        <v/>
      </c>
      <c r="EG44" s="5">
        <f>SUM(DS44:ED44)</f>
        <v/>
      </c>
      <c r="EH44" s="5">
        <f>SUM(EG41:EG44)</f>
        <v/>
      </c>
    </row>
    <row r="45" ht="20.25" customHeight="1">
      <c r="B45" s="27" t="inlineStr">
        <is>
          <t>09:00 - 09:15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0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0" t="n"/>
      <c r="DA45" s="20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0" t="n"/>
      <c r="DK45" s="20" t="n"/>
      <c r="DL45" s="20" t="n"/>
      <c r="DM45" s="20" t="n"/>
      <c r="DN45" s="20" t="n"/>
      <c r="DO45" s="20" t="n"/>
      <c r="DP45" s="20" t="n"/>
      <c r="DQ45" s="20" t="n"/>
      <c r="DR45" s="20" t="n"/>
      <c r="DS45" s="3">
        <f>SUM(C45:L45)*Inicio!$W$4</f>
        <v/>
      </c>
      <c r="DT45" s="3">
        <f>SUM(M45:V45)*Inicio!$W$5</f>
        <v/>
      </c>
      <c r="DU45" s="3">
        <f>SUM(W45:AF45)*Inicio!$W$6</f>
        <v/>
      </c>
      <c r="DV45" s="3">
        <f>SUM(AG45:AP45)*Inicio!$W$7</f>
        <v/>
      </c>
      <c r="DW45" s="3">
        <f>SUM(AQ45:AZ45)*Inicio!$W$8</f>
        <v/>
      </c>
      <c r="DX45" s="3">
        <f>SUM(BA45:BJ45)*Inicio!$W$9</f>
        <v/>
      </c>
      <c r="DY45" s="3">
        <f>SUM(BK45:BT45)*Inicio!$W$10</f>
        <v/>
      </c>
      <c r="DZ45" s="3">
        <f>SUM(BU45:CD45)*Inicio!$W$11</f>
        <v/>
      </c>
      <c r="EA45" s="3">
        <f>SUM(CE45:CN45)*Inicio!$W$12</f>
        <v/>
      </c>
      <c r="EB45" s="3">
        <f>SUM(CO45:CX45)*Inicio!$W$13</f>
        <v/>
      </c>
      <c r="EC45" s="3">
        <f>SUM(CY45:DH45)*Inicio!$W$11</f>
        <v/>
      </c>
      <c r="ED45" s="3">
        <f>SUM(DI45:DR45)*Inicio!$W$12</f>
        <v/>
      </c>
      <c r="EE45" s="3">
        <f>SUM(C45:DR45)</f>
        <v/>
      </c>
      <c r="EF45" s="3">
        <f>SUM(EE42:EE45)</f>
        <v/>
      </c>
      <c r="EG45" s="3">
        <f>SUM(DS45:ED45)</f>
        <v/>
      </c>
      <c r="EH45" s="3">
        <f>SUM(EG42:EG45)</f>
        <v/>
      </c>
    </row>
    <row r="46" ht="20.25" customHeight="1">
      <c r="B46" s="28" t="inlineStr">
        <is>
          <t>09:15 - 09:30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4">
        <f>SUM(C46:L46)*Inicio!$W$4</f>
        <v/>
      </c>
      <c r="DT46" s="4">
        <f>SUM(M46:V46)*Inicio!$W$5</f>
        <v/>
      </c>
      <c r="DU46" s="4">
        <f>SUM(W46:AF46)*Inicio!$W$6</f>
        <v/>
      </c>
      <c r="DV46" s="4">
        <f>SUM(AG46:AP46)*Inicio!$W$7</f>
        <v/>
      </c>
      <c r="DW46" s="4">
        <f>SUM(AQ46:AZ46)*Inicio!$W$8</f>
        <v/>
      </c>
      <c r="DX46" s="4">
        <f>SUM(BA46:BJ46)*Inicio!$W$9</f>
        <v/>
      </c>
      <c r="DY46" s="4">
        <f>SUM(BK46:BT46)*Inicio!$W$10</f>
        <v/>
      </c>
      <c r="DZ46" s="4">
        <f>SUM(BU46:CD46)*Inicio!$W$11</f>
        <v/>
      </c>
      <c r="EA46" s="4">
        <f>SUM(CE46:CN46)*Inicio!$W$12</f>
        <v/>
      </c>
      <c r="EB46" s="4">
        <f>SUM(CO46:CX46)*Inicio!$W$13</f>
        <v/>
      </c>
      <c r="EC46" s="4">
        <f>SUM(CY46:DH46)*Inicio!$W$11</f>
        <v/>
      </c>
      <c r="ED46" s="4">
        <f>SUM(DI46:DR46)*Inicio!$W$12</f>
        <v/>
      </c>
      <c r="EE46" s="4">
        <f>SUM(C46:DR46)</f>
        <v/>
      </c>
      <c r="EF46" s="4">
        <f>SUM(EE43:EE46)</f>
        <v/>
      </c>
      <c r="EG46" s="4">
        <f>SUM(DS46:ED46)</f>
        <v/>
      </c>
      <c r="EH46" s="4">
        <f>SUM(EG43:EG46)</f>
        <v/>
      </c>
    </row>
    <row r="47" ht="20.25" customHeight="1">
      <c r="B47" s="28" t="inlineStr">
        <is>
          <t>09:30 - 09:45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4">
        <f>SUM(C47:L47)*Inicio!$W$4</f>
        <v/>
      </c>
      <c r="DT47" s="4">
        <f>SUM(M47:V47)*Inicio!$W$5</f>
        <v/>
      </c>
      <c r="DU47" s="4">
        <f>SUM(W47:AF47)*Inicio!$W$6</f>
        <v/>
      </c>
      <c r="DV47" s="4">
        <f>SUM(AG47:AP47)*Inicio!$W$7</f>
        <v/>
      </c>
      <c r="DW47" s="4">
        <f>SUM(AQ47:AZ47)*Inicio!$W$8</f>
        <v/>
      </c>
      <c r="DX47" s="4">
        <f>SUM(BA47:BJ47)*Inicio!$W$9</f>
        <v/>
      </c>
      <c r="DY47" s="4">
        <f>SUM(BK47:BT47)*Inicio!$W$10</f>
        <v/>
      </c>
      <c r="DZ47" s="4">
        <f>SUM(BU47:CD47)*Inicio!$W$11</f>
        <v/>
      </c>
      <c r="EA47" s="4">
        <f>SUM(CE47:CN47)*Inicio!$W$12</f>
        <v/>
      </c>
      <c r="EB47" s="4">
        <f>SUM(CO47:CX47)*Inicio!$W$13</f>
        <v/>
      </c>
      <c r="EC47" s="4">
        <f>SUM(CY47:DH47)*Inicio!$W$11</f>
        <v/>
      </c>
      <c r="ED47" s="4">
        <f>SUM(DI47:DR47)*Inicio!$W$12</f>
        <v/>
      </c>
      <c r="EE47" s="4">
        <f>SUM(C47:DR47)</f>
        <v/>
      </c>
      <c r="EF47" s="4">
        <f>SUM(EE44:EE47)</f>
        <v/>
      </c>
      <c r="EG47" s="4">
        <f>SUM(DS47:ED47)</f>
        <v/>
      </c>
      <c r="EH47" s="4">
        <f>SUM(EG44:EG47)</f>
        <v/>
      </c>
    </row>
    <row r="48" ht="20.25" customHeight="1">
      <c r="B48" s="26" t="inlineStr">
        <is>
          <t>09:45 - 10:00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5">
        <f>SUM(C48:L48)*Inicio!$W$4</f>
        <v/>
      </c>
      <c r="DT48" s="5">
        <f>SUM(M48:V48)*Inicio!$W$5</f>
        <v/>
      </c>
      <c r="DU48" s="5">
        <f>SUM(W48:AF48)*Inicio!$W$6</f>
        <v/>
      </c>
      <c r="DV48" s="5">
        <f>SUM(AG48:AP48)*Inicio!$W$7</f>
        <v/>
      </c>
      <c r="DW48" s="5">
        <f>SUM(AQ48:AZ48)*Inicio!$W$8</f>
        <v/>
      </c>
      <c r="DX48" s="5">
        <f>SUM(BA48:BJ48)*Inicio!$W$9</f>
        <v/>
      </c>
      <c r="DY48" s="5">
        <f>SUM(BK48:BT48)*Inicio!$W$10</f>
        <v/>
      </c>
      <c r="DZ48" s="5">
        <f>SUM(BU48:CD48)*Inicio!$W$11</f>
        <v/>
      </c>
      <c r="EA48" s="5">
        <f>SUM(CE48:CN48)*Inicio!$W$12</f>
        <v/>
      </c>
      <c r="EB48" s="5">
        <f>SUM(CO48:CX48)*Inicio!$W$13</f>
        <v/>
      </c>
      <c r="EC48" s="5">
        <f>SUM(CY48:DH48)*Inicio!$W$11</f>
        <v/>
      </c>
      <c r="ED48" s="5">
        <f>SUM(DI48:DR48)*Inicio!$W$12</f>
        <v/>
      </c>
      <c r="EE48" s="5">
        <f>SUM(C48:DR48)</f>
        <v/>
      </c>
      <c r="EF48" s="5">
        <f>SUM(EE45:EE48)</f>
        <v/>
      </c>
      <c r="EG48" s="5">
        <f>SUM(DS48:ED48)</f>
        <v/>
      </c>
      <c r="EH48" s="5">
        <f>SUM(EG45:EG48)</f>
        <v/>
      </c>
    </row>
    <row r="49" ht="20.25" customHeight="1">
      <c r="B49" s="27" t="inlineStr">
        <is>
          <t>10:00 - 10:15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0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0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0" t="n"/>
      <c r="DA49" s="20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0" t="n"/>
      <c r="DK49" s="20" t="n"/>
      <c r="DL49" s="20" t="n"/>
      <c r="DM49" s="20" t="n"/>
      <c r="DN49" s="20" t="n"/>
      <c r="DO49" s="20" t="n"/>
      <c r="DP49" s="20" t="n"/>
      <c r="DQ49" s="20" t="n"/>
      <c r="DR49" s="20" t="n"/>
      <c r="DS49" s="3">
        <f>SUM(C49:L49)*Inicio!$W$4</f>
        <v/>
      </c>
      <c r="DT49" s="3">
        <f>SUM(M49:V49)*Inicio!$W$5</f>
        <v/>
      </c>
      <c r="DU49" s="3">
        <f>SUM(W49:AF49)*Inicio!$W$6</f>
        <v/>
      </c>
      <c r="DV49" s="3">
        <f>SUM(AG49:AP49)*Inicio!$W$7</f>
        <v/>
      </c>
      <c r="DW49" s="3">
        <f>SUM(AQ49:AZ49)*Inicio!$W$8</f>
        <v/>
      </c>
      <c r="DX49" s="3">
        <f>SUM(BA49:BJ49)*Inicio!$W$9</f>
        <v/>
      </c>
      <c r="DY49" s="3">
        <f>SUM(BK49:BT49)*Inicio!$W$10</f>
        <v/>
      </c>
      <c r="DZ49" s="3">
        <f>SUM(BU49:CD49)*Inicio!$W$11</f>
        <v/>
      </c>
      <c r="EA49" s="3">
        <f>SUM(CE49:CN49)*Inicio!$W$12</f>
        <v/>
      </c>
      <c r="EB49" s="3">
        <f>SUM(CO49:CX49)*Inicio!$W$13</f>
        <v/>
      </c>
      <c r="EC49" s="3">
        <f>SUM(CY49:DH49)*Inicio!$W$11</f>
        <v/>
      </c>
      <c r="ED49" s="3">
        <f>SUM(DI49:DR49)*Inicio!$W$12</f>
        <v/>
      </c>
      <c r="EE49" s="3">
        <f>SUM(C49:DR49)</f>
        <v/>
      </c>
      <c r="EF49" s="3">
        <f>SUM(EE46:EE49)</f>
        <v/>
      </c>
      <c r="EG49" s="3">
        <f>SUM(DS49:ED49)</f>
        <v/>
      </c>
      <c r="EH49" s="3">
        <f>SUM(EG46:EG49)</f>
        <v/>
      </c>
    </row>
    <row r="50" ht="20.25" customHeight="1">
      <c r="B50" s="28" t="inlineStr">
        <is>
          <t>10:15 - 10:30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4">
        <f>SUM(C50:L50)*Inicio!$W$4</f>
        <v/>
      </c>
      <c r="DT50" s="4">
        <f>SUM(M50:V50)*Inicio!$W$5</f>
        <v/>
      </c>
      <c r="DU50" s="4">
        <f>SUM(W50:AF50)*Inicio!$W$6</f>
        <v/>
      </c>
      <c r="DV50" s="4">
        <f>SUM(AG50:AP50)*Inicio!$W$7</f>
        <v/>
      </c>
      <c r="DW50" s="4">
        <f>SUM(AQ50:AZ50)*Inicio!$W$8</f>
        <v/>
      </c>
      <c r="DX50" s="4">
        <f>SUM(BA50:BJ50)*Inicio!$W$9</f>
        <v/>
      </c>
      <c r="DY50" s="4">
        <f>SUM(BK50:BT50)*Inicio!$W$10</f>
        <v/>
      </c>
      <c r="DZ50" s="4">
        <f>SUM(BU50:CD50)*Inicio!$W$11</f>
        <v/>
      </c>
      <c r="EA50" s="4">
        <f>SUM(CE50:CN50)*Inicio!$W$12</f>
        <v/>
      </c>
      <c r="EB50" s="4">
        <f>SUM(CO50:CX50)*Inicio!$W$13</f>
        <v/>
      </c>
      <c r="EC50" s="4">
        <f>SUM(CY50:DH50)*Inicio!$W$11</f>
        <v/>
      </c>
      <c r="ED50" s="4">
        <f>SUM(DI50:DR50)*Inicio!$W$12</f>
        <v/>
      </c>
      <c r="EE50" s="4">
        <f>SUM(C50:DR50)</f>
        <v/>
      </c>
      <c r="EF50" s="4">
        <f>SUM(EE47:EE50)</f>
        <v/>
      </c>
      <c r="EG50" s="4">
        <f>SUM(DS50:ED50)</f>
        <v/>
      </c>
      <c r="EH50" s="4">
        <f>SUM(EG47:EG50)</f>
        <v/>
      </c>
    </row>
    <row r="51" ht="20.25" customHeight="1">
      <c r="B51" s="28" t="inlineStr">
        <is>
          <t>10:30 - 10:45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4">
        <f>SUM(C51:L51)*Inicio!$W$4</f>
        <v/>
      </c>
      <c r="DT51" s="4">
        <f>SUM(M51:V51)*Inicio!$W$5</f>
        <v/>
      </c>
      <c r="DU51" s="4">
        <f>SUM(W51:AF51)*Inicio!$W$6</f>
        <v/>
      </c>
      <c r="DV51" s="4">
        <f>SUM(AG51:AP51)*Inicio!$W$7</f>
        <v/>
      </c>
      <c r="DW51" s="4">
        <f>SUM(AQ51:AZ51)*Inicio!$W$8</f>
        <v/>
      </c>
      <c r="DX51" s="4">
        <f>SUM(BA51:BJ51)*Inicio!$W$9</f>
        <v/>
      </c>
      <c r="DY51" s="4">
        <f>SUM(BK51:BT51)*Inicio!$W$10</f>
        <v/>
      </c>
      <c r="DZ51" s="4">
        <f>SUM(BU51:CD51)*Inicio!$W$11</f>
        <v/>
      </c>
      <c r="EA51" s="4">
        <f>SUM(CE51:CN51)*Inicio!$W$12</f>
        <v/>
      </c>
      <c r="EB51" s="4">
        <f>SUM(CO51:CX51)*Inicio!$W$13</f>
        <v/>
      </c>
      <c r="EC51" s="4">
        <f>SUM(CY51:DH51)*Inicio!$W$11</f>
        <v/>
      </c>
      <c r="ED51" s="4">
        <f>SUM(DI51:DR51)*Inicio!$W$12</f>
        <v/>
      </c>
      <c r="EE51" s="4">
        <f>SUM(C51:DR51)</f>
        <v/>
      </c>
      <c r="EF51" s="4">
        <f>SUM(EE48:EE51)</f>
        <v/>
      </c>
      <c r="EG51" s="4">
        <f>SUM(DS51:ED51)</f>
        <v/>
      </c>
      <c r="EH51" s="4">
        <f>SUM(EG48:EG51)</f>
        <v/>
      </c>
    </row>
    <row r="52" ht="20.25" customHeight="1">
      <c r="B52" s="26" t="inlineStr">
        <is>
          <t>10:45 - 11:00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5">
        <f>SUM(C52:L52)*Inicio!$W$4</f>
        <v/>
      </c>
      <c r="DT52" s="5">
        <f>SUM(M52:V52)*Inicio!$W$5</f>
        <v/>
      </c>
      <c r="DU52" s="5">
        <f>SUM(W52:AF52)*Inicio!$W$6</f>
        <v/>
      </c>
      <c r="DV52" s="5">
        <f>SUM(AG52:AP52)*Inicio!$W$7</f>
        <v/>
      </c>
      <c r="DW52" s="5">
        <f>SUM(AQ52:AZ52)*Inicio!$W$8</f>
        <v/>
      </c>
      <c r="DX52" s="5">
        <f>SUM(BA52:BJ52)*Inicio!$W$9</f>
        <v/>
      </c>
      <c r="DY52" s="5">
        <f>SUM(BK52:BT52)*Inicio!$W$10</f>
        <v/>
      </c>
      <c r="DZ52" s="5">
        <f>SUM(BU52:CD52)*Inicio!$W$11</f>
        <v/>
      </c>
      <c r="EA52" s="5">
        <f>SUM(CE52:CN52)*Inicio!$W$12</f>
        <v/>
      </c>
      <c r="EB52" s="5">
        <f>SUM(CO52:CX52)*Inicio!$W$13</f>
        <v/>
      </c>
      <c r="EC52" s="5">
        <f>SUM(CY52:DH52)*Inicio!$W$11</f>
        <v/>
      </c>
      <c r="ED52" s="5">
        <f>SUM(DI52:DR52)*Inicio!$W$12</f>
        <v/>
      </c>
      <c r="EE52" s="5">
        <f>SUM(C52:DR52)</f>
        <v/>
      </c>
      <c r="EF52" s="5">
        <f>SUM(EE49:EE52)</f>
        <v/>
      </c>
      <c r="EG52" s="5">
        <f>SUM(DS52:ED52)</f>
        <v/>
      </c>
      <c r="EH52" s="5">
        <f>SUM(EG49:EG52)</f>
        <v/>
      </c>
    </row>
    <row r="53" ht="20.25" customHeight="1">
      <c r="B53" s="27" t="inlineStr">
        <is>
          <t>11:00 - 11:15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0" t="n"/>
      <c r="CO53" s="20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0" t="n"/>
      <c r="DA53" s="20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0" t="n"/>
      <c r="DK53" s="20" t="n"/>
      <c r="DL53" s="20" t="n"/>
      <c r="DM53" s="20" t="n"/>
      <c r="DN53" s="20" t="n"/>
      <c r="DO53" s="20" t="n"/>
      <c r="DP53" s="20" t="n"/>
      <c r="DQ53" s="20" t="n"/>
      <c r="DR53" s="20" t="n"/>
      <c r="DS53" s="4">
        <f>SUM(C53:L53)*Inicio!$W$4</f>
        <v/>
      </c>
      <c r="DT53" s="4">
        <f>SUM(M53:V53)*Inicio!$W$5</f>
        <v/>
      </c>
      <c r="DU53" s="4">
        <f>SUM(W53:AF53)*Inicio!$W$6</f>
        <v/>
      </c>
      <c r="DV53" s="4">
        <f>SUM(AG53:AP53)*Inicio!$W$7</f>
        <v/>
      </c>
      <c r="DW53" s="4">
        <f>SUM(AQ53:AZ53)*Inicio!$W$8</f>
        <v/>
      </c>
      <c r="DX53" s="4">
        <f>SUM(BA53:BJ53)*Inicio!$W$9</f>
        <v/>
      </c>
      <c r="DY53" s="4">
        <f>SUM(BK53:BT53)*Inicio!$W$10</f>
        <v/>
      </c>
      <c r="DZ53" s="4">
        <f>SUM(BU53:CD53)*Inicio!$W$11</f>
        <v/>
      </c>
      <c r="EA53" s="4">
        <f>SUM(CE53:CN53)*Inicio!$W$12</f>
        <v/>
      </c>
      <c r="EB53" s="4">
        <f>SUM(CO53:CX53)*Inicio!$W$13</f>
        <v/>
      </c>
      <c r="EC53" s="4">
        <f>SUM(CY53:DH53)*Inicio!$W$11</f>
        <v/>
      </c>
      <c r="ED53" s="4">
        <f>SUM(DI53:DR53)*Inicio!$W$12</f>
        <v/>
      </c>
      <c r="EE53" s="4">
        <f>SUM(C53:DR53)</f>
        <v/>
      </c>
      <c r="EF53" s="4">
        <f>SUM(EE50:EE53)</f>
        <v/>
      </c>
      <c r="EG53" s="4">
        <f>SUM(DS53:ED53)</f>
        <v/>
      </c>
      <c r="EH53" s="4">
        <f>SUM(EG50:EG53)</f>
        <v/>
      </c>
    </row>
    <row r="54" ht="20.25" customHeight="1">
      <c r="B54" s="28" t="inlineStr">
        <is>
          <t>11:15 - 11:30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4">
        <f>SUM(C54:L54)*Inicio!$W$4</f>
        <v/>
      </c>
      <c r="DT54" s="4">
        <f>SUM(M54:V54)*Inicio!$W$5</f>
        <v/>
      </c>
      <c r="DU54" s="4">
        <f>SUM(W54:AF54)*Inicio!$W$6</f>
        <v/>
      </c>
      <c r="DV54" s="4">
        <f>SUM(AG54:AP54)*Inicio!$W$7</f>
        <v/>
      </c>
      <c r="DW54" s="4">
        <f>SUM(AQ54:AZ54)*Inicio!$W$8</f>
        <v/>
      </c>
      <c r="DX54" s="4">
        <f>SUM(BA54:BJ54)*Inicio!$W$9</f>
        <v/>
      </c>
      <c r="DY54" s="4">
        <f>SUM(BK54:BT54)*Inicio!$W$10</f>
        <v/>
      </c>
      <c r="DZ54" s="4">
        <f>SUM(BU54:CD54)*Inicio!$W$11</f>
        <v/>
      </c>
      <c r="EA54" s="4">
        <f>SUM(CE54:CN54)*Inicio!$W$12</f>
        <v/>
      </c>
      <c r="EB54" s="4">
        <f>SUM(CO54:CX54)*Inicio!$W$13</f>
        <v/>
      </c>
      <c r="EC54" s="4">
        <f>SUM(CY54:DH54)*Inicio!$W$11</f>
        <v/>
      </c>
      <c r="ED54" s="4">
        <f>SUM(DI54:DR54)*Inicio!$W$12</f>
        <v/>
      </c>
      <c r="EE54" s="4">
        <f>SUM(C54:DR54)</f>
        <v/>
      </c>
      <c r="EF54" s="4">
        <f>SUM(EE51:EE54)</f>
        <v/>
      </c>
      <c r="EG54" s="4">
        <f>SUM(DS54:ED54)</f>
        <v/>
      </c>
      <c r="EH54" s="4">
        <f>SUM(EG51:EG54)</f>
        <v/>
      </c>
    </row>
    <row r="55" ht="20.25" customHeight="1">
      <c r="B55" s="28" t="inlineStr">
        <is>
          <t>11:30 - 11:45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4">
        <f>SUM(C55:L55)*Inicio!$W$4</f>
        <v/>
      </c>
      <c r="DT55" s="4">
        <f>SUM(M55:V55)*Inicio!$W$5</f>
        <v/>
      </c>
      <c r="DU55" s="4">
        <f>SUM(W55:AF55)*Inicio!$W$6</f>
        <v/>
      </c>
      <c r="DV55" s="4">
        <f>SUM(AG55:AP55)*Inicio!$W$7</f>
        <v/>
      </c>
      <c r="DW55" s="4">
        <f>SUM(AQ55:AZ55)*Inicio!$W$8</f>
        <v/>
      </c>
      <c r="DX55" s="4">
        <f>SUM(BA55:BJ55)*Inicio!$W$9</f>
        <v/>
      </c>
      <c r="DY55" s="4">
        <f>SUM(BK55:BT55)*Inicio!$W$10</f>
        <v/>
      </c>
      <c r="DZ55" s="4">
        <f>SUM(BU55:CD55)*Inicio!$W$11</f>
        <v/>
      </c>
      <c r="EA55" s="4">
        <f>SUM(CE55:CN55)*Inicio!$W$12</f>
        <v/>
      </c>
      <c r="EB55" s="4">
        <f>SUM(CO55:CX55)*Inicio!$W$13</f>
        <v/>
      </c>
      <c r="EC55" s="4">
        <f>SUM(CY55:DH55)*Inicio!$W$11</f>
        <v/>
      </c>
      <c r="ED55" s="4">
        <f>SUM(DI55:DR55)*Inicio!$W$12</f>
        <v/>
      </c>
      <c r="EE55" s="4">
        <f>SUM(C55:DR55)</f>
        <v/>
      </c>
      <c r="EF55" s="4">
        <f>SUM(EE52:EE55)</f>
        <v/>
      </c>
      <c r="EG55" s="4">
        <f>SUM(DS55:ED55)</f>
        <v/>
      </c>
      <c r="EH55" s="4">
        <f>SUM(EG52:EG55)</f>
        <v/>
      </c>
    </row>
    <row r="56" ht="20.25" customHeight="1">
      <c r="B56" s="26" t="inlineStr">
        <is>
          <t>11:45 - 12:00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4">
        <f>SUM(C56:L56)*Inicio!$W$4</f>
        <v/>
      </c>
      <c r="DT56" s="4">
        <f>SUM(M56:V56)*Inicio!$W$5</f>
        <v/>
      </c>
      <c r="DU56" s="4">
        <f>SUM(W56:AF56)*Inicio!$W$6</f>
        <v/>
      </c>
      <c r="DV56" s="4">
        <f>SUM(AG56:AP56)*Inicio!$W$7</f>
        <v/>
      </c>
      <c r="DW56" s="4">
        <f>SUM(AQ56:AZ56)*Inicio!$W$8</f>
        <v/>
      </c>
      <c r="DX56" s="4">
        <f>SUM(BA56:BJ56)*Inicio!$W$9</f>
        <v/>
      </c>
      <c r="DY56" s="4">
        <f>SUM(BK56:BT56)*Inicio!$W$10</f>
        <v/>
      </c>
      <c r="DZ56" s="4">
        <f>SUM(BU56:CD56)*Inicio!$W$11</f>
        <v/>
      </c>
      <c r="EA56" s="4">
        <f>SUM(CE56:CN56)*Inicio!$W$12</f>
        <v/>
      </c>
      <c r="EB56" s="4">
        <f>SUM(CO56:CX56)*Inicio!$W$13</f>
        <v/>
      </c>
      <c r="EC56" s="4">
        <f>SUM(CY56:DH56)*Inicio!$W$11</f>
        <v/>
      </c>
      <c r="ED56" s="4">
        <f>SUM(DI56:DR56)*Inicio!$W$12</f>
        <v/>
      </c>
      <c r="EE56" s="4">
        <f>SUM(C56:DR56)</f>
        <v/>
      </c>
      <c r="EF56" s="4">
        <f>SUM(EE53:EE56)</f>
        <v/>
      </c>
      <c r="EG56" s="4">
        <f>SUM(DS56:ED56)</f>
        <v/>
      </c>
      <c r="EH56" s="4">
        <f>SUM(EG53:EG56)</f>
        <v/>
      </c>
    </row>
    <row r="57" ht="20.25" customHeight="1">
      <c r="B57" s="27" t="inlineStr">
        <is>
          <t>12:00 - 12:15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0" t="n"/>
      <c r="CO57" s="20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0" t="n"/>
      <c r="DA57" s="20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0" t="n"/>
      <c r="DK57" s="20" t="n"/>
      <c r="DL57" s="20" t="n"/>
      <c r="DM57" s="20" t="n"/>
      <c r="DN57" s="20" t="n"/>
      <c r="DO57" s="20" t="n"/>
      <c r="DP57" s="20" t="n"/>
      <c r="DQ57" s="20" t="n"/>
      <c r="DR57" s="20" t="n"/>
      <c r="DS57" s="3">
        <f>SUM(C57:L57)*Inicio!$W$4</f>
        <v/>
      </c>
      <c r="DT57" s="3">
        <f>SUM(M57:V57)*Inicio!$W$5</f>
        <v/>
      </c>
      <c r="DU57" s="3">
        <f>SUM(W57:AF57)*Inicio!$W$6</f>
        <v/>
      </c>
      <c r="DV57" s="3">
        <f>SUM(AG57:AP57)*Inicio!$W$7</f>
        <v/>
      </c>
      <c r="DW57" s="3">
        <f>SUM(AQ57:AZ57)*Inicio!$W$8</f>
        <v/>
      </c>
      <c r="DX57" s="3">
        <f>SUM(BA57:BJ57)*Inicio!$W$9</f>
        <v/>
      </c>
      <c r="DY57" s="3">
        <f>SUM(BK57:BT57)*Inicio!$W$10</f>
        <v/>
      </c>
      <c r="DZ57" s="3">
        <f>SUM(BU57:CD57)*Inicio!$W$11</f>
        <v/>
      </c>
      <c r="EA57" s="3">
        <f>SUM(CE57:CN57)*Inicio!$W$12</f>
        <v/>
      </c>
      <c r="EB57" s="3">
        <f>SUM(CO57:CX57)*Inicio!$W$13</f>
        <v/>
      </c>
      <c r="EC57" s="3">
        <f>SUM(CY57:DH57)*Inicio!$W$11</f>
        <v/>
      </c>
      <c r="ED57" s="3">
        <f>SUM(DI57:DR57)*Inicio!$W$12</f>
        <v/>
      </c>
      <c r="EE57" s="3">
        <f>SUM(C57:DR57)</f>
        <v/>
      </c>
      <c r="EF57" s="3">
        <f>SUM(EE54:EE57)</f>
        <v/>
      </c>
      <c r="EG57" s="3">
        <f>SUM(DS57:ED57)</f>
        <v/>
      </c>
      <c r="EH57" s="3">
        <f>SUM(EG54:EG57)</f>
        <v/>
      </c>
    </row>
    <row r="58" ht="20.25" customHeight="1">
      <c r="B58" s="28" t="inlineStr">
        <is>
          <t>12:15 - 12:30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4">
        <f>SUM(C58:L58)*Inicio!$W$4</f>
        <v/>
      </c>
      <c r="DT58" s="4">
        <f>SUM(M58:V58)*Inicio!$W$5</f>
        <v/>
      </c>
      <c r="DU58" s="4">
        <f>SUM(W58:AF58)*Inicio!$W$6</f>
        <v/>
      </c>
      <c r="DV58" s="4">
        <f>SUM(AG58:AP58)*Inicio!$W$7</f>
        <v/>
      </c>
      <c r="DW58" s="4">
        <f>SUM(AQ58:AZ58)*Inicio!$W$8</f>
        <v/>
      </c>
      <c r="DX58" s="4">
        <f>SUM(BA58:BJ58)*Inicio!$W$9</f>
        <v/>
      </c>
      <c r="DY58" s="4">
        <f>SUM(BK58:BT58)*Inicio!$W$10</f>
        <v/>
      </c>
      <c r="DZ58" s="4">
        <f>SUM(BU58:CD58)*Inicio!$W$11</f>
        <v/>
      </c>
      <c r="EA58" s="4">
        <f>SUM(CE58:CN58)*Inicio!$W$12</f>
        <v/>
      </c>
      <c r="EB58" s="4">
        <f>SUM(CO58:CX58)*Inicio!$W$13</f>
        <v/>
      </c>
      <c r="EC58" s="4">
        <f>SUM(CY58:DH58)*Inicio!$W$11</f>
        <v/>
      </c>
      <c r="ED58" s="4">
        <f>SUM(DI58:DR58)*Inicio!$W$12</f>
        <v/>
      </c>
      <c r="EE58" s="4">
        <f>SUM(C58:DR58)</f>
        <v/>
      </c>
      <c r="EF58" s="4">
        <f>SUM(EE55:EE58)</f>
        <v/>
      </c>
      <c r="EG58" s="4">
        <f>SUM(DS58:ED58)</f>
        <v/>
      </c>
      <c r="EH58" s="4">
        <f>SUM(EG55:EG58)</f>
        <v/>
      </c>
    </row>
    <row r="59" ht="20.25" customHeight="1">
      <c r="B59" s="28" t="inlineStr">
        <is>
          <t>12:30 - 12:45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4">
        <f>SUM(C59:L59)*Inicio!$W$4</f>
        <v/>
      </c>
      <c r="DT59" s="4">
        <f>SUM(M59:V59)*Inicio!$W$5</f>
        <v/>
      </c>
      <c r="DU59" s="4">
        <f>SUM(W59:AF59)*Inicio!$W$6</f>
        <v/>
      </c>
      <c r="DV59" s="4">
        <f>SUM(AG59:AP59)*Inicio!$W$7</f>
        <v/>
      </c>
      <c r="DW59" s="4">
        <f>SUM(AQ59:AZ59)*Inicio!$W$8</f>
        <v/>
      </c>
      <c r="DX59" s="4">
        <f>SUM(BA59:BJ59)*Inicio!$W$9</f>
        <v/>
      </c>
      <c r="DY59" s="4">
        <f>SUM(BK59:BT59)*Inicio!$W$10</f>
        <v/>
      </c>
      <c r="DZ59" s="4">
        <f>SUM(BU59:CD59)*Inicio!$W$11</f>
        <v/>
      </c>
      <c r="EA59" s="4">
        <f>SUM(CE59:CN59)*Inicio!$W$12</f>
        <v/>
      </c>
      <c r="EB59" s="4">
        <f>SUM(CO59:CX59)*Inicio!$W$13</f>
        <v/>
      </c>
      <c r="EC59" s="4">
        <f>SUM(CY59:DH59)*Inicio!$W$11</f>
        <v/>
      </c>
      <c r="ED59" s="4">
        <f>SUM(DI59:DR59)*Inicio!$W$12</f>
        <v/>
      </c>
      <c r="EE59" s="4">
        <f>SUM(C59:DR59)</f>
        <v/>
      </c>
      <c r="EF59" s="4">
        <f>SUM(EE56:EE59)</f>
        <v/>
      </c>
      <c r="EG59" s="4">
        <f>SUM(DS59:ED59)</f>
        <v/>
      </c>
      <c r="EH59" s="4">
        <f>SUM(EG56:EG59)</f>
        <v/>
      </c>
    </row>
    <row r="60" ht="20.25" customHeight="1">
      <c r="B60" s="26" t="inlineStr">
        <is>
          <t>12:45 - 13:00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5">
        <f>SUM(C60:L60)*Inicio!$W$4</f>
        <v/>
      </c>
      <c r="DT60" s="5">
        <f>SUM(M60:V60)*Inicio!$W$5</f>
        <v/>
      </c>
      <c r="DU60" s="5">
        <f>SUM(W60:AF60)*Inicio!$W$6</f>
        <v/>
      </c>
      <c r="DV60" s="5">
        <f>SUM(AG60:AP60)*Inicio!$W$7</f>
        <v/>
      </c>
      <c r="DW60" s="5">
        <f>SUM(AQ60:AZ60)*Inicio!$W$8</f>
        <v/>
      </c>
      <c r="DX60" s="5">
        <f>SUM(BA60:BJ60)*Inicio!$W$9</f>
        <v/>
      </c>
      <c r="DY60" s="5">
        <f>SUM(BK60:BT60)*Inicio!$W$10</f>
        <v/>
      </c>
      <c r="DZ60" s="5">
        <f>SUM(BU60:CD60)*Inicio!$W$11</f>
        <v/>
      </c>
      <c r="EA60" s="5">
        <f>SUM(CE60:CN60)*Inicio!$W$12</f>
        <v/>
      </c>
      <c r="EB60" s="5">
        <f>SUM(CO60:CX60)*Inicio!$W$13</f>
        <v/>
      </c>
      <c r="EC60" s="5">
        <f>SUM(CY60:DH60)*Inicio!$W$11</f>
        <v/>
      </c>
      <c r="ED60" s="5">
        <f>SUM(DI60:DR60)*Inicio!$W$12</f>
        <v/>
      </c>
      <c r="EE60" s="5">
        <f>SUM(C60:DR60)</f>
        <v/>
      </c>
      <c r="EF60" s="5">
        <f>SUM(EE57:EE60)</f>
        <v/>
      </c>
      <c r="EG60" s="5">
        <f>SUM(DS60:ED60)</f>
        <v/>
      </c>
      <c r="EH60" s="5">
        <f>SUM(EG57:EG60)</f>
        <v/>
      </c>
    </row>
    <row r="61" ht="20.25" customHeight="1">
      <c r="B61" s="27" t="inlineStr">
        <is>
          <t>13:00 - 13:15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0" t="n"/>
      <c r="CO61" s="20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0" t="n"/>
      <c r="DA61" s="20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0" t="n"/>
      <c r="DK61" s="20" t="n"/>
      <c r="DL61" s="20" t="n"/>
      <c r="DM61" s="20" t="n"/>
      <c r="DN61" s="20" t="n"/>
      <c r="DO61" s="20" t="n"/>
      <c r="DP61" s="20" t="n"/>
      <c r="DQ61" s="20" t="n"/>
      <c r="DR61" s="20" t="n"/>
      <c r="DS61" s="3">
        <f>SUM(C61:L61)*Inicio!$W$4</f>
        <v/>
      </c>
      <c r="DT61" s="3">
        <f>SUM(M61:V61)*Inicio!$W$5</f>
        <v/>
      </c>
      <c r="DU61" s="3">
        <f>SUM(W61:AF61)*Inicio!$W$6</f>
        <v/>
      </c>
      <c r="DV61" s="3">
        <f>SUM(AG61:AP61)*Inicio!$W$7</f>
        <v/>
      </c>
      <c r="DW61" s="3">
        <f>SUM(AQ61:AZ61)*Inicio!$W$8</f>
        <v/>
      </c>
      <c r="DX61" s="3">
        <f>SUM(BA61:BJ61)*Inicio!$W$9</f>
        <v/>
      </c>
      <c r="DY61" s="3">
        <f>SUM(BK61:BT61)*Inicio!$W$10</f>
        <v/>
      </c>
      <c r="DZ61" s="3">
        <f>SUM(BU61:CD61)*Inicio!$W$11</f>
        <v/>
      </c>
      <c r="EA61" s="3">
        <f>SUM(CE61:CN61)*Inicio!$W$12</f>
        <v/>
      </c>
      <c r="EB61" s="3">
        <f>SUM(CO61:CX61)*Inicio!$W$13</f>
        <v/>
      </c>
      <c r="EC61" s="3">
        <f>SUM(CY61:DH61)*Inicio!$W$11</f>
        <v/>
      </c>
      <c r="ED61" s="3">
        <f>SUM(DI61:DR61)*Inicio!$W$12</f>
        <v/>
      </c>
      <c r="EE61" s="3">
        <f>SUM(C61:DR61)</f>
        <v/>
      </c>
      <c r="EF61" s="3">
        <f>SUM(EE58:EE61)</f>
        <v/>
      </c>
      <c r="EG61" s="3">
        <f>SUM(DS61:ED61)</f>
        <v/>
      </c>
      <c r="EH61" s="3">
        <f>SUM(EG58:EG61)</f>
        <v/>
      </c>
    </row>
    <row r="62" ht="20.25" customHeight="1">
      <c r="B62" s="28" t="inlineStr">
        <is>
          <t>13:15 - 13:30</t>
        </is>
      </c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4">
        <f>SUM(C62:L62)*Inicio!$W$4</f>
        <v/>
      </c>
      <c r="DT62" s="4">
        <f>SUM(M62:V62)*Inicio!$W$5</f>
        <v/>
      </c>
      <c r="DU62" s="4">
        <f>SUM(W62:AF62)*Inicio!$W$6</f>
        <v/>
      </c>
      <c r="DV62" s="4">
        <f>SUM(AG62:AP62)*Inicio!$W$7</f>
        <v/>
      </c>
      <c r="DW62" s="4">
        <f>SUM(AQ62:AZ62)*Inicio!$W$8</f>
        <v/>
      </c>
      <c r="DX62" s="4">
        <f>SUM(BA62:BJ62)*Inicio!$W$9</f>
        <v/>
      </c>
      <c r="DY62" s="4">
        <f>SUM(BK62:BT62)*Inicio!$W$10</f>
        <v/>
      </c>
      <c r="DZ62" s="4">
        <f>SUM(BU62:CD62)*Inicio!$W$11</f>
        <v/>
      </c>
      <c r="EA62" s="4">
        <f>SUM(CE62:CN62)*Inicio!$W$12</f>
        <v/>
      </c>
      <c r="EB62" s="4">
        <f>SUM(CO62:CX62)*Inicio!$W$13</f>
        <v/>
      </c>
      <c r="EC62" s="4">
        <f>SUM(CY62:DH62)*Inicio!$W$11</f>
        <v/>
      </c>
      <c r="ED62" s="4">
        <f>SUM(DI62:DR62)*Inicio!$W$12</f>
        <v/>
      </c>
      <c r="EE62" s="4">
        <f>SUM(C62:DR62)</f>
        <v/>
      </c>
      <c r="EF62" s="4">
        <f>SUM(EE59:EE62)</f>
        <v/>
      </c>
      <c r="EG62" s="4">
        <f>SUM(DS62:ED62)</f>
        <v/>
      </c>
      <c r="EH62" s="4">
        <f>SUM(EG59:EG62)</f>
        <v/>
      </c>
    </row>
    <row r="63" ht="20.25" customHeight="1">
      <c r="B63" s="28" t="inlineStr">
        <is>
          <t>13:30 - 13:45</t>
        </is>
      </c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4">
        <f>SUM(C63:L63)*Inicio!$W$4</f>
        <v/>
      </c>
      <c r="DT63" s="4">
        <f>SUM(M63:V63)*Inicio!$W$5</f>
        <v/>
      </c>
      <c r="DU63" s="4">
        <f>SUM(W63:AF63)*Inicio!$W$6</f>
        <v/>
      </c>
      <c r="DV63" s="4">
        <f>SUM(AG63:AP63)*Inicio!$W$7</f>
        <v/>
      </c>
      <c r="DW63" s="4">
        <f>SUM(AQ63:AZ63)*Inicio!$W$8</f>
        <v/>
      </c>
      <c r="DX63" s="4">
        <f>SUM(BA63:BJ63)*Inicio!$W$9</f>
        <v/>
      </c>
      <c r="DY63" s="4">
        <f>SUM(BK63:BT63)*Inicio!$W$10</f>
        <v/>
      </c>
      <c r="DZ63" s="4">
        <f>SUM(BU63:CD63)*Inicio!$W$11</f>
        <v/>
      </c>
      <c r="EA63" s="4">
        <f>SUM(CE63:CN63)*Inicio!$W$12</f>
        <v/>
      </c>
      <c r="EB63" s="4">
        <f>SUM(CO63:CX63)*Inicio!$W$13</f>
        <v/>
      </c>
      <c r="EC63" s="4">
        <f>SUM(CY63:DH63)*Inicio!$W$11</f>
        <v/>
      </c>
      <c r="ED63" s="4">
        <f>SUM(DI63:DR63)*Inicio!$W$12</f>
        <v/>
      </c>
      <c r="EE63" s="4">
        <f>SUM(C63:DR63)</f>
        <v/>
      </c>
      <c r="EF63" s="4">
        <f>SUM(EE60:EE63)</f>
        <v/>
      </c>
      <c r="EG63" s="4">
        <f>SUM(DS63:ED63)</f>
        <v/>
      </c>
      <c r="EH63" s="4">
        <f>SUM(EG60:EG63)</f>
        <v/>
      </c>
    </row>
    <row r="64" ht="20.25" customHeight="1">
      <c r="B64" s="26" t="inlineStr">
        <is>
          <t>13:45 - 14:00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5">
        <f>SUM(C64:L64)*Inicio!$W$4</f>
        <v/>
      </c>
      <c r="DT64" s="5">
        <f>SUM(M64:V64)*Inicio!$W$5</f>
        <v/>
      </c>
      <c r="DU64" s="5">
        <f>SUM(W64:AF64)*Inicio!$W$6</f>
        <v/>
      </c>
      <c r="DV64" s="5">
        <f>SUM(AG64:AP64)*Inicio!$W$7</f>
        <v/>
      </c>
      <c r="DW64" s="5">
        <f>SUM(AQ64:AZ64)*Inicio!$W$8</f>
        <v/>
      </c>
      <c r="DX64" s="5">
        <f>SUM(BA64:BJ64)*Inicio!$W$9</f>
        <v/>
      </c>
      <c r="DY64" s="5">
        <f>SUM(BK64:BT64)*Inicio!$W$10</f>
        <v/>
      </c>
      <c r="DZ64" s="5">
        <f>SUM(BU64:CD64)*Inicio!$W$11</f>
        <v/>
      </c>
      <c r="EA64" s="5">
        <f>SUM(CE64:CN64)*Inicio!$W$12</f>
        <v/>
      </c>
      <c r="EB64" s="5">
        <f>SUM(CO64:CX64)*Inicio!$W$13</f>
        <v/>
      </c>
      <c r="EC64" s="5">
        <f>SUM(CY64:DH64)*Inicio!$W$11</f>
        <v/>
      </c>
      <c r="ED64" s="5">
        <f>SUM(DI64:DR64)*Inicio!$W$12</f>
        <v/>
      </c>
      <c r="EE64" s="5">
        <f>SUM(C64:DR64)</f>
        <v/>
      </c>
      <c r="EF64" s="5">
        <f>SUM(EE61:EE64)</f>
        <v/>
      </c>
      <c r="EG64" s="5">
        <f>SUM(DS64:ED64)</f>
        <v/>
      </c>
      <c r="EH64" s="5">
        <f>SUM(EG61:EG64)</f>
        <v/>
      </c>
    </row>
    <row r="65" ht="20.25" customHeight="1">
      <c r="B65" s="27" t="inlineStr">
        <is>
          <t>14:00 - 14:15</t>
        </is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/>
      <c r="CF65" s="20" t="n"/>
      <c r="CG65" s="20" t="n"/>
      <c r="CH65" s="20" t="n"/>
      <c r="CI65" s="20" t="n"/>
      <c r="CJ65" s="20" t="n"/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0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3">
        <f>SUM(C65:L65)*Inicio!$W$4</f>
        <v/>
      </c>
      <c r="DT65" s="3">
        <f>SUM(M65:V65)*Inicio!$W$5</f>
        <v/>
      </c>
      <c r="DU65" s="3">
        <f>SUM(W65:AF65)*Inicio!$W$6</f>
        <v/>
      </c>
      <c r="DV65" s="3">
        <f>SUM(AG65:AP65)*Inicio!$W$7</f>
        <v/>
      </c>
      <c r="DW65" s="3">
        <f>SUM(AQ65:AZ65)*Inicio!$W$8</f>
        <v/>
      </c>
      <c r="DX65" s="3">
        <f>SUM(BA65:BJ65)*Inicio!$W$9</f>
        <v/>
      </c>
      <c r="DY65" s="3">
        <f>SUM(BK65:BT65)*Inicio!$W$10</f>
        <v/>
      </c>
      <c r="DZ65" s="3">
        <f>SUM(BU65:CD65)*Inicio!$W$11</f>
        <v/>
      </c>
      <c r="EA65" s="3">
        <f>SUM(CE65:CN65)*Inicio!$W$12</f>
        <v/>
      </c>
      <c r="EB65" s="3">
        <f>SUM(CO65:CX65)*Inicio!$W$13</f>
        <v/>
      </c>
      <c r="EC65" s="3">
        <f>SUM(CY65:DH65)*Inicio!$W$11</f>
        <v/>
      </c>
      <c r="ED65" s="3">
        <f>SUM(DI65:DR65)*Inicio!$W$12</f>
        <v/>
      </c>
      <c r="EE65" s="3">
        <f>SUM(C65:DR65)</f>
        <v/>
      </c>
      <c r="EF65" s="3">
        <f>SUM(EE62:EE65)</f>
        <v/>
      </c>
      <c r="EG65" s="3">
        <f>SUM(DS65:ED65)</f>
        <v/>
      </c>
      <c r="EH65" s="3">
        <f>SUM(EG62:EG65)</f>
        <v/>
      </c>
    </row>
    <row r="66" ht="20.25" customHeight="1">
      <c r="B66" s="28" t="inlineStr">
        <is>
          <t>14:15 - 14:30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4">
        <f>SUM(C66:L66)*Inicio!$W$4</f>
        <v/>
      </c>
      <c r="DT66" s="4">
        <f>SUM(M66:V66)*Inicio!$W$5</f>
        <v/>
      </c>
      <c r="DU66" s="4">
        <f>SUM(W66:AF66)*Inicio!$W$6</f>
        <v/>
      </c>
      <c r="DV66" s="4">
        <f>SUM(AG66:AP66)*Inicio!$W$7</f>
        <v/>
      </c>
      <c r="DW66" s="4">
        <f>SUM(AQ66:AZ66)*Inicio!$W$8</f>
        <v/>
      </c>
      <c r="DX66" s="4">
        <f>SUM(BA66:BJ66)*Inicio!$W$9</f>
        <v/>
      </c>
      <c r="DY66" s="4">
        <f>SUM(BK66:BT66)*Inicio!$W$10</f>
        <v/>
      </c>
      <c r="DZ66" s="4">
        <f>SUM(BU66:CD66)*Inicio!$W$11</f>
        <v/>
      </c>
      <c r="EA66" s="4">
        <f>SUM(CE66:CN66)*Inicio!$W$12</f>
        <v/>
      </c>
      <c r="EB66" s="4">
        <f>SUM(CO66:CX66)*Inicio!$W$13</f>
        <v/>
      </c>
      <c r="EC66" s="4">
        <f>SUM(CY66:DH66)*Inicio!$W$11</f>
        <v/>
      </c>
      <c r="ED66" s="4">
        <f>SUM(DI66:DR66)*Inicio!$W$12</f>
        <v/>
      </c>
      <c r="EE66" s="4">
        <f>SUM(C66:DR66)</f>
        <v/>
      </c>
      <c r="EF66" s="4">
        <f>SUM(EE63:EE66)</f>
        <v/>
      </c>
      <c r="EG66" s="4">
        <f>SUM(DS66:ED66)</f>
        <v/>
      </c>
      <c r="EH66" s="4">
        <f>SUM(EG63:EG66)</f>
        <v/>
      </c>
    </row>
    <row r="67" ht="20.25" customHeight="1">
      <c r="B67" s="28" t="inlineStr">
        <is>
          <t>14:30 - 14:45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4">
        <f>SUM(C67:L67)*Inicio!$W$4</f>
        <v/>
      </c>
      <c r="DT67" s="4">
        <f>SUM(M67:V67)*Inicio!$W$5</f>
        <v/>
      </c>
      <c r="DU67" s="4">
        <f>SUM(W67:AF67)*Inicio!$W$6</f>
        <v/>
      </c>
      <c r="DV67" s="4">
        <f>SUM(AG67:AP67)*Inicio!$W$7</f>
        <v/>
      </c>
      <c r="DW67" s="4">
        <f>SUM(AQ67:AZ67)*Inicio!$W$8</f>
        <v/>
      </c>
      <c r="DX67" s="4">
        <f>SUM(BA67:BJ67)*Inicio!$W$9</f>
        <v/>
      </c>
      <c r="DY67" s="4">
        <f>SUM(BK67:BT67)*Inicio!$W$10</f>
        <v/>
      </c>
      <c r="DZ67" s="4">
        <f>SUM(BU67:CD67)*Inicio!$W$11</f>
        <v/>
      </c>
      <c r="EA67" s="4">
        <f>SUM(CE67:CN67)*Inicio!$W$12</f>
        <v/>
      </c>
      <c r="EB67" s="4">
        <f>SUM(CO67:CX67)*Inicio!$W$13</f>
        <v/>
      </c>
      <c r="EC67" s="4">
        <f>SUM(CY67:DH67)*Inicio!$W$11</f>
        <v/>
      </c>
      <c r="ED67" s="4">
        <f>SUM(DI67:DR67)*Inicio!$W$12</f>
        <v/>
      </c>
      <c r="EE67" s="4">
        <f>SUM(C67:DR67)</f>
        <v/>
      </c>
      <c r="EF67" s="4">
        <f>SUM(EE64:EE67)</f>
        <v/>
      </c>
      <c r="EG67" s="4">
        <f>SUM(DS67:ED67)</f>
        <v/>
      </c>
      <c r="EH67" s="4">
        <f>SUM(EG64:EG67)</f>
        <v/>
      </c>
    </row>
    <row r="68" ht="20.25" customHeight="1">
      <c r="B68" s="26" t="inlineStr">
        <is>
          <t>14:45 - 15:00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5">
        <f>SUM(C68:L68)*Inicio!$W$4</f>
        <v/>
      </c>
      <c r="DT68" s="5">
        <f>SUM(M68:V68)*Inicio!$W$5</f>
        <v/>
      </c>
      <c r="DU68" s="5">
        <f>SUM(W68:AF68)*Inicio!$W$6</f>
        <v/>
      </c>
      <c r="DV68" s="5">
        <f>SUM(AG68:AP68)*Inicio!$W$7</f>
        <v/>
      </c>
      <c r="DW68" s="5">
        <f>SUM(AQ68:AZ68)*Inicio!$W$8</f>
        <v/>
      </c>
      <c r="DX68" s="5">
        <f>SUM(BA68:BJ68)*Inicio!$W$9</f>
        <v/>
      </c>
      <c r="DY68" s="5">
        <f>SUM(BK68:BT68)*Inicio!$W$10</f>
        <v/>
      </c>
      <c r="DZ68" s="5">
        <f>SUM(BU68:CD68)*Inicio!$W$11</f>
        <v/>
      </c>
      <c r="EA68" s="5">
        <f>SUM(CE68:CN68)*Inicio!$W$12</f>
        <v/>
      </c>
      <c r="EB68" s="5">
        <f>SUM(CO68:CX68)*Inicio!$W$13</f>
        <v/>
      </c>
      <c r="EC68" s="5">
        <f>SUM(CY68:DH68)*Inicio!$W$11</f>
        <v/>
      </c>
      <c r="ED68" s="5">
        <f>SUM(DI68:DR68)*Inicio!$W$12</f>
        <v/>
      </c>
      <c r="EE68" s="5">
        <f>SUM(C68:DR68)</f>
        <v/>
      </c>
      <c r="EF68" s="5">
        <f>SUM(EE65:EE68)</f>
        <v/>
      </c>
      <c r="EG68" s="5">
        <f>SUM(DS68:ED68)</f>
        <v/>
      </c>
      <c r="EH68" s="5">
        <f>SUM(EG65:EG68)</f>
        <v/>
      </c>
    </row>
    <row r="69" ht="20.25" customHeight="1">
      <c r="B69" s="27" t="inlineStr">
        <is>
          <t>15:00 - 15:15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  <c r="CD69" s="20" t="n"/>
      <c r="CE69" s="20" t="n"/>
      <c r="CF69" s="20" t="n"/>
      <c r="CG69" s="20" t="n"/>
      <c r="CH69" s="20" t="n"/>
      <c r="CI69" s="20" t="n"/>
      <c r="CJ69" s="20" t="n"/>
      <c r="CK69" s="20" t="n"/>
      <c r="CL69" s="20" t="n"/>
      <c r="CM69" s="20" t="n"/>
      <c r="CN69" s="20" t="n"/>
      <c r="CO69" s="20" t="n"/>
      <c r="CP69" s="20" t="n"/>
      <c r="CQ69" s="20" t="n"/>
      <c r="CR69" s="20" t="n"/>
      <c r="CS69" s="20" t="n"/>
      <c r="CT69" s="20" t="n"/>
      <c r="CU69" s="20" t="n"/>
      <c r="CV69" s="20" t="n"/>
      <c r="CW69" s="20" t="n"/>
      <c r="CX69" s="20" t="n"/>
      <c r="CY69" s="20" t="n"/>
      <c r="CZ69" s="20" t="n"/>
      <c r="DA69" s="20" t="n"/>
      <c r="DB69" s="20" t="n"/>
      <c r="DC69" s="20" t="n"/>
      <c r="DD69" s="20" t="n"/>
      <c r="DE69" s="20" t="n"/>
      <c r="DF69" s="20" t="n"/>
      <c r="DG69" s="20" t="n"/>
      <c r="DH69" s="20" t="n"/>
      <c r="DI69" s="20" t="n"/>
      <c r="DJ69" s="20" t="n"/>
      <c r="DK69" s="20" t="n"/>
      <c r="DL69" s="20" t="n"/>
      <c r="DM69" s="20" t="n"/>
      <c r="DN69" s="20" t="n"/>
      <c r="DO69" s="20" t="n"/>
      <c r="DP69" s="20" t="n"/>
      <c r="DQ69" s="20" t="n"/>
      <c r="DR69" s="20" t="n"/>
      <c r="DS69" s="3">
        <f>SUM(C69:L69)*Inicio!$W$4</f>
        <v/>
      </c>
      <c r="DT69" s="3">
        <f>SUM(M69:V69)*Inicio!$W$5</f>
        <v/>
      </c>
      <c r="DU69" s="3">
        <f>SUM(W69:AF69)*Inicio!$W$6</f>
        <v/>
      </c>
      <c r="DV69" s="3">
        <f>SUM(AG69:AP69)*Inicio!$W$7</f>
        <v/>
      </c>
      <c r="DW69" s="3">
        <f>SUM(AQ69:AZ69)*Inicio!$W$8</f>
        <v/>
      </c>
      <c r="DX69" s="3">
        <f>SUM(BA69:BJ69)*Inicio!$W$9</f>
        <v/>
      </c>
      <c r="DY69" s="3">
        <f>SUM(BK69:BT69)*Inicio!$W$10</f>
        <v/>
      </c>
      <c r="DZ69" s="3">
        <f>SUM(BU69:CD69)*Inicio!$W$11</f>
        <v/>
      </c>
      <c r="EA69" s="3">
        <f>SUM(CE69:CN69)*Inicio!$W$12</f>
        <v/>
      </c>
      <c r="EB69" s="3">
        <f>SUM(CO69:CX69)*Inicio!$W$13</f>
        <v/>
      </c>
      <c r="EC69" s="3">
        <f>SUM(CY69:DH69)*Inicio!$W$11</f>
        <v/>
      </c>
      <c r="ED69" s="3">
        <f>SUM(DI69:DR69)*Inicio!$W$12</f>
        <v/>
      </c>
      <c r="EE69" s="3">
        <f>SUM(C69:DR69)</f>
        <v/>
      </c>
      <c r="EF69" s="3">
        <f>SUM(EE66:EE69)</f>
        <v/>
      </c>
      <c r="EG69" s="3">
        <f>SUM(DS69:ED69)</f>
        <v/>
      </c>
      <c r="EH69" s="3">
        <f>SUM(EG66:EG69)</f>
        <v/>
      </c>
    </row>
    <row r="70" ht="20.25" customHeight="1">
      <c r="B70" s="28" t="inlineStr">
        <is>
          <t>15:15 - 15:30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4">
        <f>SUM(C70:L70)*Inicio!$W$4</f>
        <v/>
      </c>
      <c r="DT70" s="4">
        <f>SUM(M70:V70)*Inicio!$W$5</f>
        <v/>
      </c>
      <c r="DU70" s="4">
        <f>SUM(W70:AF70)*Inicio!$W$6</f>
        <v/>
      </c>
      <c r="DV70" s="4">
        <f>SUM(AG70:AP70)*Inicio!$W$7</f>
        <v/>
      </c>
      <c r="DW70" s="4">
        <f>SUM(AQ70:AZ70)*Inicio!$W$8</f>
        <v/>
      </c>
      <c r="DX70" s="4">
        <f>SUM(BA70:BJ70)*Inicio!$W$9</f>
        <v/>
      </c>
      <c r="DY70" s="4">
        <f>SUM(BK70:BT70)*Inicio!$W$10</f>
        <v/>
      </c>
      <c r="DZ70" s="4">
        <f>SUM(BU70:CD70)*Inicio!$W$11</f>
        <v/>
      </c>
      <c r="EA70" s="4">
        <f>SUM(CE70:CN70)*Inicio!$W$12</f>
        <v/>
      </c>
      <c r="EB70" s="4">
        <f>SUM(CO70:CX70)*Inicio!$W$13</f>
        <v/>
      </c>
      <c r="EC70" s="4">
        <f>SUM(CY70:DH70)*Inicio!$W$11</f>
        <v/>
      </c>
      <c r="ED70" s="4">
        <f>SUM(DI70:DR70)*Inicio!$W$12</f>
        <v/>
      </c>
      <c r="EE70" s="4">
        <f>SUM(C70:DR70)</f>
        <v/>
      </c>
      <c r="EF70" s="4">
        <f>SUM(EE67:EE70)</f>
        <v/>
      </c>
      <c r="EG70" s="4">
        <f>SUM(DS70:ED70)</f>
        <v/>
      </c>
      <c r="EH70" s="4">
        <f>SUM(EG67:EG70)</f>
        <v/>
      </c>
    </row>
    <row r="71" ht="20.25" customHeight="1">
      <c r="B71" s="28" t="inlineStr">
        <is>
          <t>15:30 - 15:45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4">
        <f>SUM(C71:L71)*Inicio!$W$4</f>
        <v/>
      </c>
      <c r="DT71" s="4">
        <f>SUM(M71:V71)*Inicio!$W$5</f>
        <v/>
      </c>
      <c r="DU71" s="4">
        <f>SUM(W71:AF71)*Inicio!$W$6</f>
        <v/>
      </c>
      <c r="DV71" s="4">
        <f>SUM(AG71:AP71)*Inicio!$W$7</f>
        <v/>
      </c>
      <c r="DW71" s="4">
        <f>SUM(AQ71:AZ71)*Inicio!$W$8</f>
        <v/>
      </c>
      <c r="DX71" s="4">
        <f>SUM(BA71:BJ71)*Inicio!$W$9</f>
        <v/>
      </c>
      <c r="DY71" s="4">
        <f>SUM(BK71:BT71)*Inicio!$W$10</f>
        <v/>
      </c>
      <c r="DZ71" s="4">
        <f>SUM(BU71:CD71)*Inicio!$W$11</f>
        <v/>
      </c>
      <c r="EA71" s="4">
        <f>SUM(CE71:CN71)*Inicio!$W$12</f>
        <v/>
      </c>
      <c r="EB71" s="4">
        <f>SUM(CO71:CX71)*Inicio!$W$13</f>
        <v/>
      </c>
      <c r="EC71" s="4">
        <f>SUM(CY71:DH71)*Inicio!$W$11</f>
        <v/>
      </c>
      <c r="ED71" s="4">
        <f>SUM(DI71:DR71)*Inicio!$W$12</f>
        <v/>
      </c>
      <c r="EE71" s="4">
        <f>SUM(C71:DR71)</f>
        <v/>
      </c>
      <c r="EF71" s="4">
        <f>SUM(EE68:EE71)</f>
        <v/>
      </c>
      <c r="EG71" s="4">
        <f>SUM(DS71:ED71)</f>
        <v/>
      </c>
      <c r="EH71" s="4">
        <f>SUM(EG68:EG71)</f>
        <v/>
      </c>
    </row>
    <row r="72" ht="20.25" customHeight="1">
      <c r="B72" s="26" t="inlineStr">
        <is>
          <t>15:45 - 16:00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5">
        <f>SUM(C72:L72)*Inicio!$W$4</f>
        <v/>
      </c>
      <c r="DT72" s="5">
        <f>SUM(M72:V72)*Inicio!$W$5</f>
        <v/>
      </c>
      <c r="DU72" s="5">
        <f>SUM(W72:AF72)*Inicio!$W$6</f>
        <v/>
      </c>
      <c r="DV72" s="5">
        <f>SUM(AG72:AP72)*Inicio!$W$7</f>
        <v/>
      </c>
      <c r="DW72" s="5">
        <f>SUM(AQ72:AZ72)*Inicio!$W$8</f>
        <v/>
      </c>
      <c r="DX72" s="5">
        <f>SUM(BA72:BJ72)*Inicio!$W$9</f>
        <v/>
      </c>
      <c r="DY72" s="5">
        <f>SUM(BK72:BT72)*Inicio!$W$10</f>
        <v/>
      </c>
      <c r="DZ72" s="5">
        <f>SUM(BU72:CD72)*Inicio!$W$11</f>
        <v/>
      </c>
      <c r="EA72" s="5">
        <f>SUM(CE72:CN72)*Inicio!$W$12</f>
        <v/>
      </c>
      <c r="EB72" s="5">
        <f>SUM(CO72:CX72)*Inicio!$W$13</f>
        <v/>
      </c>
      <c r="EC72" s="5">
        <f>SUM(CY72:DH72)*Inicio!$W$11</f>
        <v/>
      </c>
      <c r="ED72" s="5">
        <f>SUM(DI72:DR72)*Inicio!$W$12</f>
        <v/>
      </c>
      <c r="EE72" s="5">
        <f>SUM(C72:DR72)</f>
        <v/>
      </c>
      <c r="EF72" s="5">
        <f>SUM(EE69:EE72)</f>
        <v/>
      </c>
      <c r="EG72" s="5">
        <f>SUM(DS72:ED72)</f>
        <v/>
      </c>
      <c r="EH72" s="5">
        <f>SUM(EG69:EG72)</f>
        <v/>
      </c>
    </row>
    <row r="73" ht="20.25" customHeight="1">
      <c r="B73" s="27" t="inlineStr">
        <is>
          <t>16:00 - 16:15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n"/>
      <c r="CF73" s="20" t="n"/>
      <c r="CG73" s="20" t="n"/>
      <c r="CH73" s="20" t="n"/>
      <c r="CI73" s="20" t="n"/>
      <c r="CJ73" s="20" t="n"/>
      <c r="CK73" s="20" t="n"/>
      <c r="CL73" s="20" t="n"/>
      <c r="CM73" s="20" t="n"/>
      <c r="CN73" s="20" t="n"/>
      <c r="CO73" s="20" t="n"/>
      <c r="CP73" s="20" t="n"/>
      <c r="CQ73" s="20" t="n"/>
      <c r="CR73" s="20" t="n"/>
      <c r="CS73" s="20" t="n"/>
      <c r="CT73" s="20" t="n"/>
      <c r="CU73" s="20" t="n"/>
      <c r="CV73" s="20" t="n"/>
      <c r="CW73" s="20" t="n"/>
      <c r="CX73" s="20" t="n"/>
      <c r="CY73" s="20" t="n"/>
      <c r="CZ73" s="20" t="n"/>
      <c r="DA73" s="20" t="n"/>
      <c r="DB73" s="20" t="n"/>
      <c r="DC73" s="20" t="n"/>
      <c r="DD73" s="20" t="n"/>
      <c r="DE73" s="20" t="n"/>
      <c r="DF73" s="20" t="n"/>
      <c r="DG73" s="20" t="n"/>
      <c r="DH73" s="20" t="n"/>
      <c r="DI73" s="20" t="n"/>
      <c r="DJ73" s="20" t="n"/>
      <c r="DK73" s="20" t="n"/>
      <c r="DL73" s="20" t="n"/>
      <c r="DM73" s="20" t="n"/>
      <c r="DN73" s="20" t="n"/>
      <c r="DO73" s="20" t="n"/>
      <c r="DP73" s="20" t="n"/>
      <c r="DQ73" s="20" t="n"/>
      <c r="DR73" s="20" t="n"/>
      <c r="DS73" s="3">
        <f>SUM(C73:L73)*Inicio!$W$4</f>
        <v/>
      </c>
      <c r="DT73" s="3">
        <f>SUM(M73:V73)*Inicio!$W$5</f>
        <v/>
      </c>
      <c r="DU73" s="3">
        <f>SUM(W73:AF73)*Inicio!$W$6</f>
        <v/>
      </c>
      <c r="DV73" s="3">
        <f>SUM(AG73:AP73)*Inicio!$W$7</f>
        <v/>
      </c>
      <c r="DW73" s="3">
        <f>SUM(AQ73:AZ73)*Inicio!$W$8</f>
        <v/>
      </c>
      <c r="DX73" s="3">
        <f>SUM(BA73:BJ73)*Inicio!$W$9</f>
        <v/>
      </c>
      <c r="DY73" s="3">
        <f>SUM(BK73:BT73)*Inicio!$W$10</f>
        <v/>
      </c>
      <c r="DZ73" s="3">
        <f>SUM(BU73:CD73)*Inicio!$W$11</f>
        <v/>
      </c>
      <c r="EA73" s="3">
        <f>SUM(CE73:CN73)*Inicio!$W$12</f>
        <v/>
      </c>
      <c r="EB73" s="3">
        <f>SUM(CO73:CX73)*Inicio!$W$13</f>
        <v/>
      </c>
      <c r="EC73" s="3">
        <f>SUM(CY73:DH73)*Inicio!$W$11</f>
        <v/>
      </c>
      <c r="ED73" s="3">
        <f>SUM(DI73:DR73)*Inicio!$W$12</f>
        <v/>
      </c>
      <c r="EE73" s="3">
        <f>SUM(C73:DR73)</f>
        <v/>
      </c>
      <c r="EF73" s="3">
        <f>SUM(EE70:EE73)</f>
        <v/>
      </c>
      <c r="EG73" s="3">
        <f>SUM(DS73:ED73)</f>
        <v/>
      </c>
      <c r="EH73" s="3">
        <f>SUM(EG70:EG73)</f>
        <v/>
      </c>
    </row>
    <row r="74" ht="20.25" customHeight="1">
      <c r="B74" s="28" t="inlineStr">
        <is>
          <t>16:15 - 16:30</t>
        </is>
      </c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4">
        <f>SUM(C74:L74)*Inicio!$W$4</f>
        <v/>
      </c>
      <c r="DT74" s="4">
        <f>SUM(M74:V74)*Inicio!$W$5</f>
        <v/>
      </c>
      <c r="DU74" s="4">
        <f>SUM(W74:AF74)*Inicio!$W$6</f>
        <v/>
      </c>
      <c r="DV74" s="4">
        <f>SUM(AG74:AP74)*Inicio!$W$7</f>
        <v/>
      </c>
      <c r="DW74" s="4">
        <f>SUM(AQ74:AZ74)*Inicio!$W$8</f>
        <v/>
      </c>
      <c r="DX74" s="4">
        <f>SUM(BA74:BJ74)*Inicio!$W$9</f>
        <v/>
      </c>
      <c r="DY74" s="4">
        <f>SUM(BK74:BT74)*Inicio!$W$10</f>
        <v/>
      </c>
      <c r="DZ74" s="4">
        <f>SUM(BU74:CD74)*Inicio!$W$11</f>
        <v/>
      </c>
      <c r="EA74" s="4">
        <f>SUM(CE74:CN74)*Inicio!$W$12</f>
        <v/>
      </c>
      <c r="EB74" s="4">
        <f>SUM(CO74:CX74)*Inicio!$W$13</f>
        <v/>
      </c>
      <c r="EC74" s="4">
        <f>SUM(CY74:DH74)*Inicio!$W$11</f>
        <v/>
      </c>
      <c r="ED74" s="4">
        <f>SUM(DI74:DR74)*Inicio!$W$12</f>
        <v/>
      </c>
      <c r="EE74" s="4">
        <f>SUM(C74:DR74)</f>
        <v/>
      </c>
      <c r="EF74" s="4">
        <f>SUM(EE71:EE74)</f>
        <v/>
      </c>
      <c r="EG74" s="4">
        <f>SUM(DS74:ED74)</f>
        <v/>
      </c>
      <c r="EH74" s="4">
        <f>SUM(EG71:EG74)</f>
        <v/>
      </c>
    </row>
    <row r="75" ht="20.25" customHeight="1">
      <c r="B75" s="28" t="inlineStr">
        <is>
          <t>16:30 - 16:45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4">
        <f>SUM(C75:L75)*Inicio!$W$4</f>
        <v/>
      </c>
      <c r="DT75" s="4">
        <f>SUM(M75:V75)*Inicio!$W$5</f>
        <v/>
      </c>
      <c r="DU75" s="4">
        <f>SUM(W75:AF75)*Inicio!$W$6</f>
        <v/>
      </c>
      <c r="DV75" s="4">
        <f>SUM(AG75:AP75)*Inicio!$W$7</f>
        <v/>
      </c>
      <c r="DW75" s="4">
        <f>SUM(AQ75:AZ75)*Inicio!$W$8</f>
        <v/>
      </c>
      <c r="DX75" s="4">
        <f>SUM(BA75:BJ75)*Inicio!$W$9</f>
        <v/>
      </c>
      <c r="DY75" s="4">
        <f>SUM(BK75:BT75)*Inicio!$W$10</f>
        <v/>
      </c>
      <c r="DZ75" s="4">
        <f>SUM(BU75:CD75)*Inicio!$W$11</f>
        <v/>
      </c>
      <c r="EA75" s="4">
        <f>SUM(CE75:CN75)*Inicio!$W$12</f>
        <v/>
      </c>
      <c r="EB75" s="4">
        <f>SUM(CO75:CX75)*Inicio!$W$13</f>
        <v/>
      </c>
      <c r="EC75" s="4">
        <f>SUM(CY75:DH75)*Inicio!$W$11</f>
        <v/>
      </c>
      <c r="ED75" s="4">
        <f>SUM(DI75:DR75)*Inicio!$W$12</f>
        <v/>
      </c>
      <c r="EE75" s="4">
        <f>SUM(C75:DR75)</f>
        <v/>
      </c>
      <c r="EF75" s="4">
        <f>SUM(EE72:EE75)</f>
        <v/>
      </c>
      <c r="EG75" s="4">
        <f>SUM(DS75:ED75)</f>
        <v/>
      </c>
      <c r="EH75" s="4">
        <f>SUM(EG72:EG75)</f>
        <v/>
      </c>
    </row>
    <row r="76" ht="20.25" customHeight="1">
      <c r="B76" s="26" t="inlineStr">
        <is>
          <t>16:45 - 17:00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5">
        <f>SUM(C76:L76)*Inicio!$W$4</f>
        <v/>
      </c>
      <c r="DT76" s="5">
        <f>SUM(M76:V76)*Inicio!$W$5</f>
        <v/>
      </c>
      <c r="DU76" s="5">
        <f>SUM(W76:AF76)*Inicio!$W$6</f>
        <v/>
      </c>
      <c r="DV76" s="5">
        <f>SUM(AG76:AP76)*Inicio!$W$7</f>
        <v/>
      </c>
      <c r="DW76" s="5">
        <f>SUM(AQ76:AZ76)*Inicio!$W$8</f>
        <v/>
      </c>
      <c r="DX76" s="5">
        <f>SUM(BA76:BJ76)*Inicio!$W$9</f>
        <v/>
      </c>
      <c r="DY76" s="5">
        <f>SUM(BK76:BT76)*Inicio!$W$10</f>
        <v/>
      </c>
      <c r="DZ76" s="5">
        <f>SUM(BU76:CD76)*Inicio!$W$11</f>
        <v/>
      </c>
      <c r="EA76" s="5">
        <f>SUM(CE76:CN76)*Inicio!$W$12</f>
        <v/>
      </c>
      <c r="EB76" s="5">
        <f>SUM(CO76:CX76)*Inicio!$W$13</f>
        <v/>
      </c>
      <c r="EC76" s="5">
        <f>SUM(CY76:DH76)*Inicio!$W$11</f>
        <v/>
      </c>
      <c r="ED76" s="5">
        <f>SUM(DI76:DR76)*Inicio!$W$12</f>
        <v/>
      </c>
      <c r="EE76" s="5">
        <f>SUM(C76:DR76)</f>
        <v/>
      </c>
      <c r="EF76" s="5">
        <f>SUM(EE73:EE76)</f>
        <v/>
      </c>
      <c r="EG76" s="5">
        <f>SUM(DS76:ED76)</f>
        <v/>
      </c>
      <c r="EH76" s="5">
        <f>SUM(EG73:EG76)</f>
        <v/>
      </c>
    </row>
    <row r="77" ht="20.25" customHeight="1">
      <c r="B77" s="27" t="inlineStr">
        <is>
          <t>17:00 - 17:15</t>
        </is>
      </c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n"/>
      <c r="CF77" s="20" t="n"/>
      <c r="CG77" s="20" t="n"/>
      <c r="CH77" s="20" t="n"/>
      <c r="CI77" s="20" t="n"/>
      <c r="CJ77" s="20" t="n"/>
      <c r="CK77" s="20" t="n"/>
      <c r="CL77" s="20" t="n"/>
      <c r="CM77" s="20" t="n"/>
      <c r="CN77" s="20" t="n"/>
      <c r="CO77" s="20" t="n"/>
      <c r="CP77" s="20" t="n"/>
      <c r="CQ77" s="20" t="n"/>
      <c r="CR77" s="20" t="n"/>
      <c r="CS77" s="20" t="n"/>
      <c r="CT77" s="20" t="n"/>
      <c r="CU77" s="20" t="n"/>
      <c r="CV77" s="20" t="n"/>
      <c r="CW77" s="20" t="n"/>
      <c r="CX77" s="20" t="n"/>
      <c r="CY77" s="20" t="n"/>
      <c r="CZ77" s="20" t="n"/>
      <c r="DA77" s="20" t="n"/>
      <c r="DB77" s="20" t="n"/>
      <c r="DC77" s="20" t="n"/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20" t="n"/>
      <c r="DN77" s="20" t="n"/>
      <c r="DO77" s="20" t="n"/>
      <c r="DP77" s="20" t="n"/>
      <c r="DQ77" s="20" t="n"/>
      <c r="DR77" s="20" t="n"/>
      <c r="DS77" s="3">
        <f>SUM(C77:L77)*Inicio!$W$4</f>
        <v/>
      </c>
      <c r="DT77" s="3">
        <f>SUM(M77:V77)*Inicio!$W$5</f>
        <v/>
      </c>
      <c r="DU77" s="3">
        <f>SUM(W77:AF77)*Inicio!$W$6</f>
        <v/>
      </c>
      <c r="DV77" s="3">
        <f>SUM(AG77:AP77)*Inicio!$W$7</f>
        <v/>
      </c>
      <c r="DW77" s="3">
        <f>SUM(AQ77:AZ77)*Inicio!$W$8</f>
        <v/>
      </c>
      <c r="DX77" s="3">
        <f>SUM(BA77:BJ77)*Inicio!$W$9</f>
        <v/>
      </c>
      <c r="DY77" s="3">
        <f>SUM(BK77:BT77)*Inicio!$W$10</f>
        <v/>
      </c>
      <c r="DZ77" s="3">
        <f>SUM(BU77:CD77)*Inicio!$W$11</f>
        <v/>
      </c>
      <c r="EA77" s="3">
        <f>SUM(CE77:CN77)*Inicio!$W$12</f>
        <v/>
      </c>
      <c r="EB77" s="3">
        <f>SUM(CO77:CX77)*Inicio!$W$13</f>
        <v/>
      </c>
      <c r="EC77" s="3">
        <f>SUM(CY77:DH77)*Inicio!$W$11</f>
        <v/>
      </c>
      <c r="ED77" s="3">
        <f>SUM(DI77:DR77)*Inicio!$W$12</f>
        <v/>
      </c>
      <c r="EE77" s="3">
        <f>SUM(C77:DR77)</f>
        <v/>
      </c>
      <c r="EF77" s="3">
        <f>SUM(EE74:EE77)</f>
        <v/>
      </c>
      <c r="EG77" s="3">
        <f>SUM(DS77:ED77)</f>
        <v/>
      </c>
      <c r="EH77" s="3">
        <f>SUM(EG74:EG77)</f>
        <v/>
      </c>
    </row>
    <row r="78" ht="20.25" customHeight="1">
      <c r="B78" s="28" t="inlineStr">
        <is>
          <t>17:15 - 17:30</t>
        </is>
      </c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4">
        <f>SUM(C78:L78)*Inicio!$W$4</f>
        <v/>
      </c>
      <c r="DT78" s="4">
        <f>SUM(M78:V78)*Inicio!$W$5</f>
        <v/>
      </c>
      <c r="DU78" s="4">
        <f>SUM(W78:AF78)*Inicio!$W$6</f>
        <v/>
      </c>
      <c r="DV78" s="4">
        <f>SUM(AG78:AP78)*Inicio!$W$7</f>
        <v/>
      </c>
      <c r="DW78" s="4">
        <f>SUM(AQ78:AZ78)*Inicio!$W$8</f>
        <v/>
      </c>
      <c r="DX78" s="4">
        <f>SUM(BA78:BJ78)*Inicio!$W$9</f>
        <v/>
      </c>
      <c r="DY78" s="4">
        <f>SUM(BK78:BT78)*Inicio!$W$10</f>
        <v/>
      </c>
      <c r="DZ78" s="4">
        <f>SUM(BU78:CD78)*Inicio!$W$11</f>
        <v/>
      </c>
      <c r="EA78" s="4">
        <f>SUM(CE78:CN78)*Inicio!$W$12</f>
        <v/>
      </c>
      <c r="EB78" s="4">
        <f>SUM(CO78:CX78)*Inicio!$W$13</f>
        <v/>
      </c>
      <c r="EC78" s="4">
        <f>SUM(CY78:DH78)*Inicio!$W$11</f>
        <v/>
      </c>
      <c r="ED78" s="4">
        <f>SUM(DI78:DR78)*Inicio!$W$12</f>
        <v/>
      </c>
      <c r="EE78" s="4">
        <f>SUM(C78:DR78)</f>
        <v/>
      </c>
      <c r="EF78" s="4">
        <f>SUM(EE75:EE78)</f>
        <v/>
      </c>
      <c r="EG78" s="4">
        <f>SUM(DS78:ED78)</f>
        <v/>
      </c>
      <c r="EH78" s="4">
        <f>SUM(EG75:EG78)</f>
        <v/>
      </c>
    </row>
    <row r="79" ht="20.25" customHeight="1">
      <c r="B79" s="28" t="inlineStr">
        <is>
          <t>17:30 - 17:45</t>
        </is>
      </c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4">
        <f>SUM(C79:L79)*Inicio!$W$4</f>
        <v/>
      </c>
      <c r="DT79" s="4">
        <f>SUM(M79:V79)*Inicio!$W$5</f>
        <v/>
      </c>
      <c r="DU79" s="4">
        <f>SUM(W79:AF79)*Inicio!$W$6</f>
        <v/>
      </c>
      <c r="DV79" s="4">
        <f>SUM(AG79:AP79)*Inicio!$W$7</f>
        <v/>
      </c>
      <c r="DW79" s="4">
        <f>SUM(AQ79:AZ79)*Inicio!$W$8</f>
        <v/>
      </c>
      <c r="DX79" s="4">
        <f>SUM(BA79:BJ79)*Inicio!$W$9</f>
        <v/>
      </c>
      <c r="DY79" s="4">
        <f>SUM(BK79:BT79)*Inicio!$W$10</f>
        <v/>
      </c>
      <c r="DZ79" s="4">
        <f>SUM(BU79:CD79)*Inicio!$W$11</f>
        <v/>
      </c>
      <c r="EA79" s="4">
        <f>SUM(CE79:CN79)*Inicio!$W$12</f>
        <v/>
      </c>
      <c r="EB79" s="4">
        <f>SUM(CO79:CX79)*Inicio!$W$13</f>
        <v/>
      </c>
      <c r="EC79" s="4">
        <f>SUM(CY79:DH79)*Inicio!$W$11</f>
        <v/>
      </c>
      <c r="ED79" s="4">
        <f>SUM(DI79:DR79)*Inicio!$W$12</f>
        <v/>
      </c>
      <c r="EE79" s="4">
        <f>SUM(C79:DR79)</f>
        <v/>
      </c>
      <c r="EF79" s="4">
        <f>SUM(EE76:EE79)</f>
        <v/>
      </c>
      <c r="EG79" s="4">
        <f>SUM(DS79:ED79)</f>
        <v/>
      </c>
      <c r="EH79" s="4">
        <f>SUM(EG76:EG79)</f>
        <v/>
      </c>
    </row>
    <row r="80" ht="20.25" customHeight="1">
      <c r="B80" s="26" t="inlineStr">
        <is>
          <t>17:45 - 18:00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5">
        <f>SUM(C80:L80)*Inicio!$W$4</f>
        <v/>
      </c>
      <c r="DT80" s="5">
        <f>SUM(M80:V80)*Inicio!$W$5</f>
        <v/>
      </c>
      <c r="DU80" s="5">
        <f>SUM(W80:AF80)*Inicio!$W$6</f>
        <v/>
      </c>
      <c r="DV80" s="5">
        <f>SUM(AG80:AP80)*Inicio!$W$7</f>
        <v/>
      </c>
      <c r="DW80" s="5">
        <f>SUM(AQ80:AZ80)*Inicio!$W$8</f>
        <v/>
      </c>
      <c r="DX80" s="5">
        <f>SUM(BA80:BJ80)*Inicio!$W$9</f>
        <v/>
      </c>
      <c r="DY80" s="5">
        <f>SUM(BK80:BT80)*Inicio!$W$10</f>
        <v/>
      </c>
      <c r="DZ80" s="5">
        <f>SUM(BU80:CD80)*Inicio!$W$11</f>
        <v/>
      </c>
      <c r="EA80" s="5">
        <f>SUM(CE80:CN80)*Inicio!$W$12</f>
        <v/>
      </c>
      <c r="EB80" s="5">
        <f>SUM(CO80:CX80)*Inicio!$W$13</f>
        <v/>
      </c>
      <c r="EC80" s="5">
        <f>SUM(CY80:DH80)*Inicio!$W$11</f>
        <v/>
      </c>
      <c r="ED80" s="5">
        <f>SUM(DI80:DR80)*Inicio!$W$12</f>
        <v/>
      </c>
      <c r="EE80" s="5">
        <f>SUM(C80:DR80)</f>
        <v/>
      </c>
      <c r="EF80" s="5">
        <f>SUM(EE77:EE80)</f>
        <v/>
      </c>
      <c r="EG80" s="5">
        <f>SUM(DS80:ED80)</f>
        <v/>
      </c>
      <c r="EH80" s="5">
        <f>SUM(EG77:EG80)</f>
        <v/>
      </c>
    </row>
    <row r="81" ht="20.25" customHeight="1">
      <c r="B81" s="27" t="inlineStr">
        <is>
          <t>18:00 - 18:15</t>
        </is>
      </c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20" t="n"/>
      <c r="CD81" s="20" t="n"/>
      <c r="CE81" s="20" t="n"/>
      <c r="CF81" s="20" t="n"/>
      <c r="CG81" s="20" t="n"/>
      <c r="CH81" s="20" t="n"/>
      <c r="CI81" s="20" t="n"/>
      <c r="CJ81" s="20" t="n"/>
      <c r="CK81" s="20" t="n"/>
      <c r="CL81" s="20" t="n"/>
      <c r="CM81" s="20" t="n"/>
      <c r="CN81" s="20" t="n"/>
      <c r="CO81" s="20" t="n"/>
      <c r="CP81" s="20" t="n"/>
      <c r="CQ81" s="20" t="n"/>
      <c r="CR81" s="20" t="n"/>
      <c r="CS81" s="20" t="n"/>
      <c r="CT81" s="20" t="n"/>
      <c r="CU81" s="20" t="n"/>
      <c r="CV81" s="20" t="n"/>
      <c r="CW81" s="20" t="n"/>
      <c r="CX81" s="20" t="n"/>
      <c r="CY81" s="20" t="n"/>
      <c r="CZ81" s="20" t="n"/>
      <c r="DA81" s="20" t="n"/>
      <c r="DB81" s="20" t="n"/>
      <c r="DC81" s="20" t="n"/>
      <c r="DD81" s="20" t="n"/>
      <c r="DE81" s="20" t="n"/>
      <c r="DF81" s="20" t="n"/>
      <c r="DG81" s="20" t="n"/>
      <c r="DH81" s="20" t="n"/>
      <c r="DI81" s="20" t="n"/>
      <c r="DJ81" s="20" t="n"/>
      <c r="DK81" s="20" t="n"/>
      <c r="DL81" s="20" t="n"/>
      <c r="DM81" s="20" t="n"/>
      <c r="DN81" s="20" t="n"/>
      <c r="DO81" s="20" t="n"/>
      <c r="DP81" s="20" t="n"/>
      <c r="DQ81" s="20" t="n"/>
      <c r="DR81" s="20" t="n"/>
      <c r="DS81" s="3">
        <f>SUM(C81:L81)*Inicio!$W$4</f>
        <v/>
      </c>
      <c r="DT81" s="3">
        <f>SUM(M81:V81)*Inicio!$W$5</f>
        <v/>
      </c>
      <c r="DU81" s="3">
        <f>SUM(W81:AF81)*Inicio!$W$6</f>
        <v/>
      </c>
      <c r="DV81" s="3">
        <f>SUM(AG81:AP81)*Inicio!$W$7</f>
        <v/>
      </c>
      <c r="DW81" s="3">
        <f>SUM(AQ81:AZ81)*Inicio!$W$8</f>
        <v/>
      </c>
      <c r="DX81" s="3">
        <f>SUM(BA81:BJ81)*Inicio!$W$9</f>
        <v/>
      </c>
      <c r="DY81" s="3">
        <f>SUM(BK81:BT81)*Inicio!$W$10</f>
        <v/>
      </c>
      <c r="DZ81" s="3">
        <f>SUM(BU81:CD81)*Inicio!$W$11</f>
        <v/>
      </c>
      <c r="EA81" s="3">
        <f>SUM(CE81:CN81)*Inicio!$W$12</f>
        <v/>
      </c>
      <c r="EB81" s="3">
        <f>SUM(CO81:CX81)*Inicio!$W$13</f>
        <v/>
      </c>
      <c r="EC81" s="3">
        <f>SUM(CY81:DH81)*Inicio!$W$11</f>
        <v/>
      </c>
      <c r="ED81" s="3">
        <f>SUM(DI81:DR81)*Inicio!$W$12</f>
        <v/>
      </c>
      <c r="EE81" s="3">
        <f>SUM(C81:DR81)</f>
        <v/>
      </c>
      <c r="EF81" s="3">
        <f>SUM(EE78:EE81)</f>
        <v/>
      </c>
      <c r="EG81" s="3">
        <f>SUM(DS81:ED81)</f>
        <v/>
      </c>
      <c r="EH81" s="3">
        <f>SUM(EG78:EG81)</f>
        <v/>
      </c>
    </row>
    <row r="82" ht="20.25" customHeight="1">
      <c r="B82" s="28" t="inlineStr">
        <is>
          <t>18:15 - 18:30</t>
        </is>
      </c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4">
        <f>SUM(C82:L82)*Inicio!$W$4</f>
        <v/>
      </c>
      <c r="DT82" s="4">
        <f>SUM(M82:V82)*Inicio!$W$5</f>
        <v/>
      </c>
      <c r="DU82" s="4">
        <f>SUM(W82:AF82)*Inicio!$W$6</f>
        <v/>
      </c>
      <c r="DV82" s="4">
        <f>SUM(AG82:AP82)*Inicio!$W$7</f>
        <v/>
      </c>
      <c r="DW82" s="4">
        <f>SUM(AQ82:AZ82)*Inicio!$W$8</f>
        <v/>
      </c>
      <c r="DX82" s="4">
        <f>SUM(BA82:BJ82)*Inicio!$W$9</f>
        <v/>
      </c>
      <c r="DY82" s="4">
        <f>SUM(BK82:BT82)*Inicio!$W$10</f>
        <v/>
      </c>
      <c r="DZ82" s="4">
        <f>SUM(BU82:CD82)*Inicio!$W$11</f>
        <v/>
      </c>
      <c r="EA82" s="4">
        <f>SUM(CE82:CN82)*Inicio!$W$12</f>
        <v/>
      </c>
      <c r="EB82" s="4">
        <f>SUM(CO82:CX82)*Inicio!$W$13</f>
        <v/>
      </c>
      <c r="EC82" s="4">
        <f>SUM(CY82:DH82)*Inicio!$W$11</f>
        <v/>
      </c>
      <c r="ED82" s="4">
        <f>SUM(DI82:DR82)*Inicio!$W$12</f>
        <v/>
      </c>
      <c r="EE82" s="4">
        <f>SUM(C82:DR82)</f>
        <v/>
      </c>
      <c r="EF82" s="4">
        <f>SUM(EE79:EE82)</f>
        <v/>
      </c>
      <c r="EG82" s="4">
        <f>SUM(DS82:ED82)</f>
        <v/>
      </c>
      <c r="EH82" s="4">
        <f>SUM(EG79:EG82)</f>
        <v/>
      </c>
    </row>
    <row r="83" ht="20.25" customHeight="1">
      <c r="B83" s="28" t="inlineStr">
        <is>
          <t>18:30 - 18:45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4">
        <f>SUM(C83:L83)*Inicio!$W$4</f>
        <v/>
      </c>
      <c r="DT83" s="4">
        <f>SUM(M83:V83)*Inicio!$W$5</f>
        <v/>
      </c>
      <c r="DU83" s="4">
        <f>SUM(W83:AF83)*Inicio!$W$6</f>
        <v/>
      </c>
      <c r="DV83" s="4">
        <f>SUM(AG83:AP83)*Inicio!$W$7</f>
        <v/>
      </c>
      <c r="DW83" s="4">
        <f>SUM(AQ83:AZ83)*Inicio!$W$8</f>
        <v/>
      </c>
      <c r="DX83" s="4">
        <f>SUM(BA83:BJ83)*Inicio!$W$9</f>
        <v/>
      </c>
      <c r="DY83" s="4">
        <f>SUM(BK83:BT83)*Inicio!$W$10</f>
        <v/>
      </c>
      <c r="DZ83" s="4">
        <f>SUM(BU83:CD83)*Inicio!$W$11</f>
        <v/>
      </c>
      <c r="EA83" s="4">
        <f>SUM(CE83:CN83)*Inicio!$W$12</f>
        <v/>
      </c>
      <c r="EB83" s="4">
        <f>SUM(CO83:CX83)*Inicio!$W$13</f>
        <v/>
      </c>
      <c r="EC83" s="4">
        <f>SUM(CY83:DH83)*Inicio!$W$11</f>
        <v/>
      </c>
      <c r="ED83" s="4">
        <f>SUM(DI83:DR83)*Inicio!$W$12</f>
        <v/>
      </c>
      <c r="EE83" s="4">
        <f>SUM(C83:DR83)</f>
        <v/>
      </c>
      <c r="EF83" s="4">
        <f>SUM(EE80:EE83)</f>
        <v/>
      </c>
      <c r="EG83" s="4">
        <f>SUM(DS83:ED83)</f>
        <v/>
      </c>
      <c r="EH83" s="4">
        <f>SUM(EG80:EG83)</f>
        <v/>
      </c>
    </row>
    <row r="84" ht="20.25" customHeight="1">
      <c r="B84" s="26" t="inlineStr">
        <is>
          <t>18:45 - 19:00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5">
        <f>SUM(C84:L84)*Inicio!$W$4</f>
        <v/>
      </c>
      <c r="DT84" s="5">
        <f>SUM(M84:V84)*Inicio!$W$5</f>
        <v/>
      </c>
      <c r="DU84" s="5">
        <f>SUM(W84:AF84)*Inicio!$W$6</f>
        <v/>
      </c>
      <c r="DV84" s="5">
        <f>SUM(AG84:AP84)*Inicio!$W$7</f>
        <v/>
      </c>
      <c r="DW84" s="5">
        <f>SUM(AQ84:AZ84)*Inicio!$W$8</f>
        <v/>
      </c>
      <c r="DX84" s="5">
        <f>SUM(BA84:BJ84)*Inicio!$W$9</f>
        <v/>
      </c>
      <c r="DY84" s="5">
        <f>SUM(BK84:BT84)*Inicio!$W$10</f>
        <v/>
      </c>
      <c r="DZ84" s="5">
        <f>SUM(BU84:CD84)*Inicio!$W$11</f>
        <v/>
      </c>
      <c r="EA84" s="5">
        <f>SUM(CE84:CN84)*Inicio!$W$12</f>
        <v/>
      </c>
      <c r="EB84" s="5">
        <f>SUM(CO84:CX84)*Inicio!$W$13</f>
        <v/>
      </c>
      <c r="EC84" s="5">
        <f>SUM(CY84:DH84)*Inicio!$W$11</f>
        <v/>
      </c>
      <c r="ED84" s="5">
        <f>SUM(DI84:DR84)*Inicio!$W$12</f>
        <v/>
      </c>
      <c r="EE84" s="5">
        <f>SUM(C84:DR84)</f>
        <v/>
      </c>
      <c r="EF84" s="5">
        <f>SUM(EE81:EE84)</f>
        <v/>
      </c>
      <c r="EG84" s="5">
        <f>SUM(DS84:ED84)</f>
        <v/>
      </c>
      <c r="EH84" s="5">
        <f>SUM(EG81:EG84)</f>
        <v/>
      </c>
    </row>
    <row r="85" ht="20.25" customHeight="1">
      <c r="B85" s="27" t="inlineStr">
        <is>
          <t>19:00 - 19:15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  <c r="CE85" s="20" t="n"/>
      <c r="CF85" s="20" t="n"/>
      <c r="CG85" s="20" t="n"/>
      <c r="CH85" s="20" t="n"/>
      <c r="CI85" s="20" t="n"/>
      <c r="CJ85" s="20" t="n"/>
      <c r="CK85" s="20" t="n"/>
      <c r="CL85" s="20" t="n"/>
      <c r="CM85" s="20" t="n"/>
      <c r="CN85" s="20" t="n"/>
      <c r="CO85" s="20" t="n"/>
      <c r="CP85" s="20" t="n"/>
      <c r="CQ85" s="20" t="n"/>
      <c r="CR85" s="20" t="n"/>
      <c r="CS85" s="20" t="n"/>
      <c r="CT85" s="20" t="n"/>
      <c r="CU85" s="20" t="n"/>
      <c r="CV85" s="20" t="n"/>
      <c r="CW85" s="20" t="n"/>
      <c r="CX85" s="20" t="n"/>
      <c r="CY85" s="20" t="n"/>
      <c r="CZ85" s="20" t="n"/>
      <c r="DA85" s="20" t="n"/>
      <c r="DB85" s="20" t="n"/>
      <c r="DC85" s="20" t="n"/>
      <c r="DD85" s="20" t="n"/>
      <c r="DE85" s="20" t="n"/>
      <c r="DF85" s="20" t="n"/>
      <c r="DG85" s="20" t="n"/>
      <c r="DH85" s="20" t="n"/>
      <c r="DI85" s="20" t="n"/>
      <c r="DJ85" s="20" t="n"/>
      <c r="DK85" s="20" t="n"/>
      <c r="DL85" s="20" t="n"/>
      <c r="DM85" s="20" t="n"/>
      <c r="DN85" s="20" t="n"/>
      <c r="DO85" s="20" t="n"/>
      <c r="DP85" s="20" t="n"/>
      <c r="DQ85" s="20" t="n"/>
      <c r="DR85" s="20" t="n"/>
      <c r="DS85" s="3">
        <f>SUM(C85:L85)*Inicio!$W$4</f>
        <v/>
      </c>
      <c r="DT85" s="3">
        <f>SUM(M85:V85)*Inicio!$W$5</f>
        <v/>
      </c>
      <c r="DU85" s="3">
        <f>SUM(W85:AF85)*Inicio!$W$6</f>
        <v/>
      </c>
      <c r="DV85" s="3">
        <f>SUM(AG85:AP85)*Inicio!$W$7</f>
        <v/>
      </c>
      <c r="DW85" s="3">
        <f>SUM(AQ85:AZ85)*Inicio!$W$8</f>
        <v/>
      </c>
      <c r="DX85" s="3">
        <f>SUM(BA85:BJ85)*Inicio!$W$9</f>
        <v/>
      </c>
      <c r="DY85" s="3">
        <f>SUM(BK85:BT85)*Inicio!$W$10</f>
        <v/>
      </c>
      <c r="DZ85" s="3">
        <f>SUM(BU85:CD85)*Inicio!$W$11</f>
        <v/>
      </c>
      <c r="EA85" s="3">
        <f>SUM(CE85:CN85)*Inicio!$W$12</f>
        <v/>
      </c>
      <c r="EB85" s="3">
        <f>SUM(CO85:CX85)*Inicio!$W$13</f>
        <v/>
      </c>
      <c r="EC85" s="3">
        <f>SUM(CY85:DH85)*Inicio!$W$11</f>
        <v/>
      </c>
      <c r="ED85" s="3">
        <f>SUM(DI85:DR85)*Inicio!$W$12</f>
        <v/>
      </c>
      <c r="EE85" s="3">
        <f>SUM(C85:DR85)</f>
        <v/>
      </c>
      <c r="EF85" s="3">
        <f>SUM(EE82:EE85)</f>
        <v/>
      </c>
      <c r="EG85" s="3">
        <f>SUM(DS85:ED85)</f>
        <v/>
      </c>
      <c r="EH85" s="3">
        <f>SUM(EG82:EG85)</f>
        <v/>
      </c>
    </row>
    <row r="86" ht="20.25" customHeight="1">
      <c r="B86" s="28" t="inlineStr">
        <is>
          <t>19:15 - 19:30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4">
        <f>SUM(C86:L86)*Inicio!$W$4</f>
        <v/>
      </c>
      <c r="DT86" s="4">
        <f>SUM(M86:V86)*Inicio!$W$5</f>
        <v/>
      </c>
      <c r="DU86" s="4">
        <f>SUM(W86:AF86)*Inicio!$W$6</f>
        <v/>
      </c>
      <c r="DV86" s="4">
        <f>SUM(AG86:AP86)*Inicio!$W$7</f>
        <v/>
      </c>
      <c r="DW86" s="4">
        <f>SUM(AQ86:AZ86)*Inicio!$W$8</f>
        <v/>
      </c>
      <c r="DX86" s="4">
        <f>SUM(BA86:BJ86)*Inicio!$W$9</f>
        <v/>
      </c>
      <c r="DY86" s="4">
        <f>SUM(BK86:BT86)*Inicio!$W$10</f>
        <v/>
      </c>
      <c r="DZ86" s="4">
        <f>SUM(BU86:CD86)*Inicio!$W$11</f>
        <v/>
      </c>
      <c r="EA86" s="4">
        <f>SUM(CE86:CN86)*Inicio!$W$12</f>
        <v/>
      </c>
      <c r="EB86" s="4">
        <f>SUM(CO86:CX86)*Inicio!$W$13</f>
        <v/>
      </c>
      <c r="EC86" s="4">
        <f>SUM(CY86:DH86)*Inicio!$W$11</f>
        <v/>
      </c>
      <c r="ED86" s="4">
        <f>SUM(DI86:DR86)*Inicio!$W$12</f>
        <v/>
      </c>
      <c r="EE86" s="4">
        <f>SUM(C86:DR86)</f>
        <v/>
      </c>
      <c r="EF86" s="4">
        <f>SUM(EE83:EE86)</f>
        <v/>
      </c>
      <c r="EG86" s="4">
        <f>SUM(DS86:ED86)</f>
        <v/>
      </c>
      <c r="EH86" s="4">
        <f>SUM(EG83:EG86)</f>
        <v/>
      </c>
    </row>
    <row r="87" ht="20.25" customHeight="1">
      <c r="B87" s="28" t="inlineStr">
        <is>
          <t>19:30 - 19:45</t>
        </is>
      </c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4">
        <f>SUM(C87:L87)*Inicio!$W$4</f>
        <v/>
      </c>
      <c r="DT87" s="4">
        <f>SUM(M87:V87)*Inicio!$W$5</f>
        <v/>
      </c>
      <c r="DU87" s="4">
        <f>SUM(W87:AF87)*Inicio!$W$6</f>
        <v/>
      </c>
      <c r="DV87" s="4">
        <f>SUM(AG87:AP87)*Inicio!$W$7</f>
        <v/>
      </c>
      <c r="DW87" s="4">
        <f>SUM(AQ87:AZ87)*Inicio!$W$8</f>
        <v/>
      </c>
      <c r="DX87" s="4">
        <f>SUM(BA87:BJ87)*Inicio!$W$9</f>
        <v/>
      </c>
      <c r="DY87" s="4">
        <f>SUM(BK87:BT87)*Inicio!$W$10</f>
        <v/>
      </c>
      <c r="DZ87" s="4">
        <f>SUM(BU87:CD87)*Inicio!$W$11</f>
        <v/>
      </c>
      <c r="EA87" s="4">
        <f>SUM(CE87:CN87)*Inicio!$W$12</f>
        <v/>
      </c>
      <c r="EB87" s="4">
        <f>SUM(CO87:CX87)*Inicio!$W$13</f>
        <v/>
      </c>
      <c r="EC87" s="4">
        <f>SUM(CY87:DH87)*Inicio!$W$11</f>
        <v/>
      </c>
      <c r="ED87" s="4">
        <f>SUM(DI87:DR87)*Inicio!$W$12</f>
        <v/>
      </c>
      <c r="EE87" s="4">
        <f>SUM(C87:DR87)</f>
        <v/>
      </c>
      <c r="EF87" s="4">
        <f>SUM(EE84:EE87)</f>
        <v/>
      </c>
      <c r="EG87" s="4">
        <f>SUM(DS87:ED87)</f>
        <v/>
      </c>
      <c r="EH87" s="4">
        <f>SUM(EG84:EG87)</f>
        <v/>
      </c>
    </row>
    <row r="88" ht="20.25" customHeight="1">
      <c r="B88" s="26" t="inlineStr">
        <is>
          <t>19:45 - 20:00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5">
        <f>SUM(C88:L88)*Inicio!$W$4</f>
        <v/>
      </c>
      <c r="DT88" s="5">
        <f>SUM(M88:V88)*Inicio!$W$5</f>
        <v/>
      </c>
      <c r="DU88" s="5">
        <f>SUM(W88:AF88)*Inicio!$W$6</f>
        <v/>
      </c>
      <c r="DV88" s="5">
        <f>SUM(AG88:AP88)*Inicio!$W$7</f>
        <v/>
      </c>
      <c r="DW88" s="5">
        <f>SUM(AQ88:AZ88)*Inicio!$W$8</f>
        <v/>
      </c>
      <c r="DX88" s="5">
        <f>SUM(BA88:BJ88)*Inicio!$W$9</f>
        <v/>
      </c>
      <c r="DY88" s="5">
        <f>SUM(BK88:BT88)*Inicio!$W$10</f>
        <v/>
      </c>
      <c r="DZ88" s="5">
        <f>SUM(BU88:CD88)*Inicio!$W$11</f>
        <v/>
      </c>
      <c r="EA88" s="5">
        <f>SUM(CE88:CN88)*Inicio!$W$12</f>
        <v/>
      </c>
      <c r="EB88" s="5">
        <f>SUM(CO88:CX88)*Inicio!$W$13</f>
        <v/>
      </c>
      <c r="EC88" s="5">
        <f>SUM(CY88:DH88)*Inicio!$W$11</f>
        <v/>
      </c>
      <c r="ED88" s="5">
        <f>SUM(DI88:DR88)*Inicio!$W$12</f>
        <v/>
      </c>
      <c r="EE88" s="5">
        <f>SUM(C88:DR88)</f>
        <v/>
      </c>
      <c r="EF88" s="5">
        <f>SUM(EE85:EE88)</f>
        <v/>
      </c>
      <c r="EG88" s="5">
        <f>SUM(DS88:ED88)</f>
        <v/>
      </c>
      <c r="EH88" s="5">
        <f>SUM(EG85:EG88)</f>
        <v/>
      </c>
    </row>
    <row r="89" ht="20.25" customHeight="1">
      <c r="B89" s="27" t="inlineStr">
        <is>
          <t>20:00 - 20:15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  <c r="CE89" s="20" t="n"/>
      <c r="CF89" s="20" t="n"/>
      <c r="CG89" s="20" t="n"/>
      <c r="CH89" s="20" t="n"/>
      <c r="CI89" s="20" t="n"/>
      <c r="CJ89" s="20" t="n"/>
      <c r="CK89" s="20" t="n"/>
      <c r="CL89" s="20" t="n"/>
      <c r="CM89" s="20" t="n"/>
      <c r="CN89" s="20" t="n"/>
      <c r="CO89" s="20" t="n"/>
      <c r="CP89" s="20" t="n"/>
      <c r="CQ89" s="20" t="n"/>
      <c r="CR89" s="20" t="n"/>
      <c r="CS89" s="20" t="n"/>
      <c r="CT89" s="20" t="n"/>
      <c r="CU89" s="20" t="n"/>
      <c r="CV89" s="20" t="n"/>
      <c r="CW89" s="20" t="n"/>
      <c r="CX89" s="20" t="n"/>
      <c r="CY89" s="20" t="n"/>
      <c r="CZ89" s="20" t="n"/>
      <c r="DA89" s="20" t="n"/>
      <c r="DB89" s="20" t="n"/>
      <c r="DC89" s="20" t="n"/>
      <c r="DD89" s="20" t="n"/>
      <c r="DE89" s="20" t="n"/>
      <c r="DF89" s="20" t="n"/>
      <c r="DG89" s="20" t="n"/>
      <c r="DH89" s="20" t="n"/>
      <c r="DI89" s="20" t="n"/>
      <c r="DJ89" s="20" t="n"/>
      <c r="DK89" s="20" t="n"/>
      <c r="DL89" s="20" t="n"/>
      <c r="DM89" s="20" t="n"/>
      <c r="DN89" s="20" t="n"/>
      <c r="DO89" s="20" t="n"/>
      <c r="DP89" s="20" t="n"/>
      <c r="DQ89" s="20" t="n"/>
      <c r="DR89" s="20" t="n"/>
      <c r="DS89" s="3">
        <f>SUM(C89:L89)*Inicio!$W$4</f>
        <v/>
      </c>
      <c r="DT89" s="3">
        <f>SUM(M89:V89)*Inicio!$W$5</f>
        <v/>
      </c>
      <c r="DU89" s="3">
        <f>SUM(W89:AF89)*Inicio!$W$6</f>
        <v/>
      </c>
      <c r="DV89" s="3">
        <f>SUM(AG89:AP89)*Inicio!$W$7</f>
        <v/>
      </c>
      <c r="DW89" s="3">
        <f>SUM(AQ89:AZ89)*Inicio!$W$8</f>
        <v/>
      </c>
      <c r="DX89" s="3">
        <f>SUM(BA89:BJ89)*Inicio!$W$9</f>
        <v/>
      </c>
      <c r="DY89" s="3">
        <f>SUM(BK89:BT89)*Inicio!$W$10</f>
        <v/>
      </c>
      <c r="DZ89" s="3">
        <f>SUM(BU89:CD89)*Inicio!$W$11</f>
        <v/>
      </c>
      <c r="EA89" s="3">
        <f>SUM(CE89:CN89)*Inicio!$W$12</f>
        <v/>
      </c>
      <c r="EB89" s="3">
        <f>SUM(CO89:CX89)*Inicio!$W$13</f>
        <v/>
      </c>
      <c r="EC89" s="3">
        <f>SUM(CY89:DH89)*Inicio!$W$11</f>
        <v/>
      </c>
      <c r="ED89" s="3">
        <f>SUM(DI89:DR89)*Inicio!$W$12</f>
        <v/>
      </c>
      <c r="EE89" s="3">
        <f>SUM(C89:DR89)</f>
        <v/>
      </c>
      <c r="EF89" s="3">
        <f>SUM(EE86:EE89)</f>
        <v/>
      </c>
      <c r="EG89" s="3">
        <f>SUM(DS89:ED89)</f>
        <v/>
      </c>
      <c r="EH89" s="3">
        <f>SUM(EG86:EG89)</f>
        <v/>
      </c>
    </row>
    <row r="90" ht="20.25" customHeight="1">
      <c r="B90" s="28" t="inlineStr">
        <is>
          <t>20:15 - 20:30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4">
        <f>SUM(C90:L90)*Inicio!$W$4</f>
        <v/>
      </c>
      <c r="DT90" s="4">
        <f>SUM(M90:V90)*Inicio!$W$5</f>
        <v/>
      </c>
      <c r="DU90" s="4">
        <f>SUM(W90:AF90)*Inicio!$W$6</f>
        <v/>
      </c>
      <c r="DV90" s="4">
        <f>SUM(AG90:AP90)*Inicio!$W$7</f>
        <v/>
      </c>
      <c r="DW90" s="4">
        <f>SUM(AQ90:AZ90)*Inicio!$W$8</f>
        <v/>
      </c>
      <c r="DX90" s="4">
        <f>SUM(BA90:BJ90)*Inicio!$W$9</f>
        <v/>
      </c>
      <c r="DY90" s="4">
        <f>SUM(BK90:BT90)*Inicio!$W$10</f>
        <v/>
      </c>
      <c r="DZ90" s="4">
        <f>SUM(BU90:CD90)*Inicio!$W$11</f>
        <v/>
      </c>
      <c r="EA90" s="4">
        <f>SUM(CE90:CN90)*Inicio!$W$12</f>
        <v/>
      </c>
      <c r="EB90" s="4">
        <f>SUM(CO90:CX90)*Inicio!$W$13</f>
        <v/>
      </c>
      <c r="EC90" s="4">
        <f>SUM(CY90:DH90)*Inicio!$W$11</f>
        <v/>
      </c>
      <c r="ED90" s="4">
        <f>SUM(DI90:DR90)*Inicio!$W$12</f>
        <v/>
      </c>
      <c r="EE90" s="4">
        <f>SUM(C90:DR90)</f>
        <v/>
      </c>
      <c r="EF90" s="4">
        <f>SUM(EE87:EE90)</f>
        <v/>
      </c>
      <c r="EG90" s="4">
        <f>SUM(DS90:ED90)</f>
        <v/>
      </c>
      <c r="EH90" s="4">
        <f>SUM(EG87:EG90)</f>
        <v/>
      </c>
    </row>
    <row r="91" ht="20.25" customHeight="1">
      <c r="B91" s="28" t="inlineStr">
        <is>
          <t>20:30 - 20:45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4">
        <f>SUM(C91:L91)*Inicio!$W$4</f>
        <v/>
      </c>
      <c r="DT91" s="4">
        <f>SUM(M91:V91)*Inicio!$W$5</f>
        <v/>
      </c>
      <c r="DU91" s="4">
        <f>SUM(W91:AF91)*Inicio!$W$6</f>
        <v/>
      </c>
      <c r="DV91" s="4">
        <f>SUM(AG91:AP91)*Inicio!$W$7</f>
        <v/>
      </c>
      <c r="DW91" s="4">
        <f>SUM(AQ91:AZ91)*Inicio!$W$8</f>
        <v/>
      </c>
      <c r="DX91" s="4">
        <f>SUM(BA91:BJ91)*Inicio!$W$9</f>
        <v/>
      </c>
      <c r="DY91" s="4">
        <f>SUM(BK91:BT91)*Inicio!$W$10</f>
        <v/>
      </c>
      <c r="DZ91" s="4">
        <f>SUM(BU91:CD91)*Inicio!$W$11</f>
        <v/>
      </c>
      <c r="EA91" s="4">
        <f>SUM(CE91:CN91)*Inicio!$W$12</f>
        <v/>
      </c>
      <c r="EB91" s="4">
        <f>SUM(CO91:CX91)*Inicio!$W$13</f>
        <v/>
      </c>
      <c r="EC91" s="4">
        <f>SUM(CY91:DH91)*Inicio!$W$11</f>
        <v/>
      </c>
      <c r="ED91" s="4">
        <f>SUM(DI91:DR91)*Inicio!$W$12</f>
        <v/>
      </c>
      <c r="EE91" s="4">
        <f>SUM(C91:DR91)</f>
        <v/>
      </c>
      <c r="EF91" s="4">
        <f>SUM(EE88:EE91)</f>
        <v/>
      </c>
      <c r="EG91" s="4">
        <f>SUM(DS91:ED91)</f>
        <v/>
      </c>
      <c r="EH91" s="4">
        <f>SUM(EG88:EG91)</f>
        <v/>
      </c>
    </row>
    <row r="92" ht="20.25" customHeight="1">
      <c r="B92" s="26" t="inlineStr">
        <is>
          <t>20:45 - 21:00</t>
        </is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5">
        <f>SUM(C92:L92)*Inicio!$W$4</f>
        <v/>
      </c>
      <c r="DT92" s="5">
        <f>SUM(M92:V92)*Inicio!$W$5</f>
        <v/>
      </c>
      <c r="DU92" s="5">
        <f>SUM(W92:AF92)*Inicio!$W$6</f>
        <v/>
      </c>
      <c r="DV92" s="5">
        <f>SUM(AG92:AP92)*Inicio!$W$7</f>
        <v/>
      </c>
      <c r="DW92" s="5">
        <f>SUM(AQ92:AZ92)*Inicio!$W$8</f>
        <v/>
      </c>
      <c r="DX92" s="5">
        <f>SUM(BA92:BJ92)*Inicio!$W$9</f>
        <v/>
      </c>
      <c r="DY92" s="5">
        <f>SUM(BK92:BT92)*Inicio!$W$10</f>
        <v/>
      </c>
      <c r="DZ92" s="5">
        <f>SUM(BU92:CD92)*Inicio!$W$11</f>
        <v/>
      </c>
      <c r="EA92" s="5">
        <f>SUM(CE92:CN92)*Inicio!$W$12</f>
        <v/>
      </c>
      <c r="EB92" s="5">
        <f>SUM(CO92:CX92)*Inicio!$W$13</f>
        <v/>
      </c>
      <c r="EC92" s="5">
        <f>SUM(CY92:DH92)*Inicio!$W$11</f>
        <v/>
      </c>
      <c r="ED92" s="5">
        <f>SUM(DI92:DR92)*Inicio!$W$12</f>
        <v/>
      </c>
      <c r="EE92" s="5">
        <f>SUM(C92:DR92)</f>
        <v/>
      </c>
      <c r="EF92" s="5">
        <f>SUM(EE89:EE92)</f>
        <v/>
      </c>
      <c r="EG92" s="5">
        <f>SUM(DS92:ED92)</f>
        <v/>
      </c>
      <c r="EH92" s="5">
        <f>SUM(EG89:EG92)</f>
        <v/>
      </c>
    </row>
    <row r="93" ht="20.25" customHeight="1">
      <c r="B93" s="27" t="inlineStr">
        <is>
          <t>21:00 - 21:15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  <c r="CE93" s="20" t="n"/>
      <c r="CF93" s="20" t="n"/>
      <c r="CG93" s="20" t="n"/>
      <c r="CH93" s="20" t="n"/>
      <c r="CI93" s="20" t="n"/>
      <c r="CJ93" s="20" t="n"/>
      <c r="CK93" s="20" t="n"/>
      <c r="CL93" s="20" t="n"/>
      <c r="CM93" s="20" t="n"/>
      <c r="CN93" s="20" t="n"/>
      <c r="CO93" s="20" t="n"/>
      <c r="CP93" s="20" t="n"/>
      <c r="CQ93" s="20" t="n"/>
      <c r="CR93" s="20" t="n"/>
      <c r="CS93" s="20" t="n"/>
      <c r="CT93" s="20" t="n"/>
      <c r="CU93" s="20" t="n"/>
      <c r="CV93" s="20" t="n"/>
      <c r="CW93" s="20" t="n"/>
      <c r="CX93" s="20" t="n"/>
      <c r="CY93" s="20" t="n"/>
      <c r="CZ93" s="20" t="n"/>
      <c r="DA93" s="20" t="n"/>
      <c r="DB93" s="20" t="n"/>
      <c r="DC93" s="20" t="n"/>
      <c r="DD93" s="20" t="n"/>
      <c r="DE93" s="20" t="n"/>
      <c r="DF93" s="20" t="n"/>
      <c r="DG93" s="20" t="n"/>
      <c r="DH93" s="20" t="n"/>
      <c r="DI93" s="20" t="n"/>
      <c r="DJ93" s="20" t="n"/>
      <c r="DK93" s="20" t="n"/>
      <c r="DL93" s="20" t="n"/>
      <c r="DM93" s="20" t="n"/>
      <c r="DN93" s="20" t="n"/>
      <c r="DO93" s="20" t="n"/>
      <c r="DP93" s="20" t="n"/>
      <c r="DQ93" s="20" t="n"/>
      <c r="DR93" s="20" t="n"/>
      <c r="DS93" s="3">
        <f>SUM(C93:L93)*Inicio!$W$4</f>
        <v/>
      </c>
      <c r="DT93" s="3">
        <f>SUM(M93:V93)*Inicio!$W$5</f>
        <v/>
      </c>
      <c r="DU93" s="3">
        <f>SUM(W93:AF93)*Inicio!$W$6</f>
        <v/>
      </c>
      <c r="DV93" s="3">
        <f>SUM(AG93:AP93)*Inicio!$W$7</f>
        <v/>
      </c>
      <c r="DW93" s="3">
        <f>SUM(AQ93:AZ93)*Inicio!$W$8</f>
        <v/>
      </c>
      <c r="DX93" s="3">
        <f>SUM(BA93:BJ93)*Inicio!$W$9</f>
        <v/>
      </c>
      <c r="DY93" s="3">
        <f>SUM(BK93:BT93)*Inicio!$W$10</f>
        <v/>
      </c>
      <c r="DZ93" s="3">
        <f>SUM(BU93:CD93)*Inicio!$W$11</f>
        <v/>
      </c>
      <c r="EA93" s="3">
        <f>SUM(CE93:CN93)*Inicio!$W$12</f>
        <v/>
      </c>
      <c r="EB93" s="3">
        <f>SUM(CO93:CX93)*Inicio!$W$13</f>
        <v/>
      </c>
      <c r="EC93" s="3">
        <f>SUM(CY93:DH93)*Inicio!$W$11</f>
        <v/>
      </c>
      <c r="ED93" s="3">
        <f>SUM(DI93:DR93)*Inicio!$W$12</f>
        <v/>
      </c>
      <c r="EE93" s="3">
        <f>SUM(C93:DR93)</f>
        <v/>
      </c>
      <c r="EF93" s="3">
        <f>SUM(EE90:EE93)</f>
        <v/>
      </c>
      <c r="EG93" s="3">
        <f>SUM(DS93:ED93)</f>
        <v/>
      </c>
      <c r="EH93" s="3">
        <f>SUM(EG90:EG93)</f>
        <v/>
      </c>
    </row>
    <row r="94" ht="20.25" customHeight="1">
      <c r="B94" s="28" t="inlineStr">
        <is>
          <t>21:15 - 21:30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4">
        <f>SUM(C94:L94)*Inicio!$W$4</f>
        <v/>
      </c>
      <c r="DT94" s="4">
        <f>SUM(M94:V94)*Inicio!$W$5</f>
        <v/>
      </c>
      <c r="DU94" s="4">
        <f>SUM(W94:AF94)*Inicio!$W$6</f>
        <v/>
      </c>
      <c r="DV94" s="4">
        <f>SUM(AG94:AP94)*Inicio!$W$7</f>
        <v/>
      </c>
      <c r="DW94" s="4">
        <f>SUM(AQ94:AZ94)*Inicio!$W$8</f>
        <v/>
      </c>
      <c r="DX94" s="4">
        <f>SUM(BA94:BJ94)*Inicio!$W$9</f>
        <v/>
      </c>
      <c r="DY94" s="4">
        <f>SUM(BK94:BT94)*Inicio!$W$10</f>
        <v/>
      </c>
      <c r="DZ94" s="4">
        <f>SUM(BU94:CD94)*Inicio!$W$11</f>
        <v/>
      </c>
      <c r="EA94" s="4">
        <f>SUM(CE94:CN94)*Inicio!$W$12</f>
        <v/>
      </c>
      <c r="EB94" s="4">
        <f>SUM(CO94:CX94)*Inicio!$W$13</f>
        <v/>
      </c>
      <c r="EC94" s="4">
        <f>SUM(CY94:DH94)*Inicio!$W$11</f>
        <v/>
      </c>
      <c r="ED94" s="4">
        <f>SUM(DI94:DR94)*Inicio!$W$12</f>
        <v/>
      </c>
      <c r="EE94" s="4">
        <f>SUM(C94:DR94)</f>
        <v/>
      </c>
      <c r="EF94" s="4">
        <f>SUM(EE91:EE94)</f>
        <v/>
      </c>
      <c r="EG94" s="4">
        <f>SUM(DS94:ED94)</f>
        <v/>
      </c>
      <c r="EH94" s="4">
        <f>SUM(EG91:EG94)</f>
        <v/>
      </c>
    </row>
    <row r="95" ht="20.25" customHeight="1">
      <c r="B95" s="28" t="inlineStr">
        <is>
          <t>21:30 - 21:45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4">
        <f>SUM(C95:L95)*Inicio!$W$4</f>
        <v/>
      </c>
      <c r="DT95" s="4">
        <f>SUM(M95:V95)*Inicio!$W$5</f>
        <v/>
      </c>
      <c r="DU95" s="4">
        <f>SUM(W95:AF95)*Inicio!$W$6</f>
        <v/>
      </c>
      <c r="DV95" s="4">
        <f>SUM(AG95:AP95)*Inicio!$W$7</f>
        <v/>
      </c>
      <c r="DW95" s="4">
        <f>SUM(AQ95:AZ95)*Inicio!$W$8</f>
        <v/>
      </c>
      <c r="DX95" s="4">
        <f>SUM(BA95:BJ95)*Inicio!$W$9</f>
        <v/>
      </c>
      <c r="DY95" s="4">
        <f>SUM(BK95:BT95)*Inicio!$W$10</f>
        <v/>
      </c>
      <c r="DZ95" s="4">
        <f>SUM(BU95:CD95)*Inicio!$W$11</f>
        <v/>
      </c>
      <c r="EA95" s="4">
        <f>SUM(CE95:CN95)*Inicio!$W$12</f>
        <v/>
      </c>
      <c r="EB95" s="4">
        <f>SUM(CO95:CX95)*Inicio!$W$13</f>
        <v/>
      </c>
      <c r="EC95" s="4">
        <f>SUM(CY95:DH95)*Inicio!$W$11</f>
        <v/>
      </c>
      <c r="ED95" s="4">
        <f>SUM(DI95:DR95)*Inicio!$W$12</f>
        <v/>
      </c>
      <c r="EE95" s="4">
        <f>SUM(C95:DR95)</f>
        <v/>
      </c>
      <c r="EF95" s="4">
        <f>SUM(EE92:EE95)</f>
        <v/>
      </c>
      <c r="EG95" s="4">
        <f>SUM(DS95:ED95)</f>
        <v/>
      </c>
      <c r="EH95" s="4">
        <f>SUM(EG92:EG95)</f>
        <v/>
      </c>
    </row>
    <row r="96" ht="20.25" customHeight="1">
      <c r="B96" s="26" t="inlineStr">
        <is>
          <t>21:45 - 22:00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5">
        <f>SUM(C96:L96)*Inicio!$W$4</f>
        <v/>
      </c>
      <c r="DT96" s="5">
        <f>SUM(M96:V96)*Inicio!$W$5</f>
        <v/>
      </c>
      <c r="DU96" s="5">
        <f>SUM(W96:AF96)*Inicio!$W$6</f>
        <v/>
      </c>
      <c r="DV96" s="5">
        <f>SUM(AG96:AP96)*Inicio!$W$7</f>
        <v/>
      </c>
      <c r="DW96" s="5">
        <f>SUM(AQ96:AZ96)*Inicio!$W$8</f>
        <v/>
      </c>
      <c r="DX96" s="5">
        <f>SUM(BA96:BJ96)*Inicio!$W$9</f>
        <v/>
      </c>
      <c r="DY96" s="5">
        <f>SUM(BK96:BT96)*Inicio!$W$10</f>
        <v/>
      </c>
      <c r="DZ96" s="5">
        <f>SUM(BU96:CD96)*Inicio!$W$11</f>
        <v/>
      </c>
      <c r="EA96" s="5">
        <f>SUM(CE96:CN96)*Inicio!$W$12</f>
        <v/>
      </c>
      <c r="EB96" s="5">
        <f>SUM(CO96:CX96)*Inicio!$W$13</f>
        <v/>
      </c>
      <c r="EC96" s="5">
        <f>SUM(CY96:DH96)*Inicio!$W$11</f>
        <v/>
      </c>
      <c r="ED96" s="5">
        <f>SUM(DI96:DR96)*Inicio!$W$12</f>
        <v/>
      </c>
      <c r="EE96" s="5">
        <f>SUM(C96:DR96)</f>
        <v/>
      </c>
      <c r="EF96" s="5">
        <f>SUM(EE93:EE96)</f>
        <v/>
      </c>
      <c r="EG96" s="5">
        <f>SUM(DS96:ED96)</f>
        <v/>
      </c>
      <c r="EH96" s="5">
        <f>SUM(EG93:EG96)</f>
        <v/>
      </c>
    </row>
    <row r="97" ht="20.25" customHeight="1">
      <c r="B97" s="27" t="inlineStr">
        <is>
          <t>22:00 - 22:15</t>
        </is>
      </c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/>
      <c r="BT97" s="20" t="n"/>
      <c r="BU97" s="20" t="n"/>
      <c r="BV97" s="20" t="n"/>
      <c r="BW97" s="20" t="n"/>
      <c r="BX97" s="20" t="n"/>
      <c r="BY97" s="20" t="n"/>
      <c r="BZ97" s="20" t="n"/>
      <c r="CA97" s="20" t="n"/>
      <c r="CB97" s="20" t="n"/>
      <c r="CC97" s="20" t="n"/>
      <c r="CD97" s="20" t="n"/>
      <c r="CE97" s="20" t="n"/>
      <c r="CF97" s="20" t="n"/>
      <c r="CG97" s="20" t="n"/>
      <c r="CH97" s="20" t="n"/>
      <c r="CI97" s="20" t="n"/>
      <c r="CJ97" s="20" t="n"/>
      <c r="CK97" s="20" t="n"/>
      <c r="CL97" s="20" t="n"/>
      <c r="CM97" s="20" t="n"/>
      <c r="CN97" s="20" t="n"/>
      <c r="CO97" s="20" t="n"/>
      <c r="CP97" s="20" t="n"/>
      <c r="CQ97" s="20" t="n"/>
      <c r="CR97" s="20" t="n"/>
      <c r="CS97" s="20" t="n"/>
      <c r="CT97" s="20" t="n"/>
      <c r="CU97" s="20" t="n"/>
      <c r="CV97" s="20" t="n"/>
      <c r="CW97" s="20" t="n"/>
      <c r="CX97" s="20" t="n"/>
      <c r="CY97" s="20" t="n"/>
      <c r="CZ97" s="20" t="n"/>
      <c r="DA97" s="20" t="n"/>
      <c r="DB97" s="20" t="n"/>
      <c r="DC97" s="20" t="n"/>
      <c r="DD97" s="20" t="n"/>
      <c r="DE97" s="20" t="n"/>
      <c r="DF97" s="20" t="n"/>
      <c r="DG97" s="20" t="n"/>
      <c r="DH97" s="20" t="n"/>
      <c r="DI97" s="20" t="n"/>
      <c r="DJ97" s="20" t="n"/>
      <c r="DK97" s="20" t="n"/>
      <c r="DL97" s="20" t="n"/>
      <c r="DM97" s="20" t="n"/>
      <c r="DN97" s="20" t="n"/>
      <c r="DO97" s="20" t="n"/>
      <c r="DP97" s="20" t="n"/>
      <c r="DQ97" s="20" t="n"/>
      <c r="DR97" s="20" t="n"/>
      <c r="DS97" s="3">
        <f>SUM(C97:L97)*Inicio!$W$4</f>
        <v/>
      </c>
      <c r="DT97" s="3">
        <f>SUM(M97:V97)*Inicio!$W$5</f>
        <v/>
      </c>
      <c r="DU97" s="3">
        <f>SUM(W97:AF97)*Inicio!$W$6</f>
        <v/>
      </c>
      <c r="DV97" s="3">
        <f>SUM(AG97:AP97)*Inicio!$W$7</f>
        <v/>
      </c>
      <c r="DW97" s="3">
        <f>SUM(AQ97:AZ97)*Inicio!$W$8</f>
        <v/>
      </c>
      <c r="DX97" s="3">
        <f>SUM(BA97:BJ97)*Inicio!$W$9</f>
        <v/>
      </c>
      <c r="DY97" s="3">
        <f>SUM(BK97:BT97)*Inicio!$W$10</f>
        <v/>
      </c>
      <c r="DZ97" s="3">
        <f>SUM(BU97:CD97)*Inicio!$W$11</f>
        <v/>
      </c>
      <c r="EA97" s="3">
        <f>SUM(CE97:CN97)*Inicio!$W$12</f>
        <v/>
      </c>
      <c r="EB97" s="3">
        <f>SUM(CO97:CX97)*Inicio!$W$13</f>
        <v/>
      </c>
      <c r="EC97" s="3">
        <f>SUM(CY97:DH97)*Inicio!$W$11</f>
        <v/>
      </c>
      <c r="ED97" s="3">
        <f>SUM(DI97:DR97)*Inicio!$W$12</f>
        <v/>
      </c>
      <c r="EE97" s="3">
        <f>SUM(C97:DR97)</f>
        <v/>
      </c>
      <c r="EF97" s="3">
        <f>SUM(EE94:EE97)</f>
        <v/>
      </c>
      <c r="EG97" s="3">
        <f>SUM(DS97:ED97)</f>
        <v/>
      </c>
      <c r="EH97" s="3">
        <f>SUM(EG94:EG97)</f>
        <v/>
      </c>
    </row>
    <row r="98" ht="20.25" customHeight="1">
      <c r="B98" s="28" t="inlineStr">
        <is>
          <t>22:15 - 22:30</t>
        </is>
      </c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4">
        <f>SUM(C98:L98)*Inicio!$W$4</f>
        <v/>
      </c>
      <c r="DT98" s="4">
        <f>SUM(M98:V98)*Inicio!$W$5</f>
        <v/>
      </c>
      <c r="DU98" s="4">
        <f>SUM(W98:AF98)*Inicio!$W$6</f>
        <v/>
      </c>
      <c r="DV98" s="4">
        <f>SUM(AG98:AP98)*Inicio!$W$7</f>
        <v/>
      </c>
      <c r="DW98" s="4">
        <f>SUM(AQ98:AZ98)*Inicio!$W$8</f>
        <v/>
      </c>
      <c r="DX98" s="4">
        <f>SUM(BA98:BJ98)*Inicio!$W$9</f>
        <v/>
      </c>
      <c r="DY98" s="4">
        <f>SUM(BK98:BT98)*Inicio!$W$10</f>
        <v/>
      </c>
      <c r="DZ98" s="4">
        <f>SUM(BU98:CD98)*Inicio!$W$11</f>
        <v/>
      </c>
      <c r="EA98" s="4">
        <f>SUM(CE98:CN98)*Inicio!$W$12</f>
        <v/>
      </c>
      <c r="EB98" s="4">
        <f>SUM(CO98:CX98)*Inicio!$W$13</f>
        <v/>
      </c>
      <c r="EC98" s="4">
        <f>SUM(CY98:DH98)*Inicio!$W$11</f>
        <v/>
      </c>
      <c r="ED98" s="4">
        <f>SUM(DI98:DR98)*Inicio!$W$12</f>
        <v/>
      </c>
      <c r="EE98" s="4">
        <f>SUM(C98:DR98)</f>
        <v/>
      </c>
      <c r="EF98" s="4">
        <f>SUM(EE95:EE98)</f>
        <v/>
      </c>
      <c r="EG98" s="4">
        <f>SUM(DS98:ED98)</f>
        <v/>
      </c>
      <c r="EH98" s="4">
        <f>SUM(EG95:EG98)</f>
        <v/>
      </c>
    </row>
    <row r="99" ht="20.25" customHeight="1">
      <c r="B99" s="28" t="inlineStr">
        <is>
          <t>22:30 - 22:45</t>
        </is>
      </c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4">
        <f>SUM(C99:L99)*Inicio!$W$4</f>
        <v/>
      </c>
      <c r="DT99" s="4">
        <f>SUM(M99:V99)*Inicio!$W$5</f>
        <v/>
      </c>
      <c r="DU99" s="4">
        <f>SUM(W99:AF99)*Inicio!$W$6</f>
        <v/>
      </c>
      <c r="DV99" s="4">
        <f>SUM(AG99:AP99)*Inicio!$W$7</f>
        <v/>
      </c>
      <c r="DW99" s="4">
        <f>SUM(AQ99:AZ99)*Inicio!$W$8</f>
        <v/>
      </c>
      <c r="DX99" s="4">
        <f>SUM(BA99:BJ99)*Inicio!$W$9</f>
        <v/>
      </c>
      <c r="DY99" s="4">
        <f>SUM(BK99:BT99)*Inicio!$W$10</f>
        <v/>
      </c>
      <c r="DZ99" s="4">
        <f>SUM(BU99:CD99)*Inicio!$W$11</f>
        <v/>
      </c>
      <c r="EA99" s="4">
        <f>SUM(CE99:CN99)*Inicio!$W$12</f>
        <v/>
      </c>
      <c r="EB99" s="4">
        <f>SUM(CO99:CX99)*Inicio!$W$13</f>
        <v/>
      </c>
      <c r="EC99" s="4">
        <f>SUM(CY99:DH99)*Inicio!$W$11</f>
        <v/>
      </c>
      <c r="ED99" s="4">
        <f>SUM(DI99:DR99)*Inicio!$W$12</f>
        <v/>
      </c>
      <c r="EE99" s="4">
        <f>SUM(C99:DR99)</f>
        <v/>
      </c>
      <c r="EF99" s="4">
        <f>SUM(EE96:EE99)</f>
        <v/>
      </c>
      <c r="EG99" s="4">
        <f>SUM(DS99:ED99)</f>
        <v/>
      </c>
      <c r="EH99" s="4">
        <f>SUM(EG96:EG99)</f>
        <v/>
      </c>
    </row>
    <row r="100" ht="20.25" customHeight="1">
      <c r="B100" s="26" t="inlineStr">
        <is>
          <t>22:45 - 23:00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5">
        <f>SUM(C100:L100)*Inicio!$W$4</f>
        <v/>
      </c>
      <c r="DT100" s="5">
        <f>SUM(M100:V100)*Inicio!$W$5</f>
        <v/>
      </c>
      <c r="DU100" s="5">
        <f>SUM(W100:AF100)*Inicio!$W$6</f>
        <v/>
      </c>
      <c r="DV100" s="5">
        <f>SUM(AG100:AP100)*Inicio!$W$7</f>
        <v/>
      </c>
      <c r="DW100" s="5">
        <f>SUM(AQ100:AZ100)*Inicio!$W$8</f>
        <v/>
      </c>
      <c r="DX100" s="5">
        <f>SUM(BA100:BJ100)*Inicio!$W$9</f>
        <v/>
      </c>
      <c r="DY100" s="5">
        <f>SUM(BK100:BT100)*Inicio!$W$10</f>
        <v/>
      </c>
      <c r="DZ100" s="5">
        <f>SUM(BU100:CD100)*Inicio!$W$11</f>
        <v/>
      </c>
      <c r="EA100" s="5">
        <f>SUM(CE100:CN100)*Inicio!$W$12</f>
        <v/>
      </c>
      <c r="EB100" s="5">
        <f>SUM(CO100:CX100)*Inicio!$W$13</f>
        <v/>
      </c>
      <c r="EC100" s="5">
        <f>SUM(CY100:DH100)*Inicio!$W$11</f>
        <v/>
      </c>
      <c r="ED100" s="5">
        <f>SUM(DI100:DR100)*Inicio!$W$12</f>
        <v/>
      </c>
      <c r="EE100" s="5">
        <f>SUM(C100:DR100)</f>
        <v/>
      </c>
      <c r="EF100" s="5">
        <f>SUM(EE97:EE100)</f>
        <v/>
      </c>
      <c r="EG100" s="5">
        <f>SUM(DS100:ED100)</f>
        <v/>
      </c>
      <c r="EH100" s="5">
        <f>SUM(EG97:EG100)</f>
        <v/>
      </c>
    </row>
    <row r="101" ht="20.25" customHeight="1">
      <c r="B101" s="23" t="inlineStr">
        <is>
          <t>23:00 - 23:15</t>
        </is>
      </c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/>
      <c r="CA101" s="20" t="n"/>
      <c r="CB101" s="20" t="n"/>
      <c r="CC101" s="20" t="n"/>
      <c r="CD101" s="20" t="n"/>
      <c r="CE101" s="20" t="n"/>
      <c r="CF101" s="20" t="n"/>
      <c r="CG101" s="20" t="n"/>
      <c r="CH101" s="20" t="n"/>
      <c r="CI101" s="20" t="n"/>
      <c r="CJ101" s="20" t="n"/>
      <c r="CK101" s="20" t="n"/>
      <c r="CL101" s="20" t="n"/>
      <c r="CM101" s="20" t="n"/>
      <c r="CN101" s="20" t="n"/>
      <c r="CO101" s="20" t="n"/>
      <c r="CP101" s="20" t="n"/>
      <c r="CQ101" s="20" t="n"/>
      <c r="CR101" s="20" t="n"/>
      <c r="CS101" s="20" t="n"/>
      <c r="CT101" s="20" t="n"/>
      <c r="CU101" s="20" t="n"/>
      <c r="CV101" s="20" t="n"/>
      <c r="CW101" s="20" t="n"/>
      <c r="CX101" s="20" t="n"/>
      <c r="CY101" s="20" t="n"/>
      <c r="CZ101" s="20" t="n"/>
      <c r="DA101" s="20" t="n"/>
      <c r="DB101" s="20" t="n"/>
      <c r="DC101" s="20" t="n"/>
      <c r="DD101" s="20" t="n"/>
      <c r="DE101" s="20" t="n"/>
      <c r="DF101" s="20" t="n"/>
      <c r="DG101" s="20" t="n"/>
      <c r="DH101" s="20" t="n"/>
      <c r="DI101" s="20" t="n"/>
      <c r="DJ101" s="20" t="n"/>
      <c r="DK101" s="20" t="n"/>
      <c r="DL101" s="20" t="n"/>
      <c r="DM101" s="20" t="n"/>
      <c r="DN101" s="20" t="n"/>
      <c r="DO101" s="20" t="n"/>
      <c r="DP101" s="20" t="n"/>
      <c r="DQ101" s="20" t="n"/>
      <c r="DR101" s="20" t="n"/>
      <c r="DS101" s="4">
        <f>SUM(C101:L101)*Inicio!$W$4</f>
        <v/>
      </c>
      <c r="DT101" s="4">
        <f>SUM(M101:V101)*Inicio!$W$5</f>
        <v/>
      </c>
      <c r="DU101" s="4">
        <f>SUM(W101:AF101)*Inicio!$W$6</f>
        <v/>
      </c>
      <c r="DV101" s="4">
        <f>SUM(AG101:AP101)*Inicio!$W$7</f>
        <v/>
      </c>
      <c r="DW101" s="4">
        <f>SUM(AQ101:AZ101)*Inicio!$W$8</f>
        <v/>
      </c>
      <c r="DX101" s="4">
        <f>SUM(BA101:BJ101)*Inicio!$W$9</f>
        <v/>
      </c>
      <c r="DY101" s="4">
        <f>SUM(BK101:BT101)*Inicio!$W$10</f>
        <v/>
      </c>
      <c r="DZ101" s="4">
        <f>SUM(BU101:CD101)*Inicio!$W$11</f>
        <v/>
      </c>
      <c r="EA101" s="4">
        <f>SUM(CE101:CN101)*Inicio!$W$12</f>
        <v/>
      </c>
      <c r="EB101" s="4">
        <f>SUM(CO101:CX101)*Inicio!$W$13</f>
        <v/>
      </c>
      <c r="EC101" s="4">
        <f>SUM(CY101:DH101)*Inicio!$W$11</f>
        <v/>
      </c>
      <c r="ED101" s="4">
        <f>SUM(DI101:DR101)*Inicio!$W$12</f>
        <v/>
      </c>
      <c r="EE101" s="4">
        <f>SUM(C101:DR101)</f>
        <v/>
      </c>
      <c r="EF101" s="4">
        <f>SUM(EE98:EE101)</f>
        <v/>
      </c>
      <c r="EG101" s="4">
        <f>SUM(DS101:ED101)</f>
        <v/>
      </c>
      <c r="EH101" s="4">
        <f>SUM(EG98:EG101)</f>
        <v/>
      </c>
    </row>
    <row r="102" ht="20.25" customHeight="1">
      <c r="B102" s="24" t="inlineStr">
        <is>
          <t>23:15 - 23:30</t>
        </is>
      </c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4">
        <f>SUM(C102:L102)*Inicio!$W$4</f>
        <v/>
      </c>
      <c r="DT102" s="4">
        <f>SUM(M102:V102)*Inicio!$W$5</f>
        <v/>
      </c>
      <c r="DU102" s="4">
        <f>SUM(W102:AF102)*Inicio!$W$6</f>
        <v/>
      </c>
      <c r="DV102" s="4">
        <f>SUM(AG102:AP102)*Inicio!$W$7</f>
        <v/>
      </c>
      <c r="DW102" s="4">
        <f>SUM(AQ102:AZ102)*Inicio!$W$8</f>
        <v/>
      </c>
      <c r="DX102" s="4">
        <f>SUM(BA102:BJ102)*Inicio!$W$9</f>
        <v/>
      </c>
      <c r="DY102" s="4">
        <f>SUM(BK102:BT102)*Inicio!$W$10</f>
        <v/>
      </c>
      <c r="DZ102" s="4">
        <f>SUM(BU102:CD102)*Inicio!$W$11</f>
        <v/>
      </c>
      <c r="EA102" s="4">
        <f>SUM(CE102:CN102)*Inicio!$W$12</f>
        <v/>
      </c>
      <c r="EB102" s="4">
        <f>SUM(CO102:CX102)*Inicio!$W$13</f>
        <v/>
      </c>
      <c r="EC102" s="4">
        <f>SUM(CY102:DH102)*Inicio!$W$11</f>
        <v/>
      </c>
      <c r="ED102" s="4">
        <f>SUM(DI102:DR102)*Inicio!$W$12</f>
        <v/>
      </c>
      <c r="EE102" s="4">
        <f>SUM(C102:DR102)</f>
        <v/>
      </c>
      <c r="EF102" s="4">
        <f>SUM(EE99:EE102)</f>
        <v/>
      </c>
      <c r="EG102" s="4">
        <f>SUM(DS102:ED102)</f>
        <v/>
      </c>
      <c r="EH102" s="4">
        <f>SUM(EG99:EG102)</f>
        <v/>
      </c>
    </row>
    <row r="103" ht="20.25" customHeight="1">
      <c r="B103" s="24" t="inlineStr">
        <is>
          <t>23:30 - 23:45</t>
        </is>
      </c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4">
        <f>SUM(C103:L103)*Inicio!$W$4</f>
        <v/>
      </c>
      <c r="DT103" s="4">
        <f>SUM(M103:V103)*Inicio!$W$5</f>
        <v/>
      </c>
      <c r="DU103" s="4">
        <f>SUM(W103:AF103)*Inicio!$W$6</f>
        <v/>
      </c>
      <c r="DV103" s="4">
        <f>SUM(AG103:AP103)*Inicio!$W$7</f>
        <v/>
      </c>
      <c r="DW103" s="4">
        <f>SUM(AQ103:AZ103)*Inicio!$W$8</f>
        <v/>
      </c>
      <c r="DX103" s="4">
        <f>SUM(BA103:BJ103)*Inicio!$W$9</f>
        <v/>
      </c>
      <c r="DY103" s="4">
        <f>SUM(BK103:BT103)*Inicio!$W$10</f>
        <v/>
      </c>
      <c r="DZ103" s="4">
        <f>SUM(BU103:CD103)*Inicio!$W$11</f>
        <v/>
      </c>
      <c r="EA103" s="4">
        <f>SUM(CE103:CN103)*Inicio!$W$12</f>
        <v/>
      </c>
      <c r="EB103" s="4">
        <f>SUM(CO103:CX103)*Inicio!$W$13</f>
        <v/>
      </c>
      <c r="EC103" s="4">
        <f>SUM(CY103:DH103)*Inicio!$W$11</f>
        <v/>
      </c>
      <c r="ED103" s="4">
        <f>SUM(DI103:DR103)*Inicio!$W$12</f>
        <v/>
      </c>
      <c r="EE103" s="4">
        <f>SUM(C103:DR103)</f>
        <v/>
      </c>
      <c r="EF103" s="4">
        <f>SUM(EE100:EE103)</f>
        <v/>
      </c>
      <c r="EG103" s="4">
        <f>SUM(DS103:ED103)</f>
        <v/>
      </c>
      <c r="EH103" s="4">
        <f>SUM(EG100:EG103)</f>
        <v/>
      </c>
    </row>
    <row r="104" ht="20.25" customHeight="1">
      <c r="B104" s="25" t="inlineStr">
        <is>
          <t>23:45 - 24:00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5">
        <f>SUM(C104:L104)*Inicio!$W$4</f>
        <v/>
      </c>
      <c r="DT104" s="5">
        <f>SUM(M104:V104)*Inicio!$W$5</f>
        <v/>
      </c>
      <c r="DU104" s="5">
        <f>SUM(W104:AF104)*Inicio!$W$6</f>
        <v/>
      </c>
      <c r="DV104" s="5">
        <f>SUM(AG104:AP104)*Inicio!$W$7</f>
        <v/>
      </c>
      <c r="DW104" s="5">
        <f>SUM(AQ104:AZ104)*Inicio!$W$8</f>
        <v/>
      </c>
      <c r="DX104" s="5">
        <f>SUM(BA104:BJ104)*Inicio!$W$9</f>
        <v/>
      </c>
      <c r="DY104" s="5">
        <f>SUM(BK104:BT104)*Inicio!$W$10</f>
        <v/>
      </c>
      <c r="DZ104" s="5">
        <f>SUM(BU104:CD104)*Inicio!$W$11</f>
        <v/>
      </c>
      <c r="EA104" s="5">
        <f>SUM(CE104:CN104)*Inicio!$W$12</f>
        <v/>
      </c>
      <c r="EB104" s="5">
        <f>SUM(CO104:CX104)*Inicio!$W$13</f>
        <v/>
      </c>
      <c r="EC104" s="5">
        <f>SUM(CY104:DH104)*Inicio!$W$11</f>
        <v/>
      </c>
      <c r="ED104" s="5">
        <f>SUM(DI104:DR104)*Inicio!$W$12</f>
        <v/>
      </c>
      <c r="EE104" s="5">
        <f>SUM(C104:DR104)</f>
        <v/>
      </c>
      <c r="EF104" s="5">
        <f>SUM(EE101:EE104)</f>
        <v/>
      </c>
      <c r="EG104" s="5">
        <f>SUM(DS104:ED104)</f>
        <v/>
      </c>
      <c r="EH104" s="5">
        <f>SUM(EG101:EG104)</f>
        <v/>
      </c>
    </row>
    <row r="105" ht="20.25" customHeight="1">
      <c r="B105" s="6" t="inlineStr">
        <is>
          <t>Madrugada</t>
        </is>
      </c>
      <c r="C105" s="7">
        <f>SUM(C9:C32)</f>
        <v/>
      </c>
      <c r="D105" s="7">
        <f>SUM(D9:D32)</f>
        <v/>
      </c>
      <c r="E105" s="7">
        <f>SUM(E9:E32)</f>
        <v/>
      </c>
      <c r="F105" s="7">
        <f>SUM(F9:F32)</f>
        <v/>
      </c>
      <c r="G105" s="7">
        <f>SUM(G9:G32)</f>
        <v/>
      </c>
      <c r="H105" s="7">
        <f>SUM(H9:H32)</f>
        <v/>
      </c>
      <c r="I105" s="7">
        <f>SUM(I9:I32)</f>
        <v/>
      </c>
      <c r="J105" s="7">
        <f>SUM(J9:J32)</f>
        <v/>
      </c>
      <c r="K105" s="7">
        <f>SUM(K9:K32)</f>
        <v/>
      </c>
      <c r="L105" s="7">
        <f>SUM(L9:L32)</f>
        <v/>
      </c>
      <c r="M105" s="7">
        <f>SUM(M9:M32)</f>
        <v/>
      </c>
      <c r="N105" s="7">
        <f>SUM(N9:N32)</f>
        <v/>
      </c>
      <c r="O105" s="7">
        <f>SUM(O9:O32)</f>
        <v/>
      </c>
      <c r="P105" s="7">
        <f>SUM(P9:P32)</f>
        <v/>
      </c>
      <c r="Q105" s="7">
        <f>SUM(Q9:Q32)</f>
        <v/>
      </c>
      <c r="R105" s="7">
        <f>SUM(R9:R32)</f>
        <v/>
      </c>
      <c r="S105" s="7">
        <f>SUM(S9:S32)</f>
        <v/>
      </c>
      <c r="T105" s="7">
        <f>SUM(T9:T32)</f>
        <v/>
      </c>
      <c r="U105" s="7">
        <f>SUM(U9:U32)</f>
        <v/>
      </c>
      <c r="V105" s="7">
        <f>SUM(V9:V32)</f>
        <v/>
      </c>
      <c r="W105" s="7">
        <f>SUM(W9:W32)</f>
        <v/>
      </c>
      <c r="X105" s="7">
        <f>SUM(X9:X32)</f>
        <v/>
      </c>
      <c r="Y105" s="7">
        <f>SUM(Y9:Y32)</f>
        <v/>
      </c>
      <c r="Z105" s="7">
        <f>SUM(Z9:Z32)</f>
        <v/>
      </c>
      <c r="AA105" s="7">
        <f>SUM(AA9:AA32)</f>
        <v/>
      </c>
      <c r="AB105" s="7">
        <f>SUM(AB9:AB32)</f>
        <v/>
      </c>
      <c r="AC105" s="7">
        <f>SUM(AC9:AC32)</f>
        <v/>
      </c>
      <c r="AD105" s="7">
        <f>SUM(AD9:AD32)</f>
        <v/>
      </c>
      <c r="AE105" s="7">
        <f>SUM(AE9:AE32)</f>
        <v/>
      </c>
      <c r="AF105" s="7">
        <f>SUM(AF9:AF32)</f>
        <v/>
      </c>
      <c r="AG105" s="7">
        <f>SUM(AG9:AG32)</f>
        <v/>
      </c>
      <c r="AH105" s="7">
        <f>SUM(AH9:AH32)</f>
        <v/>
      </c>
      <c r="AI105" s="7">
        <f>SUM(AI9:AI32)</f>
        <v/>
      </c>
      <c r="AJ105" s="7">
        <f>SUM(AJ9:AJ32)</f>
        <v/>
      </c>
      <c r="AK105" s="7">
        <f>SUM(AK9:AK32)</f>
        <v/>
      </c>
      <c r="AL105" s="7">
        <f>SUM(AL9:AL32)</f>
        <v/>
      </c>
      <c r="AM105" s="7">
        <f>SUM(AM9:AM32)</f>
        <v/>
      </c>
      <c r="AN105" s="7">
        <f>SUM(AN9:AN32)</f>
        <v/>
      </c>
      <c r="AO105" s="7">
        <f>SUM(AO9:AO32)</f>
        <v/>
      </c>
      <c r="AP105" s="7">
        <f>SUM(AP9:AP32)</f>
        <v/>
      </c>
      <c r="AQ105" s="7">
        <f>SUM(AQ9:AQ32)</f>
        <v/>
      </c>
      <c r="AR105" s="7">
        <f>SUM(AR9:AR32)</f>
        <v/>
      </c>
      <c r="AS105" s="7">
        <f>SUM(AS9:AS32)</f>
        <v/>
      </c>
      <c r="AT105" s="7">
        <f>SUM(AT9:AT32)</f>
        <v/>
      </c>
      <c r="AU105" s="7">
        <f>SUM(AU9:AU32)</f>
        <v/>
      </c>
      <c r="AV105" s="7">
        <f>SUM(AV9:AV32)</f>
        <v/>
      </c>
      <c r="AW105" s="7">
        <f>SUM(AW9:AW32)</f>
        <v/>
      </c>
      <c r="AX105" s="7">
        <f>SUM(AX9:AX32)</f>
        <v/>
      </c>
      <c r="AY105" s="7">
        <f>SUM(AY9:AY32)</f>
        <v/>
      </c>
      <c r="AZ105" s="7">
        <f>SUM(AZ9:AZ32)</f>
        <v/>
      </c>
      <c r="BA105" s="7">
        <f>SUM(BA9:BA32)</f>
        <v/>
      </c>
      <c r="BB105" s="7">
        <f>SUM(BB9:BB32)</f>
        <v/>
      </c>
      <c r="BC105" s="7">
        <f>SUM(BC9:BC32)</f>
        <v/>
      </c>
      <c r="BD105" s="7">
        <f>SUM(BD9:BD32)</f>
        <v/>
      </c>
      <c r="BE105" s="7">
        <f>SUM(BE9:BE32)</f>
        <v/>
      </c>
      <c r="BF105" s="7">
        <f>SUM(BF9:BF32)</f>
        <v/>
      </c>
      <c r="BG105" s="7">
        <f>SUM(BG9:BG32)</f>
        <v/>
      </c>
      <c r="BH105" s="7">
        <f>SUM(BH9:BH32)</f>
        <v/>
      </c>
      <c r="BI105" s="7">
        <f>SUM(BI9:BI32)</f>
        <v/>
      </c>
      <c r="BJ105" s="7">
        <f>SUM(BJ9:BJ32)</f>
        <v/>
      </c>
      <c r="BK105" s="7">
        <f>SUM(BK9:BK32)</f>
        <v/>
      </c>
      <c r="BL105" s="7">
        <f>SUM(BL9:BL32)</f>
        <v/>
      </c>
      <c r="BM105" s="7">
        <f>SUM(BM9:BM32)</f>
        <v/>
      </c>
      <c r="BN105" s="7">
        <f>SUM(BN9:BN32)</f>
        <v/>
      </c>
      <c r="BO105" s="7">
        <f>SUM(BO9:BO32)</f>
        <v/>
      </c>
      <c r="BP105" s="7">
        <f>SUM(BP9:BP32)</f>
        <v/>
      </c>
      <c r="BQ105" s="7">
        <f>SUM(BQ9:BQ32)</f>
        <v/>
      </c>
      <c r="BR105" s="7">
        <f>SUM(BR9:BR32)</f>
        <v/>
      </c>
      <c r="BS105" s="7">
        <f>SUM(BS9:BS32)</f>
        <v/>
      </c>
      <c r="BT105" s="7">
        <f>SUM(BT9:BT32)</f>
        <v/>
      </c>
      <c r="BU105" s="7">
        <f>SUM(BU9:BU32)</f>
        <v/>
      </c>
      <c r="BV105" s="7">
        <f>SUM(BV9:BV32)</f>
        <v/>
      </c>
      <c r="BW105" s="7">
        <f>SUM(BW9:BW32)</f>
        <v/>
      </c>
      <c r="BX105" s="7">
        <f>SUM(BX9:BX32)</f>
        <v/>
      </c>
      <c r="BY105" s="7">
        <f>SUM(BY9:BY32)</f>
        <v/>
      </c>
      <c r="BZ105" s="7">
        <f>SUM(BZ9:BZ32)</f>
        <v/>
      </c>
      <c r="CA105" s="7">
        <f>SUM(CA9:CA32)</f>
        <v/>
      </c>
      <c r="CB105" s="7">
        <f>SUM(CB9:CB32)</f>
        <v/>
      </c>
      <c r="CC105" s="7">
        <f>SUM(CC9:CC32)</f>
        <v/>
      </c>
      <c r="CD105" s="7">
        <f>SUM(CD9:CD32)</f>
        <v/>
      </c>
      <c r="CE105" s="7">
        <f>SUM(CE9:CE32)</f>
        <v/>
      </c>
      <c r="CF105" s="7">
        <f>SUM(CF9:CF32)</f>
        <v/>
      </c>
      <c r="CG105" s="7">
        <f>SUM(CG9:CG32)</f>
        <v/>
      </c>
      <c r="CH105" s="7">
        <f>SUM(CH9:CH32)</f>
        <v/>
      </c>
      <c r="CI105" s="7">
        <f>SUM(CI9:CI32)</f>
        <v/>
      </c>
      <c r="CJ105" s="7">
        <f>SUM(CJ9:CJ32)</f>
        <v/>
      </c>
      <c r="CK105" s="7">
        <f>SUM(CK9:CK32)</f>
        <v/>
      </c>
      <c r="CL105" s="7">
        <f>SUM(CL9:CL32)</f>
        <v/>
      </c>
      <c r="CM105" s="7">
        <f>SUM(CM9:CM32)</f>
        <v/>
      </c>
      <c r="CN105" s="7">
        <f>SUM(CN9:CN32)</f>
        <v/>
      </c>
      <c r="CO105" s="7">
        <f>SUM(CO9:CO32)</f>
        <v/>
      </c>
      <c r="CP105" s="7">
        <f>SUM(CP9:CP32)</f>
        <v/>
      </c>
      <c r="CQ105" s="7">
        <f>SUM(CQ9:CQ32)</f>
        <v/>
      </c>
      <c r="CR105" s="7">
        <f>SUM(CR9:CR32)</f>
        <v/>
      </c>
      <c r="CS105" s="7">
        <f>SUM(CS9:CS32)</f>
        <v/>
      </c>
      <c r="CT105" s="7">
        <f>SUM(CT9:CT32)</f>
        <v/>
      </c>
      <c r="CU105" s="7">
        <f>SUM(CU9:CU32)</f>
        <v/>
      </c>
      <c r="CV105" s="7">
        <f>SUM(CV9:CV32)</f>
        <v/>
      </c>
      <c r="CW105" s="7">
        <f>SUM(CW9:CW32)</f>
        <v/>
      </c>
      <c r="CX105" s="7">
        <f>SUM(CX9:CX32)</f>
        <v/>
      </c>
      <c r="CY105" s="7">
        <f>SUM(CY9:CY32)</f>
        <v/>
      </c>
      <c r="CZ105" s="7">
        <f>SUM(CZ9:CZ32)</f>
        <v/>
      </c>
      <c r="DA105" s="7">
        <f>SUM(DA9:DA32)</f>
        <v/>
      </c>
      <c r="DB105" s="7">
        <f>SUM(DB9:DB32)</f>
        <v/>
      </c>
      <c r="DC105" s="7">
        <f>SUM(DC9:DC32)</f>
        <v/>
      </c>
      <c r="DD105" s="7">
        <f>SUM(DD9:DD32)</f>
        <v/>
      </c>
      <c r="DE105" s="7">
        <f>SUM(DE9:DE32)</f>
        <v/>
      </c>
      <c r="DF105" s="7">
        <f>SUM(DF9:DF32)</f>
        <v/>
      </c>
      <c r="DG105" s="7">
        <f>SUM(DG9:DG32)</f>
        <v/>
      </c>
      <c r="DH105" s="7">
        <f>SUM(DH9:DH32)</f>
        <v/>
      </c>
      <c r="DI105" s="7">
        <f>SUM(DI9:DI32)</f>
        <v/>
      </c>
      <c r="DJ105" s="7">
        <f>SUM(DJ9:DJ32)</f>
        <v/>
      </c>
      <c r="DK105" s="7">
        <f>SUM(DK9:DK32)</f>
        <v/>
      </c>
      <c r="DL105" s="7">
        <f>SUM(DL9:DL32)</f>
        <v/>
      </c>
      <c r="DM105" s="7">
        <f>SUM(DM9:DM32)</f>
        <v/>
      </c>
      <c r="DN105" s="7">
        <f>SUM(DN9:DN32)</f>
        <v/>
      </c>
      <c r="DO105" s="7">
        <f>SUM(DO9:DO32)</f>
        <v/>
      </c>
      <c r="DP105" s="7">
        <f>SUM(DP9:DP32)</f>
        <v/>
      </c>
      <c r="DQ105" s="7">
        <f>SUM(DQ9:DQ32)</f>
        <v/>
      </c>
      <c r="DR105" s="7">
        <f>SUM(DR9:DR32)</f>
        <v/>
      </c>
      <c r="DS105" s="8" t="n"/>
      <c r="DT105" s="9" t="n"/>
      <c r="DU105" s="9" t="n"/>
      <c r="DV105" s="9" t="n"/>
      <c r="DW105" s="9" t="n"/>
      <c r="DX105" s="9" t="n"/>
      <c r="DY105" s="9" t="n"/>
      <c r="DZ105" s="9" t="n"/>
      <c r="EA105" s="53" t="n"/>
      <c r="EB105" s="53" t="n"/>
      <c r="EC105" s="87" t="n"/>
      <c r="ED105" s="87" t="n"/>
      <c r="EE105" s="54" t="n"/>
      <c r="EF105" s="54" t="n"/>
      <c r="EG105" s="54" t="n"/>
      <c r="EH105" s="10" t="n"/>
    </row>
    <row r="106" ht="20.25" customHeight="1">
      <c r="B106" s="6" t="inlineStr">
        <is>
          <t>Mañana</t>
        </is>
      </c>
      <c r="C106" s="7">
        <f>SUM(C33:C56)</f>
        <v/>
      </c>
      <c r="D106" s="7">
        <f>SUM(D33:D56)</f>
        <v/>
      </c>
      <c r="E106" s="7">
        <f>SUM(E33:E56)</f>
        <v/>
      </c>
      <c r="F106" s="7">
        <f>SUM(F33:F56)</f>
        <v/>
      </c>
      <c r="G106" s="7">
        <f>SUM(G33:G56)</f>
        <v/>
      </c>
      <c r="H106" s="7">
        <f>SUM(H33:H56)</f>
        <v/>
      </c>
      <c r="I106" s="7">
        <f>SUM(I33:I56)</f>
        <v/>
      </c>
      <c r="J106" s="7">
        <f>SUM(J33:J56)</f>
        <v/>
      </c>
      <c r="K106" s="7">
        <f>SUM(K33:K56)</f>
        <v/>
      </c>
      <c r="L106" s="7">
        <f>SUM(L33:L56)</f>
        <v/>
      </c>
      <c r="M106" s="7">
        <f>SUM(M33:M56)</f>
        <v/>
      </c>
      <c r="N106" s="7">
        <f>SUM(N33:N56)</f>
        <v/>
      </c>
      <c r="O106" s="7">
        <f>SUM(O33:O56)</f>
        <v/>
      </c>
      <c r="P106" s="7">
        <f>SUM(P33:P56)</f>
        <v/>
      </c>
      <c r="Q106" s="7">
        <f>SUM(Q33:Q56)</f>
        <v/>
      </c>
      <c r="R106" s="7">
        <f>SUM(R33:R56)</f>
        <v/>
      </c>
      <c r="S106" s="7">
        <f>SUM(S33:S56)</f>
        <v/>
      </c>
      <c r="T106" s="7">
        <f>SUM(T33:T56)</f>
        <v/>
      </c>
      <c r="U106" s="7">
        <f>SUM(U33:U56)</f>
        <v/>
      </c>
      <c r="V106" s="7">
        <f>SUM(V33:V56)</f>
        <v/>
      </c>
      <c r="W106" s="7">
        <f>SUM(W33:W56)</f>
        <v/>
      </c>
      <c r="X106" s="7">
        <f>SUM(X33:X56)</f>
        <v/>
      </c>
      <c r="Y106" s="7">
        <f>SUM(Y33:Y56)</f>
        <v/>
      </c>
      <c r="Z106" s="7">
        <f>SUM(Z33:Z56)</f>
        <v/>
      </c>
      <c r="AA106" s="7">
        <f>SUM(AA33:AA56)</f>
        <v/>
      </c>
      <c r="AB106" s="7">
        <f>SUM(AB33:AB56)</f>
        <v/>
      </c>
      <c r="AC106" s="7">
        <f>SUM(AC33:AC56)</f>
        <v/>
      </c>
      <c r="AD106" s="7">
        <f>SUM(AD33:AD56)</f>
        <v/>
      </c>
      <c r="AE106" s="7">
        <f>SUM(AE33:AE56)</f>
        <v/>
      </c>
      <c r="AF106" s="7">
        <f>SUM(AF33:AF56)</f>
        <v/>
      </c>
      <c r="AG106" s="7">
        <f>SUM(AG33:AG56)</f>
        <v/>
      </c>
      <c r="AH106" s="7">
        <f>SUM(AH33:AH56)</f>
        <v/>
      </c>
      <c r="AI106" s="7">
        <f>SUM(AI33:AI56)</f>
        <v/>
      </c>
      <c r="AJ106" s="7">
        <f>SUM(AJ33:AJ56)</f>
        <v/>
      </c>
      <c r="AK106" s="7">
        <f>SUM(AK33:AK56)</f>
        <v/>
      </c>
      <c r="AL106" s="7">
        <f>SUM(AL33:AL56)</f>
        <v/>
      </c>
      <c r="AM106" s="7">
        <f>SUM(AM33:AM56)</f>
        <v/>
      </c>
      <c r="AN106" s="7">
        <f>SUM(AN33:AN56)</f>
        <v/>
      </c>
      <c r="AO106" s="7">
        <f>SUM(AO33:AO56)</f>
        <v/>
      </c>
      <c r="AP106" s="7">
        <f>SUM(AP33:AP56)</f>
        <v/>
      </c>
      <c r="AQ106" s="7">
        <f>SUM(AQ33:AQ56)</f>
        <v/>
      </c>
      <c r="AR106" s="7">
        <f>SUM(AR33:AR56)</f>
        <v/>
      </c>
      <c r="AS106" s="7">
        <f>SUM(AS33:AS56)</f>
        <v/>
      </c>
      <c r="AT106" s="7">
        <f>SUM(AT33:AT56)</f>
        <v/>
      </c>
      <c r="AU106" s="7">
        <f>SUM(AU33:AU56)</f>
        <v/>
      </c>
      <c r="AV106" s="7">
        <f>SUM(AV33:AV56)</f>
        <v/>
      </c>
      <c r="AW106" s="7">
        <f>SUM(AW33:AW56)</f>
        <v/>
      </c>
      <c r="AX106" s="7">
        <f>SUM(AX33:AX56)</f>
        <v/>
      </c>
      <c r="AY106" s="7">
        <f>SUM(AY33:AY56)</f>
        <v/>
      </c>
      <c r="AZ106" s="7">
        <f>SUM(AZ33:AZ56)</f>
        <v/>
      </c>
      <c r="BA106" s="7">
        <f>SUM(BA33:BA56)</f>
        <v/>
      </c>
      <c r="BB106" s="7">
        <f>SUM(BB33:BB56)</f>
        <v/>
      </c>
      <c r="BC106" s="7">
        <f>SUM(BC33:BC56)</f>
        <v/>
      </c>
      <c r="BD106" s="7">
        <f>SUM(BD33:BD56)</f>
        <v/>
      </c>
      <c r="BE106" s="7">
        <f>SUM(BE33:BE56)</f>
        <v/>
      </c>
      <c r="BF106" s="7">
        <f>SUM(BF33:BF56)</f>
        <v/>
      </c>
      <c r="BG106" s="7">
        <f>SUM(BG33:BG56)</f>
        <v/>
      </c>
      <c r="BH106" s="7">
        <f>SUM(BH33:BH56)</f>
        <v/>
      </c>
      <c r="BI106" s="7">
        <f>SUM(BI33:BI56)</f>
        <v/>
      </c>
      <c r="BJ106" s="7">
        <f>SUM(BJ33:BJ56)</f>
        <v/>
      </c>
      <c r="BK106" s="7">
        <f>SUM(BK33:BK56)</f>
        <v/>
      </c>
      <c r="BL106" s="7">
        <f>SUM(BL33:BL56)</f>
        <v/>
      </c>
      <c r="BM106" s="7">
        <f>SUM(BM33:BM56)</f>
        <v/>
      </c>
      <c r="BN106" s="7">
        <f>SUM(BN33:BN56)</f>
        <v/>
      </c>
      <c r="BO106" s="7">
        <f>SUM(BO33:BO56)</f>
        <v/>
      </c>
      <c r="BP106" s="7">
        <f>SUM(BP33:BP56)</f>
        <v/>
      </c>
      <c r="BQ106" s="7">
        <f>SUM(BQ33:BQ56)</f>
        <v/>
      </c>
      <c r="BR106" s="7">
        <f>SUM(BR33:BR56)</f>
        <v/>
      </c>
      <c r="BS106" s="7">
        <f>SUM(BS33:BS56)</f>
        <v/>
      </c>
      <c r="BT106" s="7">
        <f>SUM(BT33:BT56)</f>
        <v/>
      </c>
      <c r="BU106" s="7">
        <f>SUM(BU33:BU56)</f>
        <v/>
      </c>
      <c r="BV106" s="7">
        <f>SUM(BV33:BV56)</f>
        <v/>
      </c>
      <c r="BW106" s="7">
        <f>SUM(BW33:BW56)</f>
        <v/>
      </c>
      <c r="BX106" s="7">
        <f>SUM(BX33:BX56)</f>
        <v/>
      </c>
      <c r="BY106" s="7">
        <f>SUM(BY33:BY56)</f>
        <v/>
      </c>
      <c r="BZ106" s="7">
        <f>SUM(BZ33:BZ56)</f>
        <v/>
      </c>
      <c r="CA106" s="7">
        <f>SUM(CA33:CA56)</f>
        <v/>
      </c>
      <c r="CB106" s="7">
        <f>SUM(CB33:CB56)</f>
        <v/>
      </c>
      <c r="CC106" s="7">
        <f>SUM(CC33:CC56)</f>
        <v/>
      </c>
      <c r="CD106" s="7">
        <f>SUM(CD33:CD56)</f>
        <v/>
      </c>
      <c r="CE106" s="7">
        <f>SUM(CE33:CE56)</f>
        <v/>
      </c>
      <c r="CF106" s="7">
        <f>SUM(CF33:CF56)</f>
        <v/>
      </c>
      <c r="CG106" s="7">
        <f>SUM(CG33:CG56)</f>
        <v/>
      </c>
      <c r="CH106" s="7">
        <f>SUM(CH33:CH56)</f>
        <v/>
      </c>
      <c r="CI106" s="7">
        <f>SUM(CI33:CI56)</f>
        <v/>
      </c>
      <c r="CJ106" s="7">
        <f>SUM(CJ33:CJ56)</f>
        <v/>
      </c>
      <c r="CK106" s="7">
        <f>SUM(CK33:CK56)</f>
        <v/>
      </c>
      <c r="CL106" s="7">
        <f>SUM(CL33:CL56)</f>
        <v/>
      </c>
      <c r="CM106" s="7">
        <f>SUM(CM33:CM56)</f>
        <v/>
      </c>
      <c r="CN106" s="7">
        <f>SUM(CN33:CN56)</f>
        <v/>
      </c>
      <c r="CO106" s="7">
        <f>SUM(CO33:CO56)</f>
        <v/>
      </c>
      <c r="CP106" s="7">
        <f>SUM(CP33:CP56)</f>
        <v/>
      </c>
      <c r="CQ106" s="7">
        <f>SUM(CQ33:CQ56)</f>
        <v/>
      </c>
      <c r="CR106" s="7">
        <f>SUM(CR33:CR56)</f>
        <v/>
      </c>
      <c r="CS106" s="7">
        <f>SUM(CS33:CS56)</f>
        <v/>
      </c>
      <c r="CT106" s="7">
        <f>SUM(CT33:CT56)</f>
        <v/>
      </c>
      <c r="CU106" s="7">
        <f>SUM(CU33:CU56)</f>
        <v/>
      </c>
      <c r="CV106" s="7">
        <f>SUM(CV33:CV56)</f>
        <v/>
      </c>
      <c r="CW106" s="7">
        <f>SUM(CW33:CW56)</f>
        <v/>
      </c>
      <c r="CX106" s="7">
        <f>SUM(CX33:CX56)</f>
        <v/>
      </c>
      <c r="CY106" s="7">
        <f>SUM(CY33:CY56)</f>
        <v/>
      </c>
      <c r="CZ106" s="7">
        <f>SUM(CZ33:CZ56)</f>
        <v/>
      </c>
      <c r="DA106" s="7">
        <f>SUM(DA33:DA56)</f>
        <v/>
      </c>
      <c r="DB106" s="7">
        <f>SUM(DB33:DB56)</f>
        <v/>
      </c>
      <c r="DC106" s="7">
        <f>SUM(DC33:DC56)</f>
        <v/>
      </c>
      <c r="DD106" s="7">
        <f>SUM(DD33:DD56)</f>
        <v/>
      </c>
      <c r="DE106" s="7">
        <f>SUM(DE33:DE56)</f>
        <v/>
      </c>
      <c r="DF106" s="7">
        <f>SUM(DF33:DF56)</f>
        <v/>
      </c>
      <c r="DG106" s="7">
        <f>SUM(DG33:DG56)</f>
        <v/>
      </c>
      <c r="DH106" s="7">
        <f>SUM(DH33:DH56)</f>
        <v/>
      </c>
      <c r="DI106" s="7">
        <f>SUM(DI33:DI56)</f>
        <v/>
      </c>
      <c r="DJ106" s="7">
        <f>SUM(DJ33:DJ56)</f>
        <v/>
      </c>
      <c r="DK106" s="7">
        <f>SUM(DK33:DK56)</f>
        <v/>
      </c>
      <c r="DL106" s="7">
        <f>SUM(DL33:DL56)</f>
        <v/>
      </c>
      <c r="DM106" s="7">
        <f>SUM(DM33:DM56)</f>
        <v/>
      </c>
      <c r="DN106" s="7">
        <f>SUM(DN33:DN56)</f>
        <v/>
      </c>
      <c r="DO106" s="7">
        <f>SUM(DO33:DO56)</f>
        <v/>
      </c>
      <c r="DP106" s="7">
        <f>SUM(DP33:DP56)</f>
        <v/>
      </c>
      <c r="DQ106" s="7">
        <f>SUM(DQ33:DQ56)</f>
        <v/>
      </c>
      <c r="DR106" s="7">
        <f>SUM(DR33:DR56)</f>
        <v/>
      </c>
      <c r="DS106" s="11" t="n"/>
      <c r="DT106" s="12" t="n"/>
      <c r="DU106" s="12" t="n"/>
      <c r="DV106" s="12" t="n"/>
      <c r="DW106" s="12" t="n"/>
      <c r="DX106" s="12" t="n"/>
      <c r="DY106" s="12" t="n"/>
      <c r="DZ106" s="12" t="n"/>
      <c r="EA106" s="55" t="n"/>
      <c r="EB106" s="55" t="n"/>
      <c r="EC106" s="55" t="n"/>
      <c r="ED106" s="55" t="n"/>
      <c r="EE106" s="54" t="n"/>
      <c r="EF106" s="54" t="n"/>
      <c r="EG106" s="54" t="n"/>
      <c r="EH106" s="10" t="n"/>
    </row>
    <row r="107" ht="20.25" customHeight="1">
      <c r="B107" s="6" t="inlineStr">
        <is>
          <t>Tarde</t>
        </is>
      </c>
      <c r="C107" s="7">
        <f>SUM(C57:C80)</f>
        <v/>
      </c>
      <c r="D107" s="7">
        <f>SUM(D57:D80)</f>
        <v/>
      </c>
      <c r="E107" s="7">
        <f>SUM(E57:E80)</f>
        <v/>
      </c>
      <c r="F107" s="7">
        <f>SUM(F57:F80)</f>
        <v/>
      </c>
      <c r="G107" s="7">
        <f>SUM(G57:G80)</f>
        <v/>
      </c>
      <c r="H107" s="7">
        <f>SUM(H57:H80)</f>
        <v/>
      </c>
      <c r="I107" s="7">
        <f>SUM(I57:I80)</f>
        <v/>
      </c>
      <c r="J107" s="7">
        <f>SUM(J57:J80)</f>
        <v/>
      </c>
      <c r="K107" s="7">
        <f>SUM(K57:K80)</f>
        <v/>
      </c>
      <c r="L107" s="7">
        <f>SUM(L57:L80)</f>
        <v/>
      </c>
      <c r="M107" s="7">
        <f>SUM(M57:M80)</f>
        <v/>
      </c>
      <c r="N107" s="7">
        <f>SUM(N57:N80)</f>
        <v/>
      </c>
      <c r="O107" s="7">
        <f>SUM(O57:O80)</f>
        <v/>
      </c>
      <c r="P107" s="7">
        <f>SUM(P57:P80)</f>
        <v/>
      </c>
      <c r="Q107" s="7">
        <f>SUM(Q57:Q80)</f>
        <v/>
      </c>
      <c r="R107" s="7">
        <f>SUM(R57:R80)</f>
        <v/>
      </c>
      <c r="S107" s="7">
        <f>SUM(S57:S80)</f>
        <v/>
      </c>
      <c r="T107" s="7">
        <f>SUM(T57:T80)</f>
        <v/>
      </c>
      <c r="U107" s="7">
        <f>SUM(U57:U80)</f>
        <v/>
      </c>
      <c r="V107" s="7">
        <f>SUM(V57:V80)</f>
        <v/>
      </c>
      <c r="W107" s="7">
        <f>SUM(W57:W80)</f>
        <v/>
      </c>
      <c r="X107" s="7">
        <f>SUM(X57:X80)</f>
        <v/>
      </c>
      <c r="Y107" s="7">
        <f>SUM(Y57:Y80)</f>
        <v/>
      </c>
      <c r="Z107" s="7">
        <f>SUM(Z57:Z80)</f>
        <v/>
      </c>
      <c r="AA107" s="7">
        <f>SUM(AA57:AA80)</f>
        <v/>
      </c>
      <c r="AB107" s="7">
        <f>SUM(AB57:AB80)</f>
        <v/>
      </c>
      <c r="AC107" s="7">
        <f>SUM(AC57:AC80)</f>
        <v/>
      </c>
      <c r="AD107" s="7">
        <f>SUM(AD57:AD80)</f>
        <v/>
      </c>
      <c r="AE107" s="7">
        <f>SUM(AE57:AE80)</f>
        <v/>
      </c>
      <c r="AF107" s="7">
        <f>SUM(AF57:AF80)</f>
        <v/>
      </c>
      <c r="AG107" s="7">
        <f>SUM(AG57:AG80)</f>
        <v/>
      </c>
      <c r="AH107" s="7">
        <f>SUM(AH57:AH80)</f>
        <v/>
      </c>
      <c r="AI107" s="7">
        <f>SUM(AI57:AI80)</f>
        <v/>
      </c>
      <c r="AJ107" s="7">
        <f>SUM(AJ57:AJ80)</f>
        <v/>
      </c>
      <c r="AK107" s="7">
        <f>SUM(AK57:AK80)</f>
        <v/>
      </c>
      <c r="AL107" s="7">
        <f>SUM(AL57:AL80)</f>
        <v/>
      </c>
      <c r="AM107" s="7">
        <f>SUM(AM57:AM80)</f>
        <v/>
      </c>
      <c r="AN107" s="7">
        <f>SUM(AN57:AN80)</f>
        <v/>
      </c>
      <c r="AO107" s="7">
        <f>SUM(AO57:AO80)</f>
        <v/>
      </c>
      <c r="AP107" s="7">
        <f>SUM(AP57:AP80)</f>
        <v/>
      </c>
      <c r="AQ107" s="7">
        <f>SUM(AQ57:AQ80)</f>
        <v/>
      </c>
      <c r="AR107" s="7">
        <f>SUM(AR57:AR80)</f>
        <v/>
      </c>
      <c r="AS107" s="7">
        <f>SUM(AS57:AS80)</f>
        <v/>
      </c>
      <c r="AT107" s="7">
        <f>SUM(AT57:AT80)</f>
        <v/>
      </c>
      <c r="AU107" s="7">
        <f>SUM(AU57:AU80)</f>
        <v/>
      </c>
      <c r="AV107" s="7">
        <f>SUM(AV57:AV80)</f>
        <v/>
      </c>
      <c r="AW107" s="7">
        <f>SUM(AW57:AW80)</f>
        <v/>
      </c>
      <c r="AX107" s="7">
        <f>SUM(AX57:AX80)</f>
        <v/>
      </c>
      <c r="AY107" s="7">
        <f>SUM(AY57:AY80)</f>
        <v/>
      </c>
      <c r="AZ107" s="7">
        <f>SUM(AZ57:AZ80)</f>
        <v/>
      </c>
      <c r="BA107" s="7">
        <f>SUM(BA57:BA80)</f>
        <v/>
      </c>
      <c r="BB107" s="7">
        <f>SUM(BB57:BB80)</f>
        <v/>
      </c>
      <c r="BC107" s="7">
        <f>SUM(BC57:BC80)</f>
        <v/>
      </c>
      <c r="BD107" s="7">
        <f>SUM(BD57:BD80)</f>
        <v/>
      </c>
      <c r="BE107" s="7">
        <f>SUM(BE57:BE80)</f>
        <v/>
      </c>
      <c r="BF107" s="7">
        <f>SUM(BF57:BF80)</f>
        <v/>
      </c>
      <c r="BG107" s="7">
        <f>SUM(BG57:BG80)</f>
        <v/>
      </c>
      <c r="BH107" s="7">
        <f>SUM(BH57:BH80)</f>
        <v/>
      </c>
      <c r="BI107" s="7">
        <f>SUM(BI57:BI80)</f>
        <v/>
      </c>
      <c r="BJ107" s="7">
        <f>SUM(BJ57:BJ80)</f>
        <v/>
      </c>
      <c r="BK107" s="7">
        <f>SUM(BK57:BK80)</f>
        <v/>
      </c>
      <c r="BL107" s="7">
        <f>SUM(BL57:BL80)</f>
        <v/>
      </c>
      <c r="BM107" s="7">
        <f>SUM(BM57:BM80)</f>
        <v/>
      </c>
      <c r="BN107" s="7">
        <f>SUM(BN57:BN80)</f>
        <v/>
      </c>
      <c r="BO107" s="7">
        <f>SUM(BO57:BO80)</f>
        <v/>
      </c>
      <c r="BP107" s="7">
        <f>SUM(BP57:BP80)</f>
        <v/>
      </c>
      <c r="BQ107" s="7">
        <f>SUM(BQ57:BQ80)</f>
        <v/>
      </c>
      <c r="BR107" s="7">
        <f>SUM(BR57:BR80)</f>
        <v/>
      </c>
      <c r="BS107" s="7">
        <f>SUM(BS57:BS80)</f>
        <v/>
      </c>
      <c r="BT107" s="7">
        <f>SUM(BT57:BT80)</f>
        <v/>
      </c>
      <c r="BU107" s="7">
        <f>SUM(BU57:BU80)</f>
        <v/>
      </c>
      <c r="BV107" s="7">
        <f>SUM(BV57:BV80)</f>
        <v/>
      </c>
      <c r="BW107" s="7">
        <f>SUM(BW57:BW80)</f>
        <v/>
      </c>
      <c r="BX107" s="7">
        <f>SUM(BX57:BX80)</f>
        <v/>
      </c>
      <c r="BY107" s="7">
        <f>SUM(BY57:BY80)</f>
        <v/>
      </c>
      <c r="BZ107" s="7">
        <f>SUM(BZ57:BZ80)</f>
        <v/>
      </c>
      <c r="CA107" s="7">
        <f>SUM(CA57:CA80)</f>
        <v/>
      </c>
      <c r="CB107" s="7">
        <f>SUM(CB57:CB80)</f>
        <v/>
      </c>
      <c r="CC107" s="7">
        <f>SUM(CC57:CC80)</f>
        <v/>
      </c>
      <c r="CD107" s="7">
        <f>SUM(CD57:CD80)</f>
        <v/>
      </c>
      <c r="CE107" s="7">
        <f>SUM(CE57:CE80)</f>
        <v/>
      </c>
      <c r="CF107" s="7">
        <f>SUM(CF57:CF80)</f>
        <v/>
      </c>
      <c r="CG107" s="7">
        <f>SUM(CG57:CG80)</f>
        <v/>
      </c>
      <c r="CH107" s="7">
        <f>SUM(CH57:CH80)</f>
        <v/>
      </c>
      <c r="CI107" s="7">
        <f>SUM(CI57:CI80)</f>
        <v/>
      </c>
      <c r="CJ107" s="7">
        <f>SUM(CJ57:CJ80)</f>
        <v/>
      </c>
      <c r="CK107" s="7">
        <f>SUM(CK57:CK80)</f>
        <v/>
      </c>
      <c r="CL107" s="7">
        <f>SUM(CL57:CL80)</f>
        <v/>
      </c>
      <c r="CM107" s="7">
        <f>SUM(CM57:CM80)</f>
        <v/>
      </c>
      <c r="CN107" s="7">
        <f>SUM(CN57:CN80)</f>
        <v/>
      </c>
      <c r="CO107" s="7">
        <f>SUM(CO57:CO80)</f>
        <v/>
      </c>
      <c r="CP107" s="7">
        <f>SUM(CP57:CP80)</f>
        <v/>
      </c>
      <c r="CQ107" s="7">
        <f>SUM(CQ57:CQ80)</f>
        <v/>
      </c>
      <c r="CR107" s="7">
        <f>SUM(CR57:CR80)</f>
        <v/>
      </c>
      <c r="CS107" s="7">
        <f>SUM(CS57:CS80)</f>
        <v/>
      </c>
      <c r="CT107" s="7">
        <f>SUM(CT57:CT80)</f>
        <v/>
      </c>
      <c r="CU107" s="7">
        <f>SUM(CU57:CU80)</f>
        <v/>
      </c>
      <c r="CV107" s="7">
        <f>SUM(CV57:CV80)</f>
        <v/>
      </c>
      <c r="CW107" s="7">
        <f>SUM(CW57:CW80)</f>
        <v/>
      </c>
      <c r="CX107" s="7">
        <f>SUM(CX57:CX80)</f>
        <v/>
      </c>
      <c r="CY107" s="7">
        <f>SUM(CY57:CY80)</f>
        <v/>
      </c>
      <c r="CZ107" s="7">
        <f>SUM(CZ57:CZ80)</f>
        <v/>
      </c>
      <c r="DA107" s="7">
        <f>SUM(DA57:DA80)</f>
        <v/>
      </c>
      <c r="DB107" s="7">
        <f>SUM(DB57:DB80)</f>
        <v/>
      </c>
      <c r="DC107" s="7">
        <f>SUM(DC57:DC80)</f>
        <v/>
      </c>
      <c r="DD107" s="7">
        <f>SUM(DD57:DD80)</f>
        <v/>
      </c>
      <c r="DE107" s="7">
        <f>SUM(DE57:DE80)</f>
        <v/>
      </c>
      <c r="DF107" s="7">
        <f>SUM(DF57:DF80)</f>
        <v/>
      </c>
      <c r="DG107" s="7">
        <f>SUM(DG57:DG80)</f>
        <v/>
      </c>
      <c r="DH107" s="7">
        <f>SUM(DH57:DH80)</f>
        <v/>
      </c>
      <c r="DI107" s="7">
        <f>SUM(DI57:DI80)</f>
        <v/>
      </c>
      <c r="DJ107" s="7">
        <f>SUM(DJ57:DJ80)</f>
        <v/>
      </c>
      <c r="DK107" s="7">
        <f>SUM(DK57:DK80)</f>
        <v/>
      </c>
      <c r="DL107" s="7">
        <f>SUM(DL57:DL80)</f>
        <v/>
      </c>
      <c r="DM107" s="7">
        <f>SUM(DM57:DM80)</f>
        <v/>
      </c>
      <c r="DN107" s="7">
        <f>SUM(DN57:DN80)</f>
        <v/>
      </c>
      <c r="DO107" s="7">
        <f>SUM(DO57:DO80)</f>
        <v/>
      </c>
      <c r="DP107" s="7">
        <f>SUM(DP57:DP80)</f>
        <v/>
      </c>
      <c r="DQ107" s="7">
        <f>SUM(DQ57:DQ80)</f>
        <v/>
      </c>
      <c r="DR107" s="7">
        <f>SUM(DR57:DR80)</f>
        <v/>
      </c>
      <c r="DS107" s="12" t="n"/>
      <c r="DT107" s="12" t="n"/>
      <c r="DU107" s="12" t="n"/>
      <c r="DV107" s="12" t="n"/>
      <c r="DW107" s="12" t="n"/>
      <c r="DX107" s="12" t="n"/>
      <c r="DY107" s="12" t="n"/>
      <c r="DZ107" s="12" t="n"/>
      <c r="EA107" s="55" t="n"/>
      <c r="EB107" s="55" t="n"/>
      <c r="EC107" s="55" t="n"/>
      <c r="ED107" s="55" t="n"/>
      <c r="EE107" s="54" t="n"/>
      <c r="EF107" s="54" t="n"/>
      <c r="EG107" s="54" t="n"/>
      <c r="EH107" s="10" t="n"/>
    </row>
    <row r="108" ht="20.25" customHeight="1">
      <c r="B108" s="6" t="inlineStr">
        <is>
          <t>Noche</t>
        </is>
      </c>
      <c r="C108" s="7">
        <f>SUM(C81:C104)</f>
        <v/>
      </c>
      <c r="D108" s="7">
        <f>SUM(D81:D104)</f>
        <v/>
      </c>
      <c r="E108" s="7">
        <f>SUM(E81:E104)</f>
        <v/>
      </c>
      <c r="F108" s="7">
        <f>SUM(F81:F104)</f>
        <v/>
      </c>
      <c r="G108" s="7">
        <f>SUM(G81:G104)</f>
        <v/>
      </c>
      <c r="H108" s="7">
        <f>SUM(H81:H104)</f>
        <v/>
      </c>
      <c r="I108" s="7">
        <f>SUM(I81:I104)</f>
        <v/>
      </c>
      <c r="J108" s="7">
        <f>SUM(J81:J104)</f>
        <v/>
      </c>
      <c r="K108" s="7">
        <f>SUM(K81:K104)</f>
        <v/>
      </c>
      <c r="L108" s="7">
        <f>SUM(L81:L104)</f>
        <v/>
      </c>
      <c r="M108" s="7">
        <f>SUM(M81:M104)</f>
        <v/>
      </c>
      <c r="N108" s="7">
        <f>SUM(N81:N104)</f>
        <v/>
      </c>
      <c r="O108" s="7">
        <f>SUM(O81:O104)</f>
        <v/>
      </c>
      <c r="P108" s="7">
        <f>SUM(P81:P104)</f>
        <v/>
      </c>
      <c r="Q108" s="7">
        <f>SUM(Q81:Q104)</f>
        <v/>
      </c>
      <c r="R108" s="7">
        <f>SUM(R81:R104)</f>
        <v/>
      </c>
      <c r="S108" s="7">
        <f>SUM(S81:S104)</f>
        <v/>
      </c>
      <c r="T108" s="7">
        <f>SUM(T81:T104)</f>
        <v/>
      </c>
      <c r="U108" s="7">
        <f>SUM(U81:U104)</f>
        <v/>
      </c>
      <c r="V108" s="7">
        <f>SUM(V81:V104)</f>
        <v/>
      </c>
      <c r="W108" s="7">
        <f>SUM(W81:W104)</f>
        <v/>
      </c>
      <c r="X108" s="7">
        <f>SUM(X81:X104)</f>
        <v/>
      </c>
      <c r="Y108" s="7">
        <f>SUM(Y81:Y104)</f>
        <v/>
      </c>
      <c r="Z108" s="7">
        <f>SUM(Z81:Z104)</f>
        <v/>
      </c>
      <c r="AA108" s="7">
        <f>SUM(AA81:AA104)</f>
        <v/>
      </c>
      <c r="AB108" s="7">
        <f>SUM(AB81:AB104)</f>
        <v/>
      </c>
      <c r="AC108" s="7">
        <f>SUM(AC81:AC104)</f>
        <v/>
      </c>
      <c r="AD108" s="7">
        <f>SUM(AD81:AD104)</f>
        <v/>
      </c>
      <c r="AE108" s="7">
        <f>SUM(AE81:AE104)</f>
        <v/>
      </c>
      <c r="AF108" s="7">
        <f>SUM(AF81:AF104)</f>
        <v/>
      </c>
      <c r="AG108" s="7">
        <f>SUM(AG81:AG104)</f>
        <v/>
      </c>
      <c r="AH108" s="7">
        <f>SUM(AH81:AH104)</f>
        <v/>
      </c>
      <c r="AI108" s="7">
        <f>SUM(AI81:AI104)</f>
        <v/>
      </c>
      <c r="AJ108" s="7">
        <f>SUM(AJ81:AJ104)</f>
        <v/>
      </c>
      <c r="AK108" s="7">
        <f>SUM(AK81:AK104)</f>
        <v/>
      </c>
      <c r="AL108" s="7">
        <f>SUM(AL81:AL104)</f>
        <v/>
      </c>
      <c r="AM108" s="7">
        <f>SUM(AM81:AM104)</f>
        <v/>
      </c>
      <c r="AN108" s="7">
        <f>SUM(AN81:AN104)</f>
        <v/>
      </c>
      <c r="AO108" s="7">
        <f>SUM(AO81:AO104)</f>
        <v/>
      </c>
      <c r="AP108" s="7">
        <f>SUM(AP81:AP104)</f>
        <v/>
      </c>
      <c r="AQ108" s="7">
        <f>SUM(AQ81:AQ104)</f>
        <v/>
      </c>
      <c r="AR108" s="7">
        <f>SUM(AR81:AR104)</f>
        <v/>
      </c>
      <c r="AS108" s="7">
        <f>SUM(AS81:AS104)</f>
        <v/>
      </c>
      <c r="AT108" s="7">
        <f>SUM(AT81:AT104)</f>
        <v/>
      </c>
      <c r="AU108" s="7">
        <f>SUM(AU81:AU104)</f>
        <v/>
      </c>
      <c r="AV108" s="7">
        <f>SUM(AV81:AV104)</f>
        <v/>
      </c>
      <c r="AW108" s="7">
        <f>SUM(AW81:AW104)</f>
        <v/>
      </c>
      <c r="AX108" s="7">
        <f>SUM(AX81:AX104)</f>
        <v/>
      </c>
      <c r="AY108" s="7">
        <f>SUM(AY81:AY104)</f>
        <v/>
      </c>
      <c r="AZ108" s="7">
        <f>SUM(AZ81:AZ104)</f>
        <v/>
      </c>
      <c r="BA108" s="7">
        <f>SUM(BA81:BA104)</f>
        <v/>
      </c>
      <c r="BB108" s="7">
        <f>SUM(BB81:BB104)</f>
        <v/>
      </c>
      <c r="BC108" s="7">
        <f>SUM(BC81:BC104)</f>
        <v/>
      </c>
      <c r="BD108" s="7">
        <f>SUM(BD81:BD104)</f>
        <v/>
      </c>
      <c r="BE108" s="7">
        <f>SUM(BE81:BE104)</f>
        <v/>
      </c>
      <c r="BF108" s="7">
        <f>SUM(BF81:BF104)</f>
        <v/>
      </c>
      <c r="BG108" s="7">
        <f>SUM(BG81:BG104)</f>
        <v/>
      </c>
      <c r="BH108" s="7">
        <f>SUM(BH81:BH104)</f>
        <v/>
      </c>
      <c r="BI108" s="7">
        <f>SUM(BI81:BI104)</f>
        <v/>
      </c>
      <c r="BJ108" s="7">
        <f>SUM(BJ81:BJ104)</f>
        <v/>
      </c>
      <c r="BK108" s="7">
        <f>SUM(BK81:BK104)</f>
        <v/>
      </c>
      <c r="BL108" s="7">
        <f>SUM(BL81:BL104)</f>
        <v/>
      </c>
      <c r="BM108" s="7">
        <f>SUM(BM81:BM104)</f>
        <v/>
      </c>
      <c r="BN108" s="7">
        <f>SUM(BN81:BN104)</f>
        <v/>
      </c>
      <c r="BO108" s="7">
        <f>SUM(BO81:BO104)</f>
        <v/>
      </c>
      <c r="BP108" s="7">
        <f>SUM(BP81:BP104)</f>
        <v/>
      </c>
      <c r="BQ108" s="7">
        <f>SUM(BQ81:BQ104)</f>
        <v/>
      </c>
      <c r="BR108" s="7">
        <f>SUM(BR81:BR104)</f>
        <v/>
      </c>
      <c r="BS108" s="7">
        <f>SUM(BS81:BS104)</f>
        <v/>
      </c>
      <c r="BT108" s="7">
        <f>SUM(BT81:BT104)</f>
        <v/>
      </c>
      <c r="BU108" s="7">
        <f>SUM(BU81:BU104)</f>
        <v/>
      </c>
      <c r="BV108" s="7">
        <f>SUM(BV81:BV104)</f>
        <v/>
      </c>
      <c r="BW108" s="7">
        <f>SUM(BW81:BW104)</f>
        <v/>
      </c>
      <c r="BX108" s="7">
        <f>SUM(BX81:BX104)</f>
        <v/>
      </c>
      <c r="BY108" s="7">
        <f>SUM(BY81:BY104)</f>
        <v/>
      </c>
      <c r="BZ108" s="7">
        <f>SUM(BZ81:BZ104)</f>
        <v/>
      </c>
      <c r="CA108" s="7">
        <f>SUM(CA81:CA104)</f>
        <v/>
      </c>
      <c r="CB108" s="7">
        <f>SUM(CB81:CB104)</f>
        <v/>
      </c>
      <c r="CC108" s="7">
        <f>SUM(CC81:CC104)</f>
        <v/>
      </c>
      <c r="CD108" s="7">
        <f>SUM(CD81:CD104)</f>
        <v/>
      </c>
      <c r="CE108" s="7">
        <f>SUM(CE81:CE104)</f>
        <v/>
      </c>
      <c r="CF108" s="7">
        <f>SUM(CF81:CF104)</f>
        <v/>
      </c>
      <c r="CG108" s="7">
        <f>SUM(CG81:CG104)</f>
        <v/>
      </c>
      <c r="CH108" s="7">
        <f>SUM(CH81:CH104)</f>
        <v/>
      </c>
      <c r="CI108" s="7">
        <f>SUM(CI81:CI104)</f>
        <v/>
      </c>
      <c r="CJ108" s="7">
        <f>SUM(CJ81:CJ104)</f>
        <v/>
      </c>
      <c r="CK108" s="7">
        <f>SUM(CK81:CK104)</f>
        <v/>
      </c>
      <c r="CL108" s="7">
        <f>SUM(CL81:CL104)</f>
        <v/>
      </c>
      <c r="CM108" s="7">
        <f>SUM(CM81:CM104)</f>
        <v/>
      </c>
      <c r="CN108" s="7">
        <f>SUM(CN81:CN104)</f>
        <v/>
      </c>
      <c r="CO108" s="7">
        <f>SUM(CO81:CO104)</f>
        <v/>
      </c>
      <c r="CP108" s="7">
        <f>SUM(CP81:CP104)</f>
        <v/>
      </c>
      <c r="CQ108" s="7">
        <f>SUM(CQ81:CQ104)</f>
        <v/>
      </c>
      <c r="CR108" s="7">
        <f>SUM(CR81:CR104)</f>
        <v/>
      </c>
      <c r="CS108" s="7">
        <f>SUM(CS81:CS104)</f>
        <v/>
      </c>
      <c r="CT108" s="7">
        <f>SUM(CT81:CT104)</f>
        <v/>
      </c>
      <c r="CU108" s="7">
        <f>SUM(CU81:CU104)</f>
        <v/>
      </c>
      <c r="CV108" s="7">
        <f>SUM(CV81:CV104)</f>
        <v/>
      </c>
      <c r="CW108" s="7">
        <f>SUM(CW81:CW104)</f>
        <v/>
      </c>
      <c r="CX108" s="7">
        <f>SUM(CX81:CX104)</f>
        <v/>
      </c>
      <c r="CY108" s="7">
        <f>SUM(CY81:CY104)</f>
        <v/>
      </c>
      <c r="CZ108" s="7">
        <f>SUM(CZ81:CZ104)</f>
        <v/>
      </c>
      <c r="DA108" s="7">
        <f>SUM(DA81:DA104)</f>
        <v/>
      </c>
      <c r="DB108" s="7">
        <f>SUM(DB81:DB104)</f>
        <v/>
      </c>
      <c r="DC108" s="7">
        <f>SUM(DC81:DC104)</f>
        <v/>
      </c>
      <c r="DD108" s="7">
        <f>SUM(DD81:DD104)</f>
        <v/>
      </c>
      <c r="DE108" s="7">
        <f>SUM(DE81:DE104)</f>
        <v/>
      </c>
      <c r="DF108" s="7">
        <f>SUM(DF81:DF104)</f>
        <v/>
      </c>
      <c r="DG108" s="7">
        <f>SUM(DG81:DG104)</f>
        <v/>
      </c>
      <c r="DH108" s="7">
        <f>SUM(DH81:DH104)</f>
        <v/>
      </c>
      <c r="DI108" s="7">
        <f>SUM(DI81:DI104)</f>
        <v/>
      </c>
      <c r="DJ108" s="7">
        <f>SUM(DJ81:DJ104)</f>
        <v/>
      </c>
      <c r="DK108" s="7">
        <f>SUM(DK81:DK104)</f>
        <v/>
      </c>
      <c r="DL108" s="7">
        <f>SUM(DL81:DL104)</f>
        <v/>
      </c>
      <c r="DM108" s="7">
        <f>SUM(DM81:DM104)</f>
        <v/>
      </c>
      <c r="DN108" s="7">
        <f>SUM(DN81:DN104)</f>
        <v/>
      </c>
      <c r="DO108" s="7">
        <f>SUM(DO81:DO104)</f>
        <v/>
      </c>
      <c r="DP108" s="7">
        <f>SUM(DP81:DP104)</f>
        <v/>
      </c>
      <c r="DQ108" s="7">
        <f>SUM(DQ81:DQ104)</f>
        <v/>
      </c>
      <c r="DR108" s="7">
        <f>SUM(DR81:DR104)</f>
        <v/>
      </c>
      <c r="DS108" s="12" t="n"/>
      <c r="DT108" s="12" t="n"/>
      <c r="DU108" s="12" t="n"/>
      <c r="DV108" s="12" t="n"/>
      <c r="DW108" s="12" t="n"/>
      <c r="DX108" s="12" t="n"/>
      <c r="DY108" s="12" t="n"/>
      <c r="DZ108" s="12" t="n"/>
      <c r="EA108" s="12" t="n"/>
      <c r="EB108" s="12" t="n"/>
      <c r="EC108" s="12" t="n"/>
      <c r="ED108" s="12" t="n"/>
      <c r="EE108" s="10" t="n"/>
      <c r="EF108" s="10" t="n"/>
      <c r="EG108" s="10" t="n"/>
      <c r="EH108" s="10" t="n"/>
    </row>
    <row r="109" ht="20.25" customHeight="1">
      <c r="EH109" s="10" t="n"/>
    </row>
  </sheetData>
  <mergeCells count="29">
    <mergeCell ref="EG7:EG8"/>
    <mergeCell ref="B2:EH2"/>
    <mergeCell ref="CO7:CX7"/>
    <mergeCell ref="B3:C3"/>
    <mergeCell ref="C7:L7"/>
    <mergeCell ref="DS7:ED7"/>
    <mergeCell ref="H5:K5"/>
    <mergeCell ref="BK7:BT7"/>
    <mergeCell ref="CY7:DH7"/>
    <mergeCell ref="DI7:DR7"/>
    <mergeCell ref="BU7:CD7"/>
    <mergeCell ref="F5:G5"/>
    <mergeCell ref="EF7:EF8"/>
    <mergeCell ref="EH7:EH8"/>
    <mergeCell ref="L3:EH5"/>
    <mergeCell ref="CE7:CN7"/>
    <mergeCell ref="B6:EH6"/>
    <mergeCell ref="EE7:EE8"/>
    <mergeCell ref="AQ7:AZ7"/>
    <mergeCell ref="D4:K4"/>
    <mergeCell ref="BA7:BJ7"/>
    <mergeCell ref="D3:K3"/>
    <mergeCell ref="B5:C5"/>
    <mergeCell ref="D5:E5"/>
    <mergeCell ref="M7:V7"/>
    <mergeCell ref="B7:B8"/>
    <mergeCell ref="W7:AF7"/>
    <mergeCell ref="AG7:AP7"/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B2:EH109"/>
  <sheetViews>
    <sheetView zoomScale="70" zoomScaleNormal="70" workbookViewId="0">
      <selection activeCell="A1" sqref="A1"/>
    </sheetView>
  </sheetViews>
  <sheetFormatPr baseColWidth="10" defaultColWidth="9.140625" defaultRowHeight="15" outlineLevelCol="0"/>
  <cols>
    <col width="13.5703125" bestFit="1" customWidth="1" min="1" max="1"/>
    <col width="17" bestFit="1" customWidth="1" min="2" max="2"/>
    <col width="13.5703125" bestFit="1" customWidth="1" style="1" min="3" max="102"/>
    <col width="13.5703125" customWidth="1" style="84" min="103" max="122"/>
    <col width="13.5703125" bestFit="1" customWidth="1" style="1" min="123" max="132"/>
    <col width="13.5703125" customWidth="1" style="84" min="133" max="134"/>
    <col width="13.5703125" bestFit="1" customWidth="1" style="2" min="135" max="137"/>
    <col width="13.5703125" bestFit="1" customWidth="1" style="1" min="138" max="138"/>
  </cols>
  <sheetData>
    <row r="1" ht="18.75" customHeight="1"/>
    <row r="2" ht="30" customHeight="1">
      <c r="B2" s="256" t="inlineStr">
        <is>
          <t>CONTROL DE FLUJO VEHICULAR CLASIFICADO</t>
        </is>
      </c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228" t="n"/>
      <c r="P2" s="228" t="n"/>
      <c r="Q2" s="228" t="n"/>
      <c r="R2" s="228" t="n"/>
      <c r="S2" s="228" t="n"/>
      <c r="T2" s="228" t="n"/>
      <c r="U2" s="228" t="n"/>
      <c r="V2" s="228" t="n"/>
      <c r="W2" s="228" t="n"/>
      <c r="X2" s="228" t="n"/>
      <c r="Y2" s="228" t="n"/>
      <c r="Z2" s="228" t="n"/>
      <c r="AA2" s="228" t="n"/>
      <c r="AB2" s="228" t="n"/>
      <c r="AC2" s="228" t="n"/>
      <c r="AD2" s="228" t="n"/>
      <c r="AE2" s="228" t="n"/>
      <c r="AF2" s="228" t="n"/>
      <c r="AG2" s="228" t="n"/>
      <c r="AH2" s="228" t="n"/>
      <c r="AI2" s="228" t="n"/>
      <c r="AJ2" s="228" t="n"/>
      <c r="AK2" s="228" t="n"/>
      <c r="AL2" s="228" t="n"/>
      <c r="AM2" s="228" t="n"/>
      <c r="AN2" s="228" t="n"/>
      <c r="AO2" s="228" t="n"/>
      <c r="AP2" s="228" t="n"/>
      <c r="AQ2" s="228" t="n"/>
      <c r="AR2" s="228" t="n"/>
      <c r="AS2" s="228" t="n"/>
      <c r="AT2" s="228" t="n"/>
      <c r="AU2" s="228" t="n"/>
      <c r="AV2" s="228" t="n"/>
      <c r="AW2" s="228" t="n"/>
      <c r="AX2" s="228" t="n"/>
      <c r="AY2" s="228" t="n"/>
      <c r="AZ2" s="228" t="n"/>
      <c r="BA2" s="228" t="n"/>
      <c r="BB2" s="228" t="n"/>
      <c r="BC2" s="228" t="n"/>
      <c r="BD2" s="228" t="n"/>
      <c r="BE2" s="228" t="n"/>
      <c r="BF2" s="228" t="n"/>
      <c r="BG2" s="228" t="n"/>
      <c r="BH2" s="228" t="n"/>
      <c r="BI2" s="228" t="n"/>
      <c r="BJ2" s="228" t="n"/>
      <c r="BK2" s="228" t="n"/>
      <c r="BL2" s="228" t="n"/>
      <c r="BM2" s="228" t="n"/>
      <c r="BN2" s="228" t="n"/>
      <c r="BO2" s="228" t="n"/>
      <c r="BP2" s="228" t="n"/>
      <c r="BQ2" s="228" t="n"/>
      <c r="BR2" s="228" t="n"/>
      <c r="BS2" s="228" t="n"/>
      <c r="BT2" s="228" t="n"/>
      <c r="BU2" s="228" t="n"/>
      <c r="BV2" s="228" t="n"/>
      <c r="BW2" s="228" t="n"/>
      <c r="BX2" s="228" t="n"/>
      <c r="BY2" s="228" t="n"/>
      <c r="BZ2" s="228" t="n"/>
      <c r="CA2" s="228" t="n"/>
      <c r="CB2" s="228" t="n"/>
      <c r="CC2" s="228" t="n"/>
      <c r="CD2" s="228" t="n"/>
      <c r="CE2" s="228" t="n"/>
      <c r="CF2" s="228" t="n"/>
      <c r="CG2" s="228" t="n"/>
      <c r="CH2" s="228" t="n"/>
      <c r="CI2" s="228" t="n"/>
      <c r="CJ2" s="228" t="n"/>
      <c r="CK2" s="228" t="n"/>
      <c r="CL2" s="228" t="n"/>
      <c r="CM2" s="228" t="n"/>
      <c r="CN2" s="228" t="n"/>
      <c r="CO2" s="228" t="n"/>
      <c r="CP2" s="228" t="n"/>
      <c r="CQ2" s="228" t="n"/>
      <c r="CR2" s="228" t="n"/>
      <c r="CS2" s="228" t="n"/>
      <c r="CT2" s="228" t="n"/>
      <c r="CU2" s="228" t="n"/>
      <c r="CV2" s="228" t="n"/>
      <c r="CW2" s="228" t="n"/>
      <c r="CX2" s="228" t="n"/>
      <c r="CY2" s="228" t="n"/>
      <c r="CZ2" s="228" t="n"/>
      <c r="DA2" s="228" t="n"/>
      <c r="DB2" s="228" t="n"/>
      <c r="DC2" s="228" t="n"/>
      <c r="DD2" s="228" t="n"/>
      <c r="DE2" s="228" t="n"/>
      <c r="DF2" s="228" t="n"/>
      <c r="DG2" s="228" t="n"/>
      <c r="DH2" s="228" t="n"/>
      <c r="DI2" s="228" t="n"/>
      <c r="DJ2" s="228" t="n"/>
      <c r="DK2" s="228" t="n"/>
      <c r="DL2" s="228" t="n"/>
      <c r="DM2" s="228" t="n"/>
      <c r="DN2" s="228" t="n"/>
      <c r="DO2" s="228" t="n"/>
      <c r="DP2" s="228" t="n"/>
      <c r="DQ2" s="228" t="n"/>
      <c r="DR2" s="228" t="n"/>
      <c r="DS2" s="228" t="n"/>
      <c r="DT2" s="228" t="n"/>
      <c r="DU2" s="228" t="n"/>
      <c r="DV2" s="228" t="n"/>
      <c r="DW2" s="228" t="n"/>
      <c r="DX2" s="228" t="n"/>
      <c r="DY2" s="228" t="n"/>
      <c r="DZ2" s="228" t="n"/>
      <c r="EA2" s="228" t="n"/>
      <c r="EB2" s="228" t="n"/>
      <c r="EC2" s="228" t="n"/>
      <c r="ED2" s="228" t="n"/>
      <c r="EE2" s="228" t="n"/>
      <c r="EF2" s="228" t="n"/>
      <c r="EG2" s="228" t="n"/>
      <c r="EH2" s="257" t="n"/>
    </row>
    <row r="3" ht="20.25" customHeight="1">
      <c r="B3" s="201" t="inlineStr">
        <is>
          <t xml:space="preserve">Intersección     :     </t>
        </is>
      </c>
      <c r="D3" s="203">
        <f>Inicio!G5</f>
        <v/>
      </c>
      <c r="L3" s="206" t="n"/>
      <c r="EH3" s="48" t="n"/>
    </row>
    <row r="4" ht="20.25" customHeight="1">
      <c r="B4" s="201" t="inlineStr">
        <is>
          <t xml:space="preserve">Fecha     :     </t>
        </is>
      </c>
      <c r="D4" s="204">
        <f>Inicio!G6</f>
        <v/>
      </c>
      <c r="EH4" s="48" t="n"/>
    </row>
    <row r="5" ht="20.25" customHeight="1">
      <c r="B5" s="201" t="inlineStr">
        <is>
          <t xml:space="preserve">Día     :     </t>
        </is>
      </c>
      <c r="D5" s="207">
        <f>Inicio!G8</f>
        <v/>
      </c>
      <c r="F5" s="202" t="inlineStr">
        <is>
          <t xml:space="preserve">Distrito     :     </t>
        </is>
      </c>
      <c r="H5" s="207">
        <f>Inicio!G9</f>
        <v/>
      </c>
      <c r="EH5" s="48" t="n"/>
    </row>
    <row r="6" ht="20.25" customHeight="1">
      <c r="B6" s="258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1" t="n"/>
    </row>
    <row r="7" ht="22.7" customHeight="1">
      <c r="B7" s="217" t="inlineStr">
        <is>
          <t>Horas de Control</t>
        </is>
      </c>
      <c r="C7" s="193">
        <f>Inicio!V4</f>
        <v/>
      </c>
      <c r="D7" s="259" t="n"/>
      <c r="E7" s="259" t="n"/>
      <c r="F7" s="259" t="n"/>
      <c r="G7" s="259" t="n"/>
      <c r="H7" s="259" t="n"/>
      <c r="I7" s="259" t="n"/>
      <c r="J7" s="259" t="n"/>
      <c r="K7" s="259" t="n"/>
      <c r="L7" s="260" t="n"/>
      <c r="M7" s="193">
        <f>Inicio!V5</f>
        <v/>
      </c>
      <c r="N7" s="259" t="n"/>
      <c r="O7" s="259" t="n"/>
      <c r="P7" s="259" t="n"/>
      <c r="Q7" s="259" t="n"/>
      <c r="R7" s="259" t="n"/>
      <c r="S7" s="259" t="n"/>
      <c r="T7" s="259" t="n"/>
      <c r="U7" s="259" t="n"/>
      <c r="V7" s="260" t="n"/>
      <c r="W7" s="193">
        <f>Inicio!V6</f>
        <v/>
      </c>
      <c r="X7" s="259" t="n"/>
      <c r="Y7" s="259" t="n"/>
      <c r="Z7" s="259" t="n"/>
      <c r="AA7" s="259" t="n"/>
      <c r="AB7" s="259" t="n"/>
      <c r="AC7" s="259" t="n"/>
      <c r="AD7" s="259" t="n"/>
      <c r="AE7" s="259" t="n"/>
      <c r="AF7" s="260" t="n"/>
      <c r="AG7" s="266">
        <f>Inicio!V7</f>
        <v/>
      </c>
      <c r="AH7" s="259" t="n"/>
      <c r="AI7" s="259" t="n"/>
      <c r="AJ7" s="259" t="n"/>
      <c r="AK7" s="259" t="n"/>
      <c r="AL7" s="259" t="n"/>
      <c r="AM7" s="259" t="n"/>
      <c r="AN7" s="259" t="n"/>
      <c r="AO7" s="259" t="n"/>
      <c r="AP7" s="260" t="n"/>
      <c r="AQ7" s="266">
        <f>Inicio!V8</f>
        <v/>
      </c>
      <c r="AR7" s="259" t="n"/>
      <c r="AS7" s="259" t="n"/>
      <c r="AT7" s="259" t="n"/>
      <c r="AU7" s="259" t="n"/>
      <c r="AV7" s="259" t="n"/>
      <c r="AW7" s="259" t="n"/>
      <c r="AX7" s="259" t="n"/>
      <c r="AY7" s="259" t="n"/>
      <c r="AZ7" s="260" t="n"/>
      <c r="BA7" s="266">
        <f>Inicio!V9</f>
        <v/>
      </c>
      <c r="BB7" s="259" t="n"/>
      <c r="BC7" s="259" t="n"/>
      <c r="BD7" s="259" t="n"/>
      <c r="BE7" s="259" t="n"/>
      <c r="BF7" s="259" t="n"/>
      <c r="BG7" s="259" t="n"/>
      <c r="BH7" s="259" t="n"/>
      <c r="BI7" s="259" t="n"/>
      <c r="BJ7" s="260" t="n"/>
      <c r="BK7" s="266">
        <f>Inicio!V10</f>
        <v/>
      </c>
      <c r="BL7" s="259" t="n"/>
      <c r="BM7" s="259" t="n"/>
      <c r="BN7" s="259" t="n"/>
      <c r="BO7" s="259" t="n"/>
      <c r="BP7" s="259" t="n"/>
      <c r="BQ7" s="259" t="n"/>
      <c r="BR7" s="259" t="n"/>
      <c r="BS7" s="259" t="n"/>
      <c r="BT7" s="260" t="n"/>
      <c r="BU7" s="266">
        <f>Inicio!V11</f>
        <v/>
      </c>
      <c r="BV7" s="259" t="n"/>
      <c r="BW7" s="259" t="n"/>
      <c r="BX7" s="259" t="n"/>
      <c r="BY7" s="259" t="n"/>
      <c r="BZ7" s="259" t="n"/>
      <c r="CA7" s="259" t="n"/>
      <c r="CB7" s="259" t="n"/>
      <c r="CC7" s="259" t="n"/>
      <c r="CD7" s="260" t="n"/>
      <c r="CE7" s="266">
        <f>Inicio!V12</f>
        <v/>
      </c>
      <c r="CF7" s="259" t="n"/>
      <c r="CG7" s="259" t="n"/>
      <c r="CH7" s="259" t="n"/>
      <c r="CI7" s="259" t="n"/>
      <c r="CJ7" s="259" t="n"/>
      <c r="CK7" s="259" t="n"/>
      <c r="CL7" s="259" t="n"/>
      <c r="CM7" s="259" t="n"/>
      <c r="CN7" s="260" t="n"/>
      <c r="CO7" s="266">
        <f>Inicio!V13</f>
        <v/>
      </c>
      <c r="CP7" s="259" t="n"/>
      <c r="CQ7" s="259" t="n"/>
      <c r="CR7" s="259" t="n"/>
      <c r="CS7" s="259" t="n"/>
      <c r="CT7" s="259" t="n"/>
      <c r="CU7" s="259" t="n"/>
      <c r="CV7" s="259" t="n"/>
      <c r="CW7" s="259" t="n"/>
      <c r="CX7" s="260" t="n"/>
      <c r="CY7" s="266">
        <f>Inicio!V14</f>
        <v/>
      </c>
      <c r="CZ7" s="259" t="n"/>
      <c r="DA7" s="259" t="n"/>
      <c r="DB7" s="259" t="n"/>
      <c r="DC7" s="259" t="n"/>
      <c r="DD7" s="259" t="n"/>
      <c r="DE7" s="259" t="n"/>
      <c r="DF7" s="259" t="n"/>
      <c r="DG7" s="259" t="n"/>
      <c r="DH7" s="260" t="n"/>
      <c r="DI7" s="266">
        <f>Inicio!V15</f>
        <v/>
      </c>
      <c r="DJ7" s="259" t="n"/>
      <c r="DK7" s="259" t="n"/>
      <c r="DL7" s="259" t="n"/>
      <c r="DM7" s="259" t="n"/>
      <c r="DN7" s="259" t="n"/>
      <c r="DO7" s="259" t="n"/>
      <c r="DP7" s="259" t="n"/>
      <c r="DQ7" s="259" t="n"/>
      <c r="DR7" s="260" t="n"/>
      <c r="DS7" s="223" t="inlineStr">
        <is>
          <t>Movimiento UCP</t>
        </is>
      </c>
      <c r="DT7" s="259" t="n"/>
      <c r="DU7" s="259" t="n"/>
      <c r="DV7" s="259" t="n"/>
      <c r="DW7" s="259" t="n"/>
      <c r="DX7" s="259" t="n"/>
      <c r="DY7" s="259" t="n"/>
      <c r="DZ7" s="259" t="n"/>
      <c r="EA7" s="259" t="n"/>
      <c r="EB7" s="260" t="n"/>
      <c r="EC7" s="225" t="n"/>
      <c r="ED7" s="225" t="n"/>
      <c r="EE7" s="196" t="inlineStr">
        <is>
          <t>Total
c/15'</t>
        </is>
      </c>
      <c r="EF7" s="196" t="inlineStr">
        <is>
          <t>Suma
1h</t>
        </is>
      </c>
      <c r="EG7" s="196" t="inlineStr">
        <is>
          <t>(UCP)
c/15'</t>
        </is>
      </c>
      <c r="EH7" s="196" t="inlineStr">
        <is>
          <t>(UCP)
1h</t>
        </is>
      </c>
    </row>
    <row r="8" ht="23.25" customHeight="1">
      <c r="B8" s="265" t="n"/>
      <c r="C8" s="14">
        <f>IF(Inicio!$M24 = 0,"",Inicio!$M24)</f>
        <v/>
      </c>
      <c r="D8" s="14">
        <f>IF(Inicio!$M25 = 0,"",Inicio!$M25)</f>
        <v/>
      </c>
      <c r="E8" s="14">
        <f>IF(Inicio!$M26 = 0,"",Inicio!$M26)</f>
        <v/>
      </c>
      <c r="F8" s="14">
        <f>IF(Inicio!$M27 = 0,"",Inicio!$M27)</f>
        <v/>
      </c>
      <c r="G8" s="14">
        <f>IF(Inicio!$M28 = 0,"",Inicio!$M28)</f>
        <v/>
      </c>
      <c r="H8" s="14">
        <f>IF(Inicio!$M29 = 0,"",Inicio!$M29)</f>
        <v/>
      </c>
      <c r="I8" s="14">
        <f>IF(Inicio!$M30 = 0,"",Inicio!$M30)</f>
        <v/>
      </c>
      <c r="J8" s="14">
        <f>IF(Inicio!$M31 = 0,"",Inicio!$M31)</f>
        <v/>
      </c>
      <c r="K8" s="14">
        <f>IF(Inicio!$M32 = 0,"",Inicio!$M32)</f>
        <v/>
      </c>
      <c r="L8" s="14">
        <f>IF(Inicio!$M33 = 0,"",Inicio!$M33)</f>
        <v/>
      </c>
      <c r="M8" s="14">
        <f>IF(Inicio!$M24 = 0,"",Inicio!$M24)</f>
        <v/>
      </c>
      <c r="N8" s="14">
        <f>IF(Inicio!$M25 = 0,"",Inicio!$M25)</f>
        <v/>
      </c>
      <c r="O8" s="14">
        <f>IF(Inicio!$M26 = 0,"",Inicio!$M26)</f>
        <v/>
      </c>
      <c r="P8" s="14">
        <f>IF(Inicio!$M27 = 0,"",Inicio!$M27)</f>
        <v/>
      </c>
      <c r="Q8" s="14">
        <f>IF(Inicio!$M28 = 0,"",Inicio!$M28)</f>
        <v/>
      </c>
      <c r="R8" s="14">
        <f>IF(Inicio!$M29 = 0,"",Inicio!$M29)</f>
        <v/>
      </c>
      <c r="S8" s="14">
        <f>IF(Inicio!$M30 = 0,"",Inicio!$M30)</f>
        <v/>
      </c>
      <c r="T8" s="14">
        <f>IF(Inicio!$M31 = 0,"",Inicio!$M31)</f>
        <v/>
      </c>
      <c r="U8" s="14">
        <f>IF(Inicio!$M32 = 0,"",Inicio!$M32)</f>
        <v/>
      </c>
      <c r="V8" s="14">
        <f>IF(Inicio!$M33 = 0,"",Inicio!$M33)</f>
        <v/>
      </c>
      <c r="W8" s="14">
        <f>IF(Inicio!$M24 = 0,"",Inicio!$M24)</f>
        <v/>
      </c>
      <c r="X8" s="14">
        <f>IF(Inicio!$M25 = 0,"",Inicio!$M25)</f>
        <v/>
      </c>
      <c r="Y8" s="14">
        <f>IF(Inicio!$M26 = 0,"",Inicio!$M26)</f>
        <v/>
      </c>
      <c r="Z8" s="14">
        <f>IF(Inicio!$M27 = 0,"",Inicio!$M27)</f>
        <v/>
      </c>
      <c r="AA8" s="14">
        <f>IF(Inicio!$M28 = 0,"",Inicio!$M28)</f>
        <v/>
      </c>
      <c r="AB8" s="14">
        <f>IF(Inicio!$M29 = 0,"",Inicio!$M29)</f>
        <v/>
      </c>
      <c r="AC8" s="14">
        <f>IF(Inicio!$M30 = 0,"",Inicio!$M30)</f>
        <v/>
      </c>
      <c r="AD8" s="14">
        <f>IF(Inicio!$M31 = 0,"",Inicio!$M31)</f>
        <v/>
      </c>
      <c r="AE8" s="14">
        <f>IF(Inicio!$M32 = 0,"",Inicio!$M32)</f>
        <v/>
      </c>
      <c r="AF8" s="14">
        <f>IF(Inicio!$M33 = 0,"",Inicio!$M33)</f>
        <v/>
      </c>
      <c r="AG8" s="14">
        <f>IF(Inicio!$M24 = 0,"",Inicio!$M24)</f>
        <v/>
      </c>
      <c r="AH8" s="14">
        <f>IF(Inicio!$M25 = 0,"",Inicio!$M25)</f>
        <v/>
      </c>
      <c r="AI8" s="14">
        <f>IF(Inicio!$M26 = 0,"",Inicio!$M26)</f>
        <v/>
      </c>
      <c r="AJ8" s="14">
        <f>IF(Inicio!$M27 = 0,"",Inicio!$M27)</f>
        <v/>
      </c>
      <c r="AK8" s="14">
        <f>IF(Inicio!$M28 = 0,"",Inicio!$M28)</f>
        <v/>
      </c>
      <c r="AL8" s="14">
        <f>IF(Inicio!$M29 = 0,"",Inicio!$M29)</f>
        <v/>
      </c>
      <c r="AM8" s="14">
        <f>IF(Inicio!$M30 = 0,"",Inicio!$M30)</f>
        <v/>
      </c>
      <c r="AN8" s="14">
        <f>IF(Inicio!$M31 = 0,"",Inicio!$M31)</f>
        <v/>
      </c>
      <c r="AO8" s="14">
        <f>IF(Inicio!$M32 = 0,"",Inicio!$M32)</f>
        <v/>
      </c>
      <c r="AP8" s="14">
        <f>IF(Inicio!$M33 = 0,"",Inicio!$M33)</f>
        <v/>
      </c>
      <c r="AQ8" s="14">
        <f>IF(Inicio!$M24 = 0,"",Inicio!$M24)</f>
        <v/>
      </c>
      <c r="AR8" s="14">
        <f>IF(Inicio!$M25 = 0,"",Inicio!$M25)</f>
        <v/>
      </c>
      <c r="AS8" s="14">
        <f>IF(Inicio!$M26 = 0,"",Inicio!$M26)</f>
        <v/>
      </c>
      <c r="AT8" s="14">
        <f>IF(Inicio!$M27 = 0,"",Inicio!$M27)</f>
        <v/>
      </c>
      <c r="AU8" s="14">
        <f>IF(Inicio!$M28 = 0,"",Inicio!$M28)</f>
        <v/>
      </c>
      <c r="AV8" s="14">
        <f>IF(Inicio!$M29 = 0,"",Inicio!$M29)</f>
        <v/>
      </c>
      <c r="AW8" s="14">
        <f>IF(Inicio!$M30 = 0,"",Inicio!$M30)</f>
        <v/>
      </c>
      <c r="AX8" s="14">
        <f>IF(Inicio!$M31 = 0,"",Inicio!$M31)</f>
        <v/>
      </c>
      <c r="AY8" s="14">
        <f>IF(Inicio!$M32 = 0,"",Inicio!$M32)</f>
        <v/>
      </c>
      <c r="AZ8" s="14">
        <f>IF(Inicio!$M33 = 0,"",Inicio!$M33)</f>
        <v/>
      </c>
      <c r="BA8" s="14">
        <f>IF(Inicio!$M24 = 0,"",Inicio!$M24)</f>
        <v/>
      </c>
      <c r="BB8" s="14">
        <f>IF(Inicio!$M25 = 0,"",Inicio!$M25)</f>
        <v/>
      </c>
      <c r="BC8" s="14">
        <f>IF(Inicio!$M26 = 0,"",Inicio!$M26)</f>
        <v/>
      </c>
      <c r="BD8" s="14">
        <f>IF(Inicio!$M27 = 0,"",Inicio!$M27)</f>
        <v/>
      </c>
      <c r="BE8" s="14">
        <f>IF(Inicio!$M28 = 0,"",Inicio!$M28)</f>
        <v/>
      </c>
      <c r="BF8" s="14">
        <f>IF(Inicio!$M29 = 0,"",Inicio!$M29)</f>
        <v/>
      </c>
      <c r="BG8" s="14">
        <f>IF(Inicio!$M30 = 0,"",Inicio!$M30)</f>
        <v/>
      </c>
      <c r="BH8" s="14">
        <f>IF(Inicio!$M31 = 0,"",Inicio!$M31)</f>
        <v/>
      </c>
      <c r="BI8" s="14">
        <f>IF(Inicio!$M32 = 0,"",Inicio!$M32)</f>
        <v/>
      </c>
      <c r="BJ8" s="14">
        <f>IF(Inicio!$M33 = 0,"",Inicio!$M33)</f>
        <v/>
      </c>
      <c r="BK8" s="14">
        <f>IF(Inicio!$M24 = 0,"",Inicio!$M24)</f>
        <v/>
      </c>
      <c r="BL8" s="14">
        <f>IF(Inicio!$M25 = 0,"",Inicio!$M25)</f>
        <v/>
      </c>
      <c r="BM8" s="14">
        <f>IF(Inicio!$M26 = 0,"",Inicio!$M26)</f>
        <v/>
      </c>
      <c r="BN8" s="14">
        <f>IF(Inicio!$M27 = 0,"",Inicio!$M27)</f>
        <v/>
      </c>
      <c r="BO8" s="14">
        <f>IF(Inicio!$M28 = 0,"",Inicio!$M28)</f>
        <v/>
      </c>
      <c r="BP8" s="14">
        <f>IF(Inicio!$M29 = 0,"",Inicio!$M29)</f>
        <v/>
      </c>
      <c r="BQ8" s="14">
        <f>IF(Inicio!$M30 = 0,"",Inicio!$M30)</f>
        <v/>
      </c>
      <c r="BR8" s="14">
        <f>IF(Inicio!$M31 = 0,"",Inicio!$M31)</f>
        <v/>
      </c>
      <c r="BS8" s="14">
        <f>IF(Inicio!$M32 = 0,"",Inicio!$M32)</f>
        <v/>
      </c>
      <c r="BT8" s="14">
        <f>IF(Inicio!$M33 = 0,"",Inicio!$M33)</f>
        <v/>
      </c>
      <c r="BU8" s="14">
        <f>IF(Inicio!$M24 = 0,"",Inicio!$M24)</f>
        <v/>
      </c>
      <c r="BV8" s="14">
        <f>IF(Inicio!$M25 = 0,"",Inicio!$M25)</f>
        <v/>
      </c>
      <c r="BW8" s="14">
        <f>IF(Inicio!$M26 = 0,"",Inicio!$M26)</f>
        <v/>
      </c>
      <c r="BX8" s="14">
        <f>IF(Inicio!$M27 = 0,"",Inicio!$M27)</f>
        <v/>
      </c>
      <c r="BY8" s="14">
        <f>IF(Inicio!$M28 = 0,"",Inicio!$M28)</f>
        <v/>
      </c>
      <c r="BZ8" s="14">
        <f>IF(Inicio!$M29 = 0,"",Inicio!$M29)</f>
        <v/>
      </c>
      <c r="CA8" s="14">
        <f>IF(Inicio!$M30 = 0,"",Inicio!$M30)</f>
        <v/>
      </c>
      <c r="CB8" s="14">
        <f>IF(Inicio!$M31 = 0,"",Inicio!$M31)</f>
        <v/>
      </c>
      <c r="CC8" s="14">
        <f>IF(Inicio!$M32 = 0,"",Inicio!$M32)</f>
        <v/>
      </c>
      <c r="CD8" s="14">
        <f>IF(Inicio!$M33 = 0,"",Inicio!$M33)</f>
        <v/>
      </c>
      <c r="CE8" s="14">
        <f>IF(Inicio!$M24 = 0,"",Inicio!$M24)</f>
        <v/>
      </c>
      <c r="CF8" s="14">
        <f>IF(Inicio!$M25 = 0,"",Inicio!$M25)</f>
        <v/>
      </c>
      <c r="CG8" s="14">
        <f>IF(Inicio!$M26 = 0,"",Inicio!$M26)</f>
        <v/>
      </c>
      <c r="CH8" s="14">
        <f>IF(Inicio!$M27 = 0,"",Inicio!$M27)</f>
        <v/>
      </c>
      <c r="CI8" s="14">
        <f>IF(Inicio!$M28 = 0,"",Inicio!$M28)</f>
        <v/>
      </c>
      <c r="CJ8" s="14">
        <f>IF(Inicio!$M29 = 0,"",Inicio!$M29)</f>
        <v/>
      </c>
      <c r="CK8" s="14">
        <f>IF(Inicio!$M30 = 0,"",Inicio!$M30)</f>
        <v/>
      </c>
      <c r="CL8" s="14">
        <f>IF(Inicio!$M31 = 0,"",Inicio!$M31)</f>
        <v/>
      </c>
      <c r="CM8" s="14">
        <f>IF(Inicio!$M32 = 0,"",Inicio!$M32)</f>
        <v/>
      </c>
      <c r="CN8" s="14">
        <f>IF(Inicio!$M33 = 0,"",Inicio!$M33)</f>
        <v/>
      </c>
      <c r="CO8" s="14">
        <f>IF(Inicio!$M24 = 0,"",Inicio!$M24)</f>
        <v/>
      </c>
      <c r="CP8" s="14">
        <f>IF(Inicio!$M25 = 0,"",Inicio!$M25)</f>
        <v/>
      </c>
      <c r="CQ8" s="14">
        <f>IF(Inicio!$M26 = 0,"",Inicio!$M26)</f>
        <v/>
      </c>
      <c r="CR8" s="14">
        <f>IF(Inicio!$M27 = 0,"",Inicio!$M27)</f>
        <v/>
      </c>
      <c r="CS8" s="14">
        <f>IF(Inicio!$M28 = 0,"",Inicio!$M28)</f>
        <v/>
      </c>
      <c r="CT8" s="14">
        <f>IF(Inicio!$M29 = 0,"",Inicio!$M29)</f>
        <v/>
      </c>
      <c r="CU8" s="14">
        <f>IF(Inicio!$M30 = 0,"",Inicio!$M30)</f>
        <v/>
      </c>
      <c r="CV8" s="14">
        <f>IF(Inicio!$M31 = 0,"",Inicio!$M31)</f>
        <v/>
      </c>
      <c r="CW8" s="14">
        <f>IF(Inicio!$M32 = 0,"",Inicio!$M32)</f>
        <v/>
      </c>
      <c r="CX8" s="14">
        <f>IF(Inicio!$M33 = 0,"",Inicio!$M33)</f>
        <v/>
      </c>
      <c r="CY8" s="14">
        <f>IF(Inicio!$M24 = 0,"",Inicio!$M24)</f>
        <v/>
      </c>
      <c r="CZ8" s="14">
        <f>IF(Inicio!$M25 = 0,"",Inicio!$M25)</f>
        <v/>
      </c>
      <c r="DA8" s="14">
        <f>IF(Inicio!$M26 = 0,"",Inicio!$M26)</f>
        <v/>
      </c>
      <c r="DB8" s="14">
        <f>IF(Inicio!$M27 = 0,"",Inicio!$M27)</f>
        <v/>
      </c>
      <c r="DC8" s="14">
        <f>IF(Inicio!$M28 = 0,"",Inicio!$M28)</f>
        <v/>
      </c>
      <c r="DD8" s="14">
        <f>IF(Inicio!$M29 = 0,"",Inicio!$M29)</f>
        <v/>
      </c>
      <c r="DE8" s="14">
        <f>IF(Inicio!$M30 = 0,"",Inicio!$M30)</f>
        <v/>
      </c>
      <c r="DF8" s="14">
        <f>IF(Inicio!$M31 = 0,"",Inicio!$M31)</f>
        <v/>
      </c>
      <c r="DG8" s="14">
        <f>IF(Inicio!$M32 = 0,"",Inicio!$M32)</f>
        <v/>
      </c>
      <c r="DH8" s="14">
        <f>IF(Inicio!$M33 = 0,"",Inicio!$M33)</f>
        <v/>
      </c>
      <c r="DI8" s="14">
        <f>IF(Inicio!$M24 = 0,"",Inicio!$M24)</f>
        <v/>
      </c>
      <c r="DJ8" s="14">
        <f>IF(Inicio!$M25 = 0,"",Inicio!$M25)</f>
        <v/>
      </c>
      <c r="DK8" s="14">
        <f>IF(Inicio!$M26 = 0,"",Inicio!$M26)</f>
        <v/>
      </c>
      <c r="DL8" s="14">
        <f>IF(Inicio!$M27 = 0,"",Inicio!$M27)</f>
        <v/>
      </c>
      <c r="DM8" s="14">
        <f>IF(Inicio!$M28 = 0,"",Inicio!$M28)</f>
        <v/>
      </c>
      <c r="DN8" s="14">
        <f>IF(Inicio!$M29 = 0,"",Inicio!$M29)</f>
        <v/>
      </c>
      <c r="DO8" s="14">
        <f>IF(Inicio!$M30 = 0,"",Inicio!$M30)</f>
        <v/>
      </c>
      <c r="DP8" s="14">
        <f>IF(Inicio!$M31 = 0,"",Inicio!$M31)</f>
        <v/>
      </c>
      <c r="DQ8" s="14">
        <f>IF(Inicio!$M32 = 0,"",Inicio!$M32)</f>
        <v/>
      </c>
      <c r="DR8" s="14">
        <f>IF(Inicio!$M33 = 0,"",Inicio!$M33)</f>
        <v/>
      </c>
      <c r="DS8" s="52">
        <f>C7</f>
        <v/>
      </c>
      <c r="DT8" s="52">
        <f>M7</f>
        <v/>
      </c>
      <c r="DU8" s="52">
        <f>W7</f>
        <v/>
      </c>
      <c r="DV8" s="52">
        <f>AG7</f>
        <v/>
      </c>
      <c r="DW8" s="52">
        <f>AQ7</f>
        <v/>
      </c>
      <c r="DX8" s="52">
        <f>BA7</f>
        <v/>
      </c>
      <c r="DY8" s="52">
        <f>BK7</f>
        <v/>
      </c>
      <c r="DZ8" s="52">
        <f>BU7</f>
        <v/>
      </c>
      <c r="EA8" s="52">
        <f>CE7</f>
        <v/>
      </c>
      <c r="EB8" s="52">
        <f>CO7</f>
        <v/>
      </c>
      <c r="EC8" s="52">
        <f>CY7</f>
        <v/>
      </c>
      <c r="ED8" s="52">
        <f>DI7</f>
        <v/>
      </c>
      <c r="EE8" s="265" t="n"/>
      <c r="EF8" s="265" t="n"/>
      <c r="EG8" s="265" t="n"/>
      <c r="EH8" s="265" t="n"/>
    </row>
    <row r="9" ht="20.25" customHeight="1">
      <c r="B9" s="23" t="inlineStr">
        <is>
          <t>00:00 - 00:15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  <c r="CE9" s="20" t="n"/>
      <c r="CF9" s="20" t="n"/>
      <c r="CG9" s="20" t="n"/>
      <c r="CH9" s="20" t="n"/>
      <c r="CI9" s="20" t="n"/>
      <c r="CJ9" s="20" t="n"/>
      <c r="CK9" s="20" t="n"/>
      <c r="CL9" s="20" t="n"/>
      <c r="CM9" s="20" t="n"/>
      <c r="CN9" s="20" t="n"/>
      <c r="CO9" s="20" t="n"/>
      <c r="CP9" s="20" t="n"/>
      <c r="CQ9" s="20" t="n"/>
      <c r="CR9" s="20" t="n"/>
      <c r="CS9" s="20" t="n"/>
      <c r="CT9" s="20" t="n"/>
      <c r="CU9" s="20" t="n"/>
      <c r="CV9" s="20" t="n"/>
      <c r="CW9" s="20" t="n"/>
      <c r="CX9" s="20" t="n"/>
      <c r="CY9" s="20" t="n"/>
      <c r="CZ9" s="20" t="n"/>
      <c r="DA9" s="20" t="n"/>
      <c r="DB9" s="20" t="n"/>
      <c r="DC9" s="20" t="n"/>
      <c r="DD9" s="20" t="n"/>
      <c r="DE9" s="20" t="n"/>
      <c r="DF9" s="20" t="n"/>
      <c r="DG9" s="20" t="n"/>
      <c r="DH9" s="20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20" t="n"/>
      <c r="DS9" s="3">
        <f>SUM(C9:L9)*Inicio!$W$4</f>
        <v/>
      </c>
      <c r="DT9" s="3">
        <f>SUM(M9:V9)*Inicio!$W$5</f>
        <v/>
      </c>
      <c r="DU9" s="3">
        <f>SUM(W9:AF9)*Inicio!$W$6</f>
        <v/>
      </c>
      <c r="DV9" s="3">
        <f>SUM(AG9:AP9)*Inicio!$W$7</f>
        <v/>
      </c>
      <c r="DW9" s="3">
        <f>SUM(AQ9:AZ9)*Inicio!$W$8</f>
        <v/>
      </c>
      <c r="DX9" s="3">
        <f>SUM(BA9:BJ9)*Inicio!$W$9</f>
        <v/>
      </c>
      <c r="DY9" s="3">
        <f>SUM(BK9:BT9)*Inicio!$W$10</f>
        <v/>
      </c>
      <c r="DZ9" s="3">
        <f>SUM(BU9:CD9)*Inicio!$W$11</f>
        <v/>
      </c>
      <c r="EA9" s="3">
        <f>SUM(CE9:CN9)*Inicio!$W$12</f>
        <v/>
      </c>
      <c r="EB9" s="3">
        <f>SUM(CO9:CX9)*Inicio!$W$13</f>
        <v/>
      </c>
      <c r="EC9" s="3">
        <f>SUM(CY9:DH9)*Inicio!$W$11</f>
        <v/>
      </c>
      <c r="ED9" s="3">
        <f>SUM(DI9:DR9)*Inicio!$W$12</f>
        <v/>
      </c>
      <c r="EE9" s="3">
        <f>SUM(C9:DR9)</f>
        <v/>
      </c>
      <c r="EF9" s="3">
        <f>EE9</f>
        <v/>
      </c>
      <c r="EG9" s="3">
        <f>SUM(DS9:ED9)</f>
        <v/>
      </c>
      <c r="EH9" s="3">
        <f>EG9</f>
        <v/>
      </c>
    </row>
    <row r="10" ht="20.25" customHeight="1">
      <c r="B10" s="24" t="inlineStr">
        <is>
          <t>00:15 - 00:30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/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/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  <c r="CA10" s="21" t="n"/>
      <c r="CB10" s="21" t="n"/>
      <c r="CC10" s="21" t="n"/>
      <c r="CD10" s="21" t="n"/>
      <c r="CE10" s="21" t="n"/>
      <c r="CF10" s="21" t="n"/>
      <c r="CG10" s="21" t="n"/>
      <c r="CH10" s="21" t="n"/>
      <c r="CI10" s="21" t="n"/>
      <c r="CJ10" s="21" t="n"/>
      <c r="CK10" s="21" t="n"/>
      <c r="CL10" s="21" t="n"/>
      <c r="CM10" s="21" t="n"/>
      <c r="CN10" s="21" t="n"/>
      <c r="CO10" s="21" t="n"/>
      <c r="CP10" s="21" t="n"/>
      <c r="CQ10" s="21" t="n"/>
      <c r="CR10" s="21" t="n"/>
      <c r="CS10" s="21" t="n"/>
      <c r="CT10" s="21" t="n"/>
      <c r="CU10" s="21" t="n"/>
      <c r="CV10" s="21" t="n"/>
      <c r="CW10" s="21" t="n"/>
      <c r="CX10" s="21" t="n"/>
      <c r="CY10" s="21" t="n"/>
      <c r="CZ10" s="21" t="n"/>
      <c r="DA10" s="21" t="n"/>
      <c r="DB10" s="21" t="n"/>
      <c r="DC10" s="21" t="n"/>
      <c r="DD10" s="21" t="n"/>
      <c r="DE10" s="21" t="n"/>
      <c r="DF10" s="21" t="n"/>
      <c r="DG10" s="21" t="n"/>
      <c r="DH10" s="21" t="n"/>
      <c r="DI10" s="21" t="n"/>
      <c r="DJ10" s="21" t="n"/>
      <c r="DK10" s="21" t="n"/>
      <c r="DL10" s="21" t="n"/>
      <c r="DM10" s="21" t="n"/>
      <c r="DN10" s="21" t="n"/>
      <c r="DO10" s="21" t="n"/>
      <c r="DP10" s="21" t="n"/>
      <c r="DQ10" s="21" t="n"/>
      <c r="DR10" s="21" t="n"/>
      <c r="DS10" s="4">
        <f>SUM(C10:L10)*Inicio!$W$4</f>
        <v/>
      </c>
      <c r="DT10" s="4">
        <f>SUM(M10:V10)*Inicio!$W$5</f>
        <v/>
      </c>
      <c r="DU10" s="4">
        <f>SUM(W10:AF10)*Inicio!$W$6</f>
        <v/>
      </c>
      <c r="DV10" s="4">
        <f>SUM(AG10:AP10)*Inicio!$W$7</f>
        <v/>
      </c>
      <c r="DW10" s="4">
        <f>SUM(AQ10:AZ10)*Inicio!$W$8</f>
        <v/>
      </c>
      <c r="DX10" s="4">
        <f>SUM(BA10:BJ10)*Inicio!$W$9</f>
        <v/>
      </c>
      <c r="DY10" s="4">
        <f>SUM(BK10:BT10)*Inicio!$W$10</f>
        <v/>
      </c>
      <c r="DZ10" s="4">
        <f>SUM(BU10:CD10)*Inicio!$W$11</f>
        <v/>
      </c>
      <c r="EA10" s="4">
        <f>SUM(CE10:CN10)*Inicio!$W$12</f>
        <v/>
      </c>
      <c r="EB10" s="4">
        <f>SUM(CO10:CX10)*Inicio!$W$13</f>
        <v/>
      </c>
      <c r="EC10" s="4">
        <f>SUM(CY10:DH10)*Inicio!$W$11</f>
        <v/>
      </c>
      <c r="ED10" s="4">
        <f>SUM(DI10:DR10)*Inicio!$W$12</f>
        <v/>
      </c>
      <c r="EE10" s="4">
        <f>SUM(C10:DR10)</f>
        <v/>
      </c>
      <c r="EF10" s="4">
        <f>SUM(EE9:EE10)</f>
        <v/>
      </c>
      <c r="EG10" s="4">
        <f>SUM(DS10:ED10)</f>
        <v/>
      </c>
      <c r="EH10" s="4">
        <f>SUM(EG9:EG10)</f>
        <v/>
      </c>
    </row>
    <row r="11" ht="20.25" customHeight="1">
      <c r="B11" s="24" t="inlineStr">
        <is>
          <t>00:30 - 00:45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/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/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  <c r="CA11" s="21" t="n"/>
      <c r="CB11" s="21" t="n"/>
      <c r="CC11" s="21" t="n"/>
      <c r="CD11" s="21" t="n"/>
      <c r="CE11" s="21" t="n"/>
      <c r="CF11" s="21" t="n"/>
      <c r="CG11" s="21" t="n"/>
      <c r="CH11" s="21" t="n"/>
      <c r="CI11" s="21" t="n"/>
      <c r="CJ11" s="21" t="n"/>
      <c r="CK11" s="21" t="n"/>
      <c r="CL11" s="21" t="n"/>
      <c r="CM11" s="21" t="n"/>
      <c r="CN11" s="21" t="n"/>
      <c r="CO11" s="21" t="n"/>
      <c r="CP11" s="21" t="n"/>
      <c r="CQ11" s="21" t="n"/>
      <c r="CR11" s="21" t="n"/>
      <c r="CS11" s="21" t="n"/>
      <c r="CT11" s="21" t="n"/>
      <c r="CU11" s="21" t="n"/>
      <c r="CV11" s="21" t="n"/>
      <c r="CW11" s="21" t="n"/>
      <c r="CX11" s="21" t="n"/>
      <c r="CY11" s="21" t="n"/>
      <c r="CZ11" s="21" t="n"/>
      <c r="DA11" s="21" t="n"/>
      <c r="DB11" s="21" t="n"/>
      <c r="DC11" s="21" t="n"/>
      <c r="DD11" s="21" t="n"/>
      <c r="DE11" s="21" t="n"/>
      <c r="DF11" s="21" t="n"/>
      <c r="DG11" s="21" t="n"/>
      <c r="DH11" s="21" t="n"/>
      <c r="DI11" s="21" t="n"/>
      <c r="DJ11" s="21" t="n"/>
      <c r="DK11" s="21" t="n"/>
      <c r="DL11" s="21" t="n"/>
      <c r="DM11" s="21" t="n"/>
      <c r="DN11" s="21" t="n"/>
      <c r="DO11" s="21" t="n"/>
      <c r="DP11" s="21" t="n"/>
      <c r="DQ11" s="21" t="n"/>
      <c r="DR11" s="21" t="n"/>
      <c r="DS11" s="4">
        <f>SUM(C11:L11)*Inicio!$W$4</f>
        <v/>
      </c>
      <c r="DT11" s="4">
        <f>SUM(M11:V11)*Inicio!$W$5</f>
        <v/>
      </c>
      <c r="DU11" s="4">
        <f>SUM(W11:AF11)*Inicio!$W$6</f>
        <v/>
      </c>
      <c r="DV11" s="4">
        <f>SUM(AG11:AP11)*Inicio!$W$7</f>
        <v/>
      </c>
      <c r="DW11" s="4">
        <f>SUM(AQ11:AZ11)*Inicio!$W$8</f>
        <v/>
      </c>
      <c r="DX11" s="4">
        <f>SUM(BA11:BJ11)*Inicio!$W$9</f>
        <v/>
      </c>
      <c r="DY11" s="4">
        <f>SUM(BK11:BT11)*Inicio!$W$10</f>
        <v/>
      </c>
      <c r="DZ11" s="4">
        <f>SUM(BU11:CD11)*Inicio!$W$11</f>
        <v/>
      </c>
      <c r="EA11" s="4">
        <f>SUM(CE11:CN11)*Inicio!$W$12</f>
        <v/>
      </c>
      <c r="EB11" s="4">
        <f>SUM(CO11:CX11)*Inicio!$W$13</f>
        <v/>
      </c>
      <c r="EC11" s="4">
        <f>SUM(CY11:DH11)*Inicio!$W$11</f>
        <v/>
      </c>
      <c r="ED11" s="4">
        <f>SUM(DI11:DR11)*Inicio!$W$12</f>
        <v/>
      </c>
      <c r="EE11" s="4">
        <f>SUM(C11:DR11)</f>
        <v/>
      </c>
      <c r="EF11" s="4">
        <f>SUM(EE9:EE11)</f>
        <v/>
      </c>
      <c r="EG11" s="4">
        <f>SUM(DS11:ED11)</f>
        <v/>
      </c>
      <c r="EH11" s="4">
        <f>SUM(EG9:EG11)</f>
        <v/>
      </c>
    </row>
    <row r="12" ht="20.25" customHeight="1">
      <c r="B12" s="25" t="inlineStr">
        <is>
          <t>00:45 - 01:00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5">
        <f>SUM(C12:L12)*Inicio!$W$4</f>
        <v/>
      </c>
      <c r="DT12" s="5">
        <f>SUM(M12:V12)*Inicio!$W$5</f>
        <v/>
      </c>
      <c r="DU12" s="5">
        <f>SUM(W12:AF12)*Inicio!$W$6</f>
        <v/>
      </c>
      <c r="DV12" s="5">
        <f>SUM(AG12:AP12)*Inicio!$W$7</f>
        <v/>
      </c>
      <c r="DW12" s="5">
        <f>SUM(AQ12:AZ12)*Inicio!$W$8</f>
        <v/>
      </c>
      <c r="DX12" s="5">
        <f>SUM(BA12:BJ12)*Inicio!$W$9</f>
        <v/>
      </c>
      <c r="DY12" s="5">
        <f>SUM(BK12:BT12)*Inicio!$W$10</f>
        <v/>
      </c>
      <c r="DZ12" s="5">
        <f>SUM(BU12:CD12)*Inicio!$W$11</f>
        <v/>
      </c>
      <c r="EA12" s="5">
        <f>SUM(CE12:CN12)*Inicio!$W$12</f>
        <v/>
      </c>
      <c r="EB12" s="5">
        <f>SUM(CO12:CX12)*Inicio!$W$13</f>
        <v/>
      </c>
      <c r="EC12" s="85">
        <f>SUM(CY12:DH12)*Inicio!$W$11</f>
        <v/>
      </c>
      <c r="ED12" s="85">
        <f>SUM(DI12:DR12)*Inicio!$W$12</f>
        <v/>
      </c>
      <c r="EE12" s="4">
        <f>SUM(C12:DR12)</f>
        <v/>
      </c>
      <c r="EF12" s="5">
        <f>SUM(EE9:EE12)</f>
        <v/>
      </c>
      <c r="EG12" s="5">
        <f>SUM(DS12:ED12)</f>
        <v/>
      </c>
      <c r="EH12" s="5">
        <f>SUM(EG9:EG12)</f>
        <v/>
      </c>
    </row>
    <row r="13" ht="20.25" customHeight="1">
      <c r="B13" s="23" t="inlineStr">
        <is>
          <t>01:00 - 01:15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20" t="n"/>
      <c r="BZ13" s="20" t="n"/>
      <c r="CA13" s="20" t="n"/>
      <c r="CB13" s="20" t="n"/>
      <c r="CC13" s="20" t="n"/>
      <c r="CD13" s="20" t="n"/>
      <c r="CE13" s="20" t="n"/>
      <c r="CF13" s="20" t="n"/>
      <c r="CG13" s="20" t="n"/>
      <c r="CH13" s="20" t="n"/>
      <c r="CI13" s="20" t="n"/>
      <c r="CJ13" s="20" t="n"/>
      <c r="CK13" s="20" t="n"/>
      <c r="CL13" s="20" t="n"/>
      <c r="CM13" s="20" t="n"/>
      <c r="CN13" s="20" t="n"/>
      <c r="CO13" s="20" t="n"/>
      <c r="CP13" s="20" t="n"/>
      <c r="CQ13" s="20" t="n"/>
      <c r="CR13" s="20" t="n"/>
      <c r="CS13" s="20" t="n"/>
      <c r="CT13" s="20" t="n"/>
      <c r="CU13" s="20" t="n"/>
      <c r="CV13" s="20" t="n"/>
      <c r="CW13" s="20" t="n"/>
      <c r="CX13" s="20" t="n"/>
      <c r="CY13" s="20" t="n"/>
      <c r="CZ13" s="20" t="n"/>
      <c r="DA13" s="20" t="n"/>
      <c r="DB13" s="20" t="n"/>
      <c r="DC13" s="20" t="n"/>
      <c r="DD13" s="20" t="n"/>
      <c r="DE13" s="20" t="n"/>
      <c r="DF13" s="20" t="n"/>
      <c r="DG13" s="20" t="n"/>
      <c r="DH13" s="20" t="n"/>
      <c r="DI13" s="20" t="n"/>
      <c r="DJ13" s="20" t="n"/>
      <c r="DK13" s="20" t="n"/>
      <c r="DL13" s="20" t="n"/>
      <c r="DM13" s="20" t="n"/>
      <c r="DN13" s="20" t="n"/>
      <c r="DO13" s="20" t="n"/>
      <c r="DP13" s="20" t="n"/>
      <c r="DQ13" s="20" t="n"/>
      <c r="DR13" s="20" t="n"/>
      <c r="DS13" s="3">
        <f>SUM(C13:L13)*Inicio!$W$4</f>
        <v/>
      </c>
      <c r="DT13" s="3">
        <f>SUM(M13:V13)*Inicio!$W$5</f>
        <v/>
      </c>
      <c r="DU13" s="3">
        <f>SUM(W13:AF13)*Inicio!$W$6</f>
        <v/>
      </c>
      <c r="DV13" s="3">
        <f>SUM(AG13:AP13)*Inicio!$W$7</f>
        <v/>
      </c>
      <c r="DW13" s="3">
        <f>SUM(AQ13:AZ13)*Inicio!$W$8</f>
        <v/>
      </c>
      <c r="DX13" s="3">
        <f>SUM(BA13:BJ13)*Inicio!$W$9</f>
        <v/>
      </c>
      <c r="DY13" s="3">
        <f>SUM(BK13:BT13)*Inicio!$W$10</f>
        <v/>
      </c>
      <c r="DZ13" s="3">
        <f>SUM(BU13:CD13)*Inicio!$W$11</f>
        <v/>
      </c>
      <c r="EA13" s="3">
        <f>SUM(CE13:CN13)*Inicio!$W$12</f>
        <v/>
      </c>
      <c r="EB13" s="3">
        <f>SUM(CO13:CX13)*Inicio!$W$13</f>
        <v/>
      </c>
      <c r="EC13" s="3">
        <f>SUM(CY13:DH13)*Inicio!$W$11</f>
        <v/>
      </c>
      <c r="ED13" s="3">
        <f>SUM(DI13:DR13)*Inicio!$W$12</f>
        <v/>
      </c>
      <c r="EE13" s="3">
        <f>SUM(C13:DR13)</f>
        <v/>
      </c>
      <c r="EF13" s="3">
        <f>SUM(EE10:EE13)</f>
        <v/>
      </c>
      <c r="EG13" s="3">
        <f>SUM(DS13:ED13)</f>
        <v/>
      </c>
      <c r="EH13" s="3">
        <f>SUM(EG10:EG13)</f>
        <v/>
      </c>
    </row>
    <row r="14" ht="20.25" customHeight="1">
      <c r="B14" s="24" t="inlineStr">
        <is>
          <t>01:15 - 01:30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/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  <c r="CA14" s="21" t="n"/>
      <c r="CB14" s="21" t="n"/>
      <c r="CC14" s="21" t="n"/>
      <c r="CD14" s="21" t="n"/>
      <c r="CE14" s="21" t="n"/>
      <c r="CF14" s="21" t="n"/>
      <c r="CG14" s="21" t="n"/>
      <c r="CH14" s="21" t="n"/>
      <c r="CI14" s="21" t="n"/>
      <c r="CJ14" s="21" t="n"/>
      <c r="CK14" s="21" t="n"/>
      <c r="CL14" s="21" t="n"/>
      <c r="CM14" s="21" t="n"/>
      <c r="CN14" s="21" t="n"/>
      <c r="CO14" s="21" t="n"/>
      <c r="CP14" s="21" t="n"/>
      <c r="CQ14" s="21" t="n"/>
      <c r="CR14" s="21" t="n"/>
      <c r="CS14" s="21" t="n"/>
      <c r="CT14" s="21" t="n"/>
      <c r="CU14" s="21" t="n"/>
      <c r="CV14" s="21" t="n"/>
      <c r="CW14" s="21" t="n"/>
      <c r="CX14" s="21" t="n"/>
      <c r="CY14" s="21" t="n"/>
      <c r="CZ14" s="21" t="n"/>
      <c r="DA14" s="21" t="n"/>
      <c r="DB14" s="21" t="n"/>
      <c r="DC14" s="21" t="n"/>
      <c r="DD14" s="21" t="n"/>
      <c r="DE14" s="21" t="n"/>
      <c r="DF14" s="21" t="n"/>
      <c r="DG14" s="21" t="n"/>
      <c r="DH14" s="21" t="n"/>
      <c r="DI14" s="21" t="n"/>
      <c r="DJ14" s="21" t="n"/>
      <c r="DK14" s="21" t="n"/>
      <c r="DL14" s="21" t="n"/>
      <c r="DM14" s="21" t="n"/>
      <c r="DN14" s="21" t="n"/>
      <c r="DO14" s="21" t="n"/>
      <c r="DP14" s="21" t="n"/>
      <c r="DQ14" s="21" t="n"/>
      <c r="DR14" s="21" t="n"/>
      <c r="DS14" s="4">
        <f>SUM(C14:L14)*Inicio!$W$4</f>
        <v/>
      </c>
      <c r="DT14" s="4">
        <f>SUM(M14:V14)*Inicio!$W$5</f>
        <v/>
      </c>
      <c r="DU14" s="4">
        <f>SUM(W14:AF14)*Inicio!$W$6</f>
        <v/>
      </c>
      <c r="DV14" s="4">
        <f>SUM(AG14:AP14)*Inicio!$W$7</f>
        <v/>
      </c>
      <c r="DW14" s="4">
        <f>SUM(AQ14:AZ14)*Inicio!$W$8</f>
        <v/>
      </c>
      <c r="DX14" s="4">
        <f>SUM(BA14:BJ14)*Inicio!$W$9</f>
        <v/>
      </c>
      <c r="DY14" s="4">
        <f>SUM(BK14:BT14)*Inicio!$W$10</f>
        <v/>
      </c>
      <c r="DZ14" s="4">
        <f>SUM(BU14:CD14)*Inicio!$W$11</f>
        <v/>
      </c>
      <c r="EA14" s="4">
        <f>SUM(CE14:CN14)*Inicio!$W$12</f>
        <v/>
      </c>
      <c r="EB14" s="4">
        <f>SUM(CO14:CX14)*Inicio!$W$13</f>
        <v/>
      </c>
      <c r="EC14" s="4">
        <f>SUM(CY14:DH14)*Inicio!$W$11</f>
        <v/>
      </c>
      <c r="ED14" s="4">
        <f>SUM(DI14:DR14)*Inicio!$W$12</f>
        <v/>
      </c>
      <c r="EE14" s="4">
        <f>SUM(C14:DR14)</f>
        <v/>
      </c>
      <c r="EF14" s="4">
        <f>SUM(EE11:EE14)</f>
        <v/>
      </c>
      <c r="EG14" s="4">
        <f>SUM(DS14:ED14)</f>
        <v/>
      </c>
      <c r="EH14" s="4">
        <f>SUM(EG11:EG14)</f>
        <v/>
      </c>
    </row>
    <row r="15" ht="20.25" customHeight="1">
      <c r="B15" s="24" t="inlineStr">
        <is>
          <t>01:30 - 01:45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/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/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  <c r="CA15" s="21" t="n"/>
      <c r="CB15" s="21" t="n"/>
      <c r="CC15" s="21" t="n"/>
      <c r="CD15" s="21" t="n"/>
      <c r="CE15" s="21" t="n"/>
      <c r="CF15" s="21" t="n"/>
      <c r="CG15" s="21" t="n"/>
      <c r="CH15" s="21" t="n"/>
      <c r="CI15" s="21" t="n"/>
      <c r="CJ15" s="21" t="n"/>
      <c r="CK15" s="21" t="n"/>
      <c r="CL15" s="21" t="n"/>
      <c r="CM15" s="21" t="n"/>
      <c r="CN15" s="21" t="n"/>
      <c r="CO15" s="21" t="n"/>
      <c r="CP15" s="21" t="n"/>
      <c r="CQ15" s="21" t="n"/>
      <c r="CR15" s="21" t="n"/>
      <c r="CS15" s="21" t="n"/>
      <c r="CT15" s="21" t="n"/>
      <c r="CU15" s="21" t="n"/>
      <c r="CV15" s="21" t="n"/>
      <c r="CW15" s="21" t="n"/>
      <c r="CX15" s="21" t="n"/>
      <c r="CY15" s="21" t="n"/>
      <c r="CZ15" s="21" t="n"/>
      <c r="DA15" s="21" t="n"/>
      <c r="DB15" s="21" t="n"/>
      <c r="DC15" s="21" t="n"/>
      <c r="DD15" s="21" t="n"/>
      <c r="DE15" s="21" t="n"/>
      <c r="DF15" s="21" t="n"/>
      <c r="DG15" s="21" t="n"/>
      <c r="DH15" s="21" t="n"/>
      <c r="DI15" s="21" t="n"/>
      <c r="DJ15" s="21" t="n"/>
      <c r="DK15" s="21" t="n"/>
      <c r="DL15" s="21" t="n"/>
      <c r="DM15" s="21" t="n"/>
      <c r="DN15" s="21" t="n"/>
      <c r="DO15" s="21" t="n"/>
      <c r="DP15" s="21" t="n"/>
      <c r="DQ15" s="21" t="n"/>
      <c r="DR15" s="21" t="n"/>
      <c r="DS15" s="4">
        <f>SUM(C15:L15)*Inicio!$W$4</f>
        <v/>
      </c>
      <c r="DT15" s="4">
        <f>SUM(M15:V15)*Inicio!$W$5</f>
        <v/>
      </c>
      <c r="DU15" s="4">
        <f>SUM(W15:AF15)*Inicio!$W$6</f>
        <v/>
      </c>
      <c r="DV15" s="4">
        <f>SUM(AG15:AP15)*Inicio!$W$7</f>
        <v/>
      </c>
      <c r="DW15" s="4">
        <f>SUM(AQ15:AZ15)*Inicio!$W$8</f>
        <v/>
      </c>
      <c r="DX15" s="4">
        <f>SUM(BA15:BJ15)*Inicio!$W$9</f>
        <v/>
      </c>
      <c r="DY15" s="4">
        <f>SUM(BK15:BT15)*Inicio!$W$10</f>
        <v/>
      </c>
      <c r="DZ15" s="4">
        <f>SUM(BU15:CD15)*Inicio!$W$11</f>
        <v/>
      </c>
      <c r="EA15" s="4">
        <f>SUM(CE15:CN15)*Inicio!$W$12</f>
        <v/>
      </c>
      <c r="EB15" s="4">
        <f>SUM(CO15:CX15)*Inicio!$W$13</f>
        <v/>
      </c>
      <c r="EC15" s="4">
        <f>SUM(CY15:DH15)*Inicio!$W$11</f>
        <v/>
      </c>
      <c r="ED15" s="4">
        <f>SUM(DI15:DR15)*Inicio!$W$12</f>
        <v/>
      </c>
      <c r="EE15" s="4">
        <f>SUM(C15:DR15)</f>
        <v/>
      </c>
      <c r="EF15" s="4">
        <f>SUM(EE12:EE15)</f>
        <v/>
      </c>
      <c r="EG15" s="4">
        <f>SUM(DS15:ED15)</f>
        <v/>
      </c>
      <c r="EH15" s="4">
        <f>SUM(EG12:EG15)</f>
        <v/>
      </c>
    </row>
    <row r="16" ht="20.25" customHeight="1">
      <c r="B16" s="25" t="inlineStr">
        <is>
          <t>01:45 - 02:00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/>
      <c r="AV16" s="22" t="n"/>
      <c r="AW16" s="22" t="n"/>
      <c r="AX16" s="22" t="n"/>
      <c r="AY16" s="22" t="n"/>
      <c r="AZ16" s="22" t="n"/>
      <c r="BA16" s="22" t="n"/>
      <c r="BB16" s="22" t="n"/>
      <c r="BC16" s="22" t="n"/>
      <c r="BD16" s="22" t="n"/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/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5">
        <f>SUM(C16:L16)*Inicio!$W$4</f>
        <v/>
      </c>
      <c r="DT16" s="5">
        <f>SUM(M16:V16)*Inicio!$W$5</f>
        <v/>
      </c>
      <c r="DU16" s="5">
        <f>SUM(W16:AF16)*Inicio!$W$6</f>
        <v/>
      </c>
      <c r="DV16" s="5">
        <f>SUM(AG16:AP16)*Inicio!$W$7</f>
        <v/>
      </c>
      <c r="DW16" s="5">
        <f>SUM(AQ16:AZ16)*Inicio!$W$8</f>
        <v/>
      </c>
      <c r="DX16" s="5">
        <f>SUM(BA16:BJ16)*Inicio!$W$9</f>
        <v/>
      </c>
      <c r="DY16" s="5">
        <f>SUM(BK16:BT16)*Inicio!$W$10</f>
        <v/>
      </c>
      <c r="DZ16" s="5">
        <f>SUM(BU16:CD16)*Inicio!$W$11</f>
        <v/>
      </c>
      <c r="EA16" s="5">
        <f>SUM(CE16:CN16)*Inicio!$W$12</f>
        <v/>
      </c>
      <c r="EB16" s="5">
        <f>SUM(CO16:CX16)*Inicio!$W$13</f>
        <v/>
      </c>
      <c r="EC16" s="5">
        <f>SUM(CY16:DH16)*Inicio!$W$11</f>
        <v/>
      </c>
      <c r="ED16" s="5">
        <f>SUM(DI16:DR16)*Inicio!$W$12</f>
        <v/>
      </c>
      <c r="EE16" s="5">
        <f>SUM(C16:DR16)</f>
        <v/>
      </c>
      <c r="EF16" s="5">
        <f>SUM(EE13:EE16)</f>
        <v/>
      </c>
      <c r="EG16" s="5">
        <f>SUM(DS16:ED16)</f>
        <v/>
      </c>
      <c r="EH16" s="5">
        <f>SUM(EG13:EG16)</f>
        <v/>
      </c>
    </row>
    <row r="17" ht="20.25" customHeight="1">
      <c r="B17" s="23" t="inlineStr">
        <is>
          <t>02:00 - 02:15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20" t="n"/>
      <c r="BZ17" s="20" t="n"/>
      <c r="CA17" s="20" t="n"/>
      <c r="CB17" s="20" t="n"/>
      <c r="CC17" s="20" t="n"/>
      <c r="CD17" s="20" t="n"/>
      <c r="CE17" s="20" t="n"/>
      <c r="CF17" s="20" t="n"/>
      <c r="CG17" s="20" t="n"/>
      <c r="CH17" s="20" t="n"/>
      <c r="CI17" s="20" t="n"/>
      <c r="CJ17" s="20" t="n"/>
      <c r="CK17" s="20" t="n"/>
      <c r="CL17" s="20" t="n"/>
      <c r="CM17" s="20" t="n"/>
      <c r="CN17" s="20" t="n"/>
      <c r="CO17" s="20" t="n"/>
      <c r="CP17" s="20" t="n"/>
      <c r="CQ17" s="20" t="n"/>
      <c r="CR17" s="20" t="n"/>
      <c r="CS17" s="20" t="n"/>
      <c r="CT17" s="20" t="n"/>
      <c r="CU17" s="20" t="n"/>
      <c r="CV17" s="20" t="n"/>
      <c r="CW17" s="20" t="n"/>
      <c r="CX17" s="20" t="n"/>
      <c r="CY17" s="20" t="n"/>
      <c r="CZ17" s="20" t="n"/>
      <c r="DA17" s="20" t="n"/>
      <c r="DB17" s="20" t="n"/>
      <c r="DC17" s="20" t="n"/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20" t="n"/>
      <c r="DN17" s="20" t="n"/>
      <c r="DO17" s="20" t="n"/>
      <c r="DP17" s="20" t="n"/>
      <c r="DQ17" s="20" t="n"/>
      <c r="DR17" s="20" t="n"/>
      <c r="DS17" s="3">
        <f>SUM(C17:L17)*Inicio!$W$4</f>
        <v/>
      </c>
      <c r="DT17" s="3">
        <f>SUM(M17:V17)*Inicio!$W$5</f>
        <v/>
      </c>
      <c r="DU17" s="3">
        <f>SUM(W17:AF17)*Inicio!$W$6</f>
        <v/>
      </c>
      <c r="DV17" s="3">
        <f>SUM(AG17:AP17)*Inicio!$W$7</f>
        <v/>
      </c>
      <c r="DW17" s="3">
        <f>SUM(AQ17:AZ17)*Inicio!$W$8</f>
        <v/>
      </c>
      <c r="DX17" s="3">
        <f>SUM(BA17:BJ17)*Inicio!$W$9</f>
        <v/>
      </c>
      <c r="DY17" s="3">
        <f>SUM(BK17:BT17)*Inicio!$W$10</f>
        <v/>
      </c>
      <c r="DZ17" s="3">
        <f>SUM(BU17:CD17)*Inicio!$W$11</f>
        <v/>
      </c>
      <c r="EA17" s="3">
        <f>SUM(CE17:CN17)*Inicio!$W$12</f>
        <v/>
      </c>
      <c r="EB17" s="3">
        <f>SUM(CO17:CX17)*Inicio!$W$13</f>
        <v/>
      </c>
      <c r="EC17" s="3">
        <f>SUM(CY17:DH17)*Inicio!$W$11</f>
        <v/>
      </c>
      <c r="ED17" s="3">
        <f>SUM(DI17:DR17)*Inicio!$W$12</f>
        <v/>
      </c>
      <c r="EE17" s="3">
        <f>SUM(C17:DR17)</f>
        <v/>
      </c>
      <c r="EF17" s="3">
        <f>SUM(EE14:EE17)</f>
        <v/>
      </c>
      <c r="EG17" s="3">
        <f>SUM(DS17:ED17)</f>
        <v/>
      </c>
      <c r="EH17" s="3">
        <f>SUM(EG14:EG17)</f>
        <v/>
      </c>
    </row>
    <row r="18" ht="20.25" customHeight="1">
      <c r="B18" s="24" t="inlineStr">
        <is>
          <t>02:15 - 02:30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  <c r="CZ18" s="21" t="n"/>
      <c r="DA18" s="21" t="n"/>
      <c r="DB18" s="21" t="n"/>
      <c r="DC18" s="21" t="n"/>
      <c r="DD18" s="21" t="n"/>
      <c r="DE18" s="21" t="n"/>
      <c r="DF18" s="21" t="n"/>
      <c r="DG18" s="21" t="n"/>
      <c r="DH18" s="21" t="n"/>
      <c r="DI18" s="21" t="n"/>
      <c r="DJ18" s="21" t="n"/>
      <c r="DK18" s="21" t="n"/>
      <c r="DL18" s="21" t="n"/>
      <c r="DM18" s="21" t="n"/>
      <c r="DN18" s="21" t="n"/>
      <c r="DO18" s="21" t="n"/>
      <c r="DP18" s="21" t="n"/>
      <c r="DQ18" s="21" t="n"/>
      <c r="DR18" s="21" t="n"/>
      <c r="DS18" s="4">
        <f>SUM(C18:L18)*Inicio!$W$4</f>
        <v/>
      </c>
      <c r="DT18" s="4">
        <f>SUM(M18:V18)*Inicio!$W$5</f>
        <v/>
      </c>
      <c r="DU18" s="4">
        <f>SUM(W18:AF18)*Inicio!$W$6</f>
        <v/>
      </c>
      <c r="DV18" s="4">
        <f>SUM(AG18:AP18)*Inicio!$W$7</f>
        <v/>
      </c>
      <c r="DW18" s="4">
        <f>SUM(AQ18:AZ18)*Inicio!$W$8</f>
        <v/>
      </c>
      <c r="DX18" s="4">
        <f>SUM(BA18:BJ18)*Inicio!$W$9</f>
        <v/>
      </c>
      <c r="DY18" s="4">
        <f>SUM(BK18:BT18)*Inicio!$W$10</f>
        <v/>
      </c>
      <c r="DZ18" s="4">
        <f>SUM(BU18:CD18)*Inicio!$W$11</f>
        <v/>
      </c>
      <c r="EA18" s="4">
        <f>SUM(CE18:CN18)*Inicio!$W$12</f>
        <v/>
      </c>
      <c r="EB18" s="4">
        <f>SUM(CO18:CX18)*Inicio!$W$13</f>
        <v/>
      </c>
      <c r="EC18" s="4">
        <f>SUM(CY18:DH18)*Inicio!$W$11</f>
        <v/>
      </c>
      <c r="ED18" s="4">
        <f>SUM(DI18:DR18)*Inicio!$W$12</f>
        <v/>
      </c>
      <c r="EE18" s="4">
        <f>SUM(C18:DR18)</f>
        <v/>
      </c>
      <c r="EF18" s="4">
        <f>SUM(EE15:EE18)</f>
        <v/>
      </c>
      <c r="EG18" s="4">
        <f>SUM(DS18:ED18)</f>
        <v/>
      </c>
      <c r="EH18" s="4">
        <f>SUM(EG15:EG18)</f>
        <v/>
      </c>
    </row>
    <row r="19" ht="20.25" customHeight="1">
      <c r="B19" s="24" t="inlineStr">
        <is>
          <t>02:30 - 02:45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  <c r="CZ19" s="21" t="n"/>
      <c r="DA19" s="21" t="n"/>
      <c r="DB19" s="21" t="n"/>
      <c r="DC19" s="21" t="n"/>
      <c r="DD19" s="21" t="n"/>
      <c r="DE19" s="21" t="n"/>
      <c r="DF19" s="21" t="n"/>
      <c r="DG19" s="21" t="n"/>
      <c r="DH19" s="21" t="n"/>
      <c r="DI19" s="21" t="n"/>
      <c r="DJ19" s="21" t="n"/>
      <c r="DK19" s="21" t="n"/>
      <c r="DL19" s="21" t="n"/>
      <c r="DM19" s="21" t="n"/>
      <c r="DN19" s="21" t="n"/>
      <c r="DO19" s="21" t="n"/>
      <c r="DP19" s="21" t="n"/>
      <c r="DQ19" s="21" t="n"/>
      <c r="DR19" s="21" t="n"/>
      <c r="DS19" s="4">
        <f>SUM(C19:L19)*Inicio!$W$4</f>
        <v/>
      </c>
      <c r="DT19" s="4">
        <f>SUM(M19:V19)*Inicio!$W$5</f>
        <v/>
      </c>
      <c r="DU19" s="4">
        <f>SUM(W19:AF19)*Inicio!$W$6</f>
        <v/>
      </c>
      <c r="DV19" s="4">
        <f>SUM(AG19:AP19)*Inicio!$W$7</f>
        <v/>
      </c>
      <c r="DW19" s="4">
        <f>SUM(AQ19:AZ19)*Inicio!$W$8</f>
        <v/>
      </c>
      <c r="DX19" s="4">
        <f>SUM(BA19:BJ19)*Inicio!$W$9</f>
        <v/>
      </c>
      <c r="DY19" s="4">
        <f>SUM(BK19:BT19)*Inicio!$W$10</f>
        <v/>
      </c>
      <c r="DZ19" s="4">
        <f>SUM(BU19:CD19)*Inicio!$W$11</f>
        <v/>
      </c>
      <c r="EA19" s="4">
        <f>SUM(CE19:CN19)*Inicio!$W$12</f>
        <v/>
      </c>
      <c r="EB19" s="4">
        <f>SUM(CO19:CX19)*Inicio!$W$13</f>
        <v/>
      </c>
      <c r="EC19" s="4">
        <f>SUM(CY19:DH19)*Inicio!$W$11</f>
        <v/>
      </c>
      <c r="ED19" s="4">
        <f>SUM(DI19:DR19)*Inicio!$W$12</f>
        <v/>
      </c>
      <c r="EE19" s="4">
        <f>SUM(C19:DR19)</f>
        <v/>
      </c>
      <c r="EF19" s="4">
        <f>SUM(EE16:EE19)</f>
        <v/>
      </c>
      <c r="EG19" s="4">
        <f>SUM(DS19:ED19)</f>
        <v/>
      </c>
      <c r="EH19" s="4">
        <f>SUM(EG16:EG19)</f>
        <v/>
      </c>
    </row>
    <row r="20" ht="20.25" customHeight="1">
      <c r="B20" s="25" t="inlineStr">
        <is>
          <t>02:45 - 03:00</t>
        </is>
      </c>
      <c r="C20" s="22" t="n">
        <v>52</v>
      </c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>
        <v>2</v>
      </c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>
        <v>7</v>
      </c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>
        <v>35</v>
      </c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>
        <v>0</v>
      </c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>
        <v>0</v>
      </c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>
        <v>0</v>
      </c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>
        <v>0</v>
      </c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>
        <v>0</v>
      </c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>
        <v>0</v>
      </c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>
        <v>0</v>
      </c>
      <c r="CZ20" s="22" t="n"/>
      <c r="DA20" s="22" t="n"/>
      <c r="DB20" s="22" t="n"/>
      <c r="DC20" s="22" t="n"/>
      <c r="DD20" s="22" t="n"/>
      <c r="DE20" s="22" t="n"/>
      <c r="DF20" s="22" t="n"/>
      <c r="DG20" s="22" t="n"/>
      <c r="DH20" s="22" t="n"/>
      <c r="DI20" s="22" t="n">
        <v>0</v>
      </c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5">
        <f>SUM(C20:L20)*Inicio!$W$4</f>
        <v/>
      </c>
      <c r="DT20" s="5">
        <f>SUM(M20:V20)*Inicio!$W$5</f>
        <v/>
      </c>
      <c r="DU20" s="5">
        <f>SUM(W20:AF20)*Inicio!$W$6</f>
        <v/>
      </c>
      <c r="DV20" s="5">
        <f>SUM(AG20:AP20)*Inicio!$W$7</f>
        <v/>
      </c>
      <c r="DW20" s="5">
        <f>SUM(AQ20:AZ20)*Inicio!$W$8</f>
        <v/>
      </c>
      <c r="DX20" s="5">
        <f>SUM(BA20:BJ20)*Inicio!$W$9</f>
        <v/>
      </c>
      <c r="DY20" s="5">
        <f>SUM(BK20:BT20)*Inicio!$W$10</f>
        <v/>
      </c>
      <c r="DZ20" s="5">
        <f>SUM(BU20:CD20)*Inicio!$W$11</f>
        <v/>
      </c>
      <c r="EA20" s="5">
        <f>SUM(CE20:CN20)*Inicio!$W$12</f>
        <v/>
      </c>
      <c r="EB20" s="5">
        <f>SUM(CO20:CX20)*Inicio!$W$13</f>
        <v/>
      </c>
      <c r="EC20" s="5">
        <f>SUM(CY20:DH20)*Inicio!$W$11</f>
        <v/>
      </c>
      <c r="ED20" s="5">
        <f>SUM(DI20:DR20)*Inicio!$W$12</f>
        <v/>
      </c>
      <c r="EE20" s="5">
        <f>SUM(C20:DR20)</f>
        <v/>
      </c>
      <c r="EF20" s="5">
        <f>SUM(EE17:EE20)</f>
        <v/>
      </c>
      <c r="EG20" s="5">
        <f>SUM(DS20:ED20)</f>
        <v/>
      </c>
      <c r="EH20" s="5">
        <f>SUM(EG17:EG20)</f>
        <v/>
      </c>
    </row>
    <row r="21" ht="20.25" customHeight="1">
      <c r="B21" s="23" t="inlineStr">
        <is>
          <t>03:00 - 03:15</t>
        </is>
      </c>
      <c r="C21" s="20" t="n">
        <v>47</v>
      </c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>
        <v>1</v>
      </c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>
        <v>6</v>
      </c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>
        <v>31</v>
      </c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>
        <v>0</v>
      </c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>
        <v>0</v>
      </c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>
        <v>0</v>
      </c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>
        <v>0</v>
      </c>
      <c r="BV21" s="20" t="n"/>
      <c r="BW21" s="20" t="n"/>
      <c r="BX21" s="20" t="n"/>
      <c r="BY21" s="20" t="n"/>
      <c r="BZ21" s="20" t="n"/>
      <c r="CA21" s="20" t="n"/>
      <c r="CB21" s="20" t="n"/>
      <c r="CC21" s="20" t="n"/>
      <c r="CD21" s="20" t="n"/>
      <c r="CE21" s="20" t="n">
        <v>0</v>
      </c>
      <c r="CF21" s="20" t="n"/>
      <c r="CG21" s="20" t="n"/>
      <c r="CH21" s="20" t="n"/>
      <c r="CI21" s="20" t="n"/>
      <c r="CJ21" s="20" t="n"/>
      <c r="CK21" s="20" t="n"/>
      <c r="CL21" s="20" t="n"/>
      <c r="CM21" s="20" t="n"/>
      <c r="CN21" s="20" t="n"/>
      <c r="CO21" s="20" t="n">
        <v>0</v>
      </c>
      <c r="CP21" s="20" t="n"/>
      <c r="CQ21" s="20" t="n"/>
      <c r="CR21" s="20" t="n"/>
      <c r="CS21" s="20" t="n"/>
      <c r="CT21" s="20" t="n"/>
      <c r="CU21" s="20" t="n"/>
      <c r="CV21" s="20" t="n"/>
      <c r="CW21" s="20" t="n"/>
      <c r="CX21" s="20" t="n"/>
      <c r="CY21" s="20" t="n">
        <v>0</v>
      </c>
      <c r="CZ21" s="20" t="n"/>
      <c r="DA21" s="20" t="n"/>
      <c r="DB21" s="20" t="n"/>
      <c r="DC21" s="20" t="n"/>
      <c r="DD21" s="20" t="n"/>
      <c r="DE21" s="20" t="n"/>
      <c r="DF21" s="20" t="n"/>
      <c r="DG21" s="20" t="n"/>
      <c r="DH21" s="20" t="n"/>
      <c r="DI21" s="20" t="n">
        <v>0</v>
      </c>
      <c r="DJ21" s="20" t="n"/>
      <c r="DK21" s="20" t="n"/>
      <c r="DL21" s="20" t="n"/>
      <c r="DM21" s="20" t="n"/>
      <c r="DN21" s="20" t="n"/>
      <c r="DO21" s="20" t="n"/>
      <c r="DP21" s="20" t="n"/>
      <c r="DQ21" s="20" t="n"/>
      <c r="DR21" s="20" t="n"/>
      <c r="DS21" s="3">
        <f>SUM(C21:L21)*Inicio!$W$4</f>
        <v/>
      </c>
      <c r="DT21" s="3">
        <f>SUM(M21:V21)*Inicio!$W$5</f>
        <v/>
      </c>
      <c r="DU21" s="3">
        <f>SUM(W21:AF21)*Inicio!$W$6</f>
        <v/>
      </c>
      <c r="DV21" s="3">
        <f>SUM(AG21:AP21)*Inicio!$W$7</f>
        <v/>
      </c>
      <c r="DW21" s="3">
        <f>SUM(AQ21:AZ21)*Inicio!$W$8</f>
        <v/>
      </c>
      <c r="DX21" s="3">
        <f>SUM(BA21:BJ21)*Inicio!$W$9</f>
        <v/>
      </c>
      <c r="DY21" s="3">
        <f>SUM(BK21:BT21)*Inicio!$W$10</f>
        <v/>
      </c>
      <c r="DZ21" s="3">
        <f>SUM(BU21:CD21)*Inicio!$W$11</f>
        <v/>
      </c>
      <c r="EA21" s="3">
        <f>SUM(CE21:CN21)*Inicio!$W$12</f>
        <v/>
      </c>
      <c r="EB21" s="3">
        <f>SUM(CO21:CX21)*Inicio!$W$13</f>
        <v/>
      </c>
      <c r="EC21" s="3">
        <f>SUM(CY21:DH21)*Inicio!$W$11</f>
        <v/>
      </c>
      <c r="ED21" s="3">
        <f>SUM(DI21:DR21)*Inicio!$W$12</f>
        <v/>
      </c>
      <c r="EE21" s="3">
        <f>SUM(C21:DR21)</f>
        <v/>
      </c>
      <c r="EF21" s="3">
        <f>SUM(EE18:EE21)</f>
        <v/>
      </c>
      <c r="EG21" s="3">
        <f>SUM(DS21:ED21)</f>
        <v/>
      </c>
      <c r="EH21" s="3">
        <f>SUM(EG18:EG21)</f>
        <v/>
      </c>
    </row>
    <row r="22" ht="20.25" customHeight="1">
      <c r="B22" s="24" t="inlineStr">
        <is>
          <t>03:15 - 03:30</t>
        </is>
      </c>
      <c r="C22" s="21" t="n">
        <v>43</v>
      </c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>
        <v>0</v>
      </c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>
        <v>1</v>
      </c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>
        <v>26</v>
      </c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>
        <v>0</v>
      </c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0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>
        <v>0</v>
      </c>
      <c r="BV22" s="21" t="n"/>
      <c r="BW22" s="21" t="n"/>
      <c r="BX22" s="21" t="n"/>
      <c r="BY22" s="21" t="n"/>
      <c r="BZ22" s="21" t="n"/>
      <c r="CA22" s="21" t="n"/>
      <c r="CB22" s="21" t="n"/>
      <c r="CC22" s="21" t="n"/>
      <c r="CD22" s="21" t="n"/>
      <c r="CE22" s="21" t="n">
        <v>0</v>
      </c>
      <c r="CF22" s="21" t="n"/>
      <c r="CG22" s="21" t="n"/>
      <c r="CH22" s="21" t="n"/>
      <c r="CI22" s="21" t="n"/>
      <c r="CJ22" s="21" t="n"/>
      <c r="CK22" s="21" t="n"/>
      <c r="CL22" s="21" t="n"/>
      <c r="CM22" s="21" t="n"/>
      <c r="CN22" s="21" t="n"/>
      <c r="CO22" s="21" t="n">
        <v>0</v>
      </c>
      <c r="CP22" s="21" t="n"/>
      <c r="CQ22" s="21" t="n"/>
      <c r="CR22" s="21" t="n"/>
      <c r="CS22" s="21" t="n"/>
      <c r="CT22" s="21" t="n"/>
      <c r="CU22" s="21" t="n"/>
      <c r="CV22" s="21" t="n"/>
      <c r="CW22" s="21" t="n"/>
      <c r="CX22" s="21" t="n"/>
      <c r="CY22" s="21" t="n">
        <v>0</v>
      </c>
      <c r="CZ22" s="21" t="n"/>
      <c r="DA22" s="21" t="n"/>
      <c r="DB22" s="21" t="n"/>
      <c r="DC22" s="21" t="n"/>
      <c r="DD22" s="21" t="n"/>
      <c r="DE22" s="21" t="n"/>
      <c r="DF22" s="21" t="n"/>
      <c r="DG22" s="21" t="n"/>
      <c r="DH22" s="21" t="n"/>
      <c r="DI22" s="21" t="n">
        <v>0</v>
      </c>
      <c r="DJ22" s="21" t="n"/>
      <c r="DK22" s="21" t="n"/>
      <c r="DL22" s="21" t="n"/>
      <c r="DM22" s="21" t="n"/>
      <c r="DN22" s="21" t="n"/>
      <c r="DO22" s="21" t="n"/>
      <c r="DP22" s="21" t="n"/>
      <c r="DQ22" s="21" t="n"/>
      <c r="DR22" s="21" t="n"/>
      <c r="DS22" s="4">
        <f>SUM(C22:L22)*Inicio!$W$4</f>
        <v/>
      </c>
      <c r="DT22" s="4">
        <f>SUM(M22:V22)*Inicio!$W$5</f>
        <v/>
      </c>
      <c r="DU22" s="4">
        <f>SUM(W22:AF22)*Inicio!$W$6</f>
        <v/>
      </c>
      <c r="DV22" s="4">
        <f>SUM(AG22:AP22)*Inicio!$W$7</f>
        <v/>
      </c>
      <c r="DW22" s="4">
        <f>SUM(AQ22:AZ22)*Inicio!$W$8</f>
        <v/>
      </c>
      <c r="DX22" s="4">
        <f>SUM(BA22:BJ22)*Inicio!$W$9</f>
        <v/>
      </c>
      <c r="DY22" s="4">
        <f>SUM(BK22:BT22)*Inicio!$W$10</f>
        <v/>
      </c>
      <c r="DZ22" s="4">
        <f>SUM(BU22:CD22)*Inicio!$W$11</f>
        <v/>
      </c>
      <c r="EA22" s="4">
        <f>SUM(CE22:CN22)*Inicio!$W$12</f>
        <v/>
      </c>
      <c r="EB22" s="4">
        <f>SUM(CO22:CX22)*Inicio!$W$13</f>
        <v/>
      </c>
      <c r="EC22" s="4">
        <f>SUM(CY22:DH22)*Inicio!$W$11</f>
        <v/>
      </c>
      <c r="ED22" s="4">
        <f>SUM(DI22:DR22)*Inicio!$W$12</f>
        <v/>
      </c>
      <c r="EE22" s="4">
        <f>SUM(C22:DR22)</f>
        <v/>
      </c>
      <c r="EF22" s="4">
        <f>SUM(EE19:EE22)</f>
        <v/>
      </c>
      <c r="EG22" s="4">
        <f>SUM(DS22:ED22)</f>
        <v/>
      </c>
      <c r="EH22" s="4">
        <f>SUM(EG19:EG22)</f>
        <v/>
      </c>
    </row>
    <row r="23" ht="20.25" customHeight="1">
      <c r="B23" s="24" t="inlineStr">
        <is>
          <t>03:30 - 03:45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  <c r="CA23" s="21" t="n"/>
      <c r="CB23" s="21" t="n"/>
      <c r="CC23" s="21" t="n"/>
      <c r="CD23" s="21" t="n"/>
      <c r="CE23" s="21" t="n"/>
      <c r="CF23" s="21" t="n"/>
      <c r="CG23" s="21" t="n"/>
      <c r="CH23" s="21" t="n"/>
      <c r="CI23" s="21" t="n"/>
      <c r="CJ23" s="21" t="n"/>
      <c r="CK23" s="21" t="n"/>
      <c r="CL23" s="21" t="n"/>
      <c r="CM23" s="21" t="n"/>
      <c r="CN23" s="21" t="n"/>
      <c r="CO23" s="21" t="n"/>
      <c r="CP23" s="21" t="n"/>
      <c r="CQ23" s="21" t="n"/>
      <c r="CR23" s="21" t="n"/>
      <c r="CS23" s="21" t="n"/>
      <c r="CT23" s="21" t="n"/>
      <c r="CU23" s="21" t="n"/>
      <c r="CV23" s="21" t="n"/>
      <c r="CW23" s="21" t="n"/>
      <c r="CX23" s="21" t="n"/>
      <c r="CY23" s="21" t="n"/>
      <c r="CZ23" s="21" t="n"/>
      <c r="DA23" s="21" t="n"/>
      <c r="DB23" s="21" t="n"/>
      <c r="DC23" s="21" t="n"/>
      <c r="DD23" s="21" t="n"/>
      <c r="DE23" s="21" t="n"/>
      <c r="DF23" s="21" t="n"/>
      <c r="DG23" s="21" t="n"/>
      <c r="DH23" s="21" t="n"/>
      <c r="DI23" s="21" t="n"/>
      <c r="DJ23" s="21" t="n"/>
      <c r="DK23" s="21" t="n"/>
      <c r="DL23" s="21" t="n"/>
      <c r="DM23" s="21" t="n"/>
      <c r="DN23" s="21" t="n"/>
      <c r="DO23" s="21" t="n"/>
      <c r="DP23" s="21" t="n"/>
      <c r="DQ23" s="21" t="n"/>
      <c r="DR23" s="21" t="n"/>
      <c r="DS23" s="4">
        <f>SUM(C23:L23)*Inicio!$W$4</f>
        <v/>
      </c>
      <c r="DT23" s="4">
        <f>SUM(M23:V23)*Inicio!$W$5</f>
        <v/>
      </c>
      <c r="DU23" s="4">
        <f>SUM(W23:AF23)*Inicio!$W$6</f>
        <v/>
      </c>
      <c r="DV23" s="4">
        <f>SUM(AG23:AP23)*Inicio!$W$7</f>
        <v/>
      </c>
      <c r="DW23" s="4">
        <f>SUM(AQ23:AZ23)*Inicio!$W$8</f>
        <v/>
      </c>
      <c r="DX23" s="4">
        <f>SUM(BA23:BJ23)*Inicio!$W$9</f>
        <v/>
      </c>
      <c r="DY23" s="4">
        <f>SUM(BK23:BT23)*Inicio!$W$10</f>
        <v/>
      </c>
      <c r="DZ23" s="4">
        <f>SUM(BU23:CD23)*Inicio!$W$11</f>
        <v/>
      </c>
      <c r="EA23" s="4">
        <f>SUM(CE23:CN23)*Inicio!$W$12</f>
        <v/>
      </c>
      <c r="EB23" s="4">
        <f>SUM(CO23:CX23)*Inicio!$W$13</f>
        <v/>
      </c>
      <c r="EC23" s="4">
        <f>SUM(CY23:DH23)*Inicio!$W$11</f>
        <v/>
      </c>
      <c r="ED23" s="4">
        <f>SUM(DI23:DR23)*Inicio!$W$12</f>
        <v/>
      </c>
      <c r="EE23" s="4">
        <f>SUM(C23:DR23)</f>
        <v/>
      </c>
      <c r="EF23" s="4">
        <f>SUM(EE20:EE23)</f>
        <v/>
      </c>
      <c r="EG23" s="4">
        <f>SUM(DS23:ED23)</f>
        <v/>
      </c>
      <c r="EH23" s="4">
        <f>SUM(EG20:EG23)</f>
        <v/>
      </c>
    </row>
    <row r="24" ht="20.25" customHeight="1">
      <c r="B24" s="25" t="inlineStr">
        <is>
          <t>03:45 - 04:00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/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5">
        <f>SUM(C24:L24)*Inicio!$W$4</f>
        <v/>
      </c>
      <c r="DT24" s="5">
        <f>SUM(M24:V24)*Inicio!$W$5</f>
        <v/>
      </c>
      <c r="DU24" s="5">
        <f>SUM(W24:AF24)*Inicio!$W$6</f>
        <v/>
      </c>
      <c r="DV24" s="5">
        <f>SUM(AG24:AP24)*Inicio!$W$7</f>
        <v/>
      </c>
      <c r="DW24" s="5">
        <f>SUM(AQ24:AZ24)*Inicio!$W$8</f>
        <v/>
      </c>
      <c r="DX24" s="5">
        <f>SUM(BA24:BJ24)*Inicio!$W$9</f>
        <v/>
      </c>
      <c r="DY24" s="5">
        <f>SUM(BK24:BT24)*Inicio!$W$10</f>
        <v/>
      </c>
      <c r="DZ24" s="5">
        <f>SUM(BU24:CD24)*Inicio!$W$11</f>
        <v/>
      </c>
      <c r="EA24" s="5">
        <f>SUM(CE24:CN24)*Inicio!$W$12</f>
        <v/>
      </c>
      <c r="EB24" s="5">
        <f>SUM(CO24:CX24)*Inicio!$W$13</f>
        <v/>
      </c>
      <c r="EC24" s="5">
        <f>SUM(CY24:DH24)*Inicio!$W$11</f>
        <v/>
      </c>
      <c r="ED24" s="5">
        <f>SUM(DI24:DR24)*Inicio!$W$12</f>
        <v/>
      </c>
      <c r="EE24" s="5">
        <f>SUM(C24:DR24)</f>
        <v/>
      </c>
      <c r="EF24" s="5">
        <f>SUM(EE21:EE24)</f>
        <v/>
      </c>
      <c r="EG24" s="5">
        <f>SUM(DS24:ED24)</f>
        <v/>
      </c>
      <c r="EH24" s="5">
        <f>SUM(EG21:EG24)</f>
        <v/>
      </c>
    </row>
    <row r="25" ht="20.25" customHeight="1">
      <c r="B25" s="23" t="inlineStr">
        <is>
          <t>04:00 - 04:15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20" t="n"/>
      <c r="BZ25" s="20" t="n"/>
      <c r="CA25" s="20" t="n"/>
      <c r="CB25" s="20" t="n"/>
      <c r="CC25" s="20" t="n"/>
      <c r="CD25" s="20" t="n"/>
      <c r="CE25" s="20" t="n"/>
      <c r="CF25" s="20" t="n"/>
      <c r="CG25" s="20" t="n"/>
      <c r="CH25" s="20" t="n"/>
      <c r="CI25" s="20" t="n"/>
      <c r="CJ25" s="20" t="n"/>
      <c r="CK25" s="20" t="n"/>
      <c r="CL25" s="20" t="n"/>
      <c r="CM25" s="20" t="n"/>
      <c r="CN25" s="20" t="n"/>
      <c r="CO25" s="20" t="n"/>
      <c r="CP25" s="20" t="n"/>
      <c r="CQ25" s="20" t="n"/>
      <c r="CR25" s="20" t="n"/>
      <c r="CS25" s="20" t="n"/>
      <c r="CT25" s="20" t="n"/>
      <c r="CU25" s="20" t="n"/>
      <c r="CV25" s="20" t="n"/>
      <c r="CW25" s="20" t="n"/>
      <c r="CX25" s="20" t="n"/>
      <c r="CY25" s="20" t="n"/>
      <c r="CZ25" s="20" t="n"/>
      <c r="DA25" s="20" t="n"/>
      <c r="DB25" s="20" t="n"/>
      <c r="DC25" s="20" t="n"/>
      <c r="DD25" s="20" t="n"/>
      <c r="DE25" s="20" t="n"/>
      <c r="DF25" s="20" t="n"/>
      <c r="DG25" s="20" t="n"/>
      <c r="DH25" s="20" t="n"/>
      <c r="DI25" s="20" t="n"/>
      <c r="DJ25" s="20" t="n"/>
      <c r="DK25" s="20" t="n"/>
      <c r="DL25" s="20" t="n"/>
      <c r="DM25" s="20" t="n"/>
      <c r="DN25" s="20" t="n"/>
      <c r="DO25" s="20" t="n"/>
      <c r="DP25" s="20" t="n"/>
      <c r="DQ25" s="20" t="n"/>
      <c r="DR25" s="20" t="n"/>
      <c r="DS25" s="3">
        <f>SUM(C25:L25)*Inicio!$W$4</f>
        <v/>
      </c>
      <c r="DT25" s="3">
        <f>SUM(M25:V25)*Inicio!$W$5</f>
        <v/>
      </c>
      <c r="DU25" s="3">
        <f>SUM(W25:AF25)*Inicio!$W$6</f>
        <v/>
      </c>
      <c r="DV25" s="3">
        <f>SUM(AG25:AP25)*Inicio!$W$7</f>
        <v/>
      </c>
      <c r="DW25" s="3">
        <f>SUM(AQ25:AZ25)*Inicio!$W$8</f>
        <v/>
      </c>
      <c r="DX25" s="3">
        <f>SUM(BA25:BJ25)*Inicio!$W$9</f>
        <v/>
      </c>
      <c r="DY25" s="3">
        <f>SUM(BK25:BT25)*Inicio!$W$10</f>
        <v/>
      </c>
      <c r="DZ25" s="3">
        <f>SUM(BU25:CD25)*Inicio!$W$11</f>
        <v/>
      </c>
      <c r="EA25" s="3">
        <f>SUM(CE25:CN25)*Inicio!$W$12</f>
        <v/>
      </c>
      <c r="EB25" s="3">
        <f>SUM(CO25:CX25)*Inicio!$W$13</f>
        <v/>
      </c>
      <c r="EC25" s="3">
        <f>SUM(CY25:DH25)*Inicio!$W$11</f>
        <v/>
      </c>
      <c r="ED25" s="3">
        <f>SUM(DI25:DR25)*Inicio!$W$12</f>
        <v/>
      </c>
      <c r="EE25" s="3">
        <f>SUM(C25:DR25)</f>
        <v/>
      </c>
      <c r="EF25" s="3">
        <f>SUM(EE22:EE25)</f>
        <v/>
      </c>
      <c r="EG25" s="3">
        <f>SUM(DS25:ED25)</f>
        <v/>
      </c>
      <c r="EH25" s="3">
        <f>SUM(EG22:EG25)</f>
        <v/>
      </c>
    </row>
    <row r="26" ht="20.25" customHeight="1">
      <c r="B26" s="24" t="inlineStr">
        <is>
          <t>04:15 - 04:30</t>
        </is>
      </c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  <c r="CA26" s="21" t="n"/>
      <c r="CB26" s="21" t="n"/>
      <c r="CC26" s="21" t="n"/>
      <c r="CD26" s="21" t="n"/>
      <c r="CE26" s="21" t="n"/>
      <c r="CF26" s="21" t="n"/>
      <c r="CG26" s="21" t="n"/>
      <c r="CH26" s="21" t="n"/>
      <c r="CI26" s="21" t="n"/>
      <c r="CJ26" s="21" t="n"/>
      <c r="CK26" s="21" t="n"/>
      <c r="CL26" s="21" t="n"/>
      <c r="CM26" s="21" t="n"/>
      <c r="CN26" s="21" t="n"/>
      <c r="CO26" s="21" t="n"/>
      <c r="CP26" s="21" t="n"/>
      <c r="CQ26" s="21" t="n"/>
      <c r="CR26" s="21" t="n"/>
      <c r="CS26" s="21" t="n"/>
      <c r="CT26" s="21" t="n"/>
      <c r="CU26" s="21" t="n"/>
      <c r="CV26" s="21" t="n"/>
      <c r="CW26" s="21" t="n"/>
      <c r="CX26" s="21" t="n"/>
      <c r="CY26" s="21" t="n"/>
      <c r="CZ26" s="21" t="n"/>
      <c r="DA26" s="21" t="n"/>
      <c r="DB26" s="21" t="n"/>
      <c r="DC26" s="21" t="n"/>
      <c r="DD26" s="21" t="n"/>
      <c r="DE26" s="21" t="n"/>
      <c r="DF26" s="21" t="n"/>
      <c r="DG26" s="21" t="n"/>
      <c r="DH26" s="21" t="n"/>
      <c r="DI26" s="21" t="n"/>
      <c r="DJ26" s="21" t="n"/>
      <c r="DK26" s="21" t="n"/>
      <c r="DL26" s="21" t="n"/>
      <c r="DM26" s="21" t="n"/>
      <c r="DN26" s="21" t="n"/>
      <c r="DO26" s="21" t="n"/>
      <c r="DP26" s="21" t="n"/>
      <c r="DQ26" s="21" t="n"/>
      <c r="DR26" s="21" t="n"/>
      <c r="DS26" s="4">
        <f>SUM(C26:L26)*Inicio!$W$4</f>
        <v/>
      </c>
      <c r="DT26" s="4">
        <f>SUM(M26:V26)*Inicio!$W$5</f>
        <v/>
      </c>
      <c r="DU26" s="4">
        <f>SUM(W26:AF26)*Inicio!$W$6</f>
        <v/>
      </c>
      <c r="DV26" s="4">
        <f>SUM(AG26:AP26)*Inicio!$W$7</f>
        <v/>
      </c>
      <c r="DW26" s="4">
        <f>SUM(AQ26:AZ26)*Inicio!$W$8</f>
        <v/>
      </c>
      <c r="DX26" s="4">
        <f>SUM(BA26:BJ26)*Inicio!$W$9</f>
        <v/>
      </c>
      <c r="DY26" s="4">
        <f>SUM(BK26:BT26)*Inicio!$W$10</f>
        <v/>
      </c>
      <c r="DZ26" s="4">
        <f>SUM(BU26:CD26)*Inicio!$W$11</f>
        <v/>
      </c>
      <c r="EA26" s="4">
        <f>SUM(CE26:CN26)*Inicio!$W$12</f>
        <v/>
      </c>
      <c r="EB26" s="4">
        <f>SUM(CO26:CX26)*Inicio!$W$13</f>
        <v/>
      </c>
      <c r="EC26" s="4">
        <f>SUM(CY26:DH26)*Inicio!$W$11</f>
        <v/>
      </c>
      <c r="ED26" s="4">
        <f>SUM(DI26:DR26)*Inicio!$W$12</f>
        <v/>
      </c>
      <c r="EE26" s="4">
        <f>SUM(C26:DR26)</f>
        <v/>
      </c>
      <c r="EF26" s="4">
        <f>SUM(EE23:EE26)</f>
        <v/>
      </c>
      <c r="EG26" s="4">
        <f>SUM(DS26:ED26)</f>
        <v/>
      </c>
      <c r="EH26" s="4">
        <f>SUM(EG23:EG26)</f>
        <v/>
      </c>
    </row>
    <row r="27" ht="20.25" customHeight="1">
      <c r="B27" s="24" t="inlineStr">
        <is>
          <t>04:30 - 04:45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  <c r="CA27" s="21" t="n"/>
      <c r="CB27" s="21" t="n"/>
      <c r="CC27" s="21" t="n"/>
      <c r="CD27" s="21" t="n"/>
      <c r="CE27" s="21" t="n"/>
      <c r="CF27" s="21" t="n"/>
      <c r="CG27" s="21" t="n"/>
      <c r="CH27" s="21" t="n"/>
      <c r="CI27" s="21" t="n"/>
      <c r="CJ27" s="21" t="n"/>
      <c r="CK27" s="21" t="n"/>
      <c r="CL27" s="21" t="n"/>
      <c r="CM27" s="21" t="n"/>
      <c r="CN27" s="21" t="n"/>
      <c r="CO27" s="21" t="n"/>
      <c r="CP27" s="21" t="n"/>
      <c r="CQ27" s="21" t="n"/>
      <c r="CR27" s="21" t="n"/>
      <c r="CS27" s="21" t="n"/>
      <c r="CT27" s="21" t="n"/>
      <c r="CU27" s="21" t="n"/>
      <c r="CV27" s="21" t="n"/>
      <c r="CW27" s="21" t="n"/>
      <c r="CX27" s="21" t="n"/>
      <c r="CY27" s="21" t="n"/>
      <c r="CZ27" s="21" t="n"/>
      <c r="DA27" s="21" t="n"/>
      <c r="DB27" s="21" t="n"/>
      <c r="DC27" s="21" t="n"/>
      <c r="DD27" s="21" t="n"/>
      <c r="DE27" s="21" t="n"/>
      <c r="DF27" s="21" t="n"/>
      <c r="DG27" s="21" t="n"/>
      <c r="DH27" s="21" t="n"/>
      <c r="DI27" s="21" t="n"/>
      <c r="DJ27" s="21" t="n"/>
      <c r="DK27" s="21" t="n"/>
      <c r="DL27" s="21" t="n"/>
      <c r="DM27" s="21" t="n"/>
      <c r="DN27" s="21" t="n"/>
      <c r="DO27" s="21" t="n"/>
      <c r="DP27" s="21" t="n"/>
      <c r="DQ27" s="21" t="n"/>
      <c r="DR27" s="21" t="n"/>
      <c r="DS27" s="4">
        <f>SUM(C27:L27)*Inicio!$W$4</f>
        <v/>
      </c>
      <c r="DT27" s="4">
        <f>SUM(M27:V27)*Inicio!$W$5</f>
        <v/>
      </c>
      <c r="DU27" s="4">
        <f>SUM(W27:AF27)*Inicio!$W$6</f>
        <v/>
      </c>
      <c r="DV27" s="4">
        <f>SUM(AG27:AP27)*Inicio!$W$7</f>
        <v/>
      </c>
      <c r="DW27" s="4">
        <f>SUM(AQ27:AZ27)*Inicio!$W$8</f>
        <v/>
      </c>
      <c r="DX27" s="4">
        <f>SUM(BA27:BJ27)*Inicio!$W$9</f>
        <v/>
      </c>
      <c r="DY27" s="4">
        <f>SUM(BK27:BT27)*Inicio!$W$10</f>
        <v/>
      </c>
      <c r="DZ27" s="4">
        <f>SUM(BU27:CD27)*Inicio!$W$11</f>
        <v/>
      </c>
      <c r="EA27" s="4">
        <f>SUM(CE27:CN27)*Inicio!$W$12</f>
        <v/>
      </c>
      <c r="EB27" s="4">
        <f>SUM(CO27:CX27)*Inicio!$W$13</f>
        <v/>
      </c>
      <c r="EC27" s="4">
        <f>SUM(CY27:DH27)*Inicio!$W$11</f>
        <v/>
      </c>
      <c r="ED27" s="4">
        <f>SUM(DI27:DR27)*Inicio!$W$12</f>
        <v/>
      </c>
      <c r="EE27" s="4">
        <f>SUM(C27:DR27)</f>
        <v/>
      </c>
      <c r="EF27" s="4">
        <f>SUM(EE24:EE27)</f>
        <v/>
      </c>
      <c r="EG27" s="4">
        <f>SUM(DS27:ED27)</f>
        <v/>
      </c>
      <c r="EH27" s="4">
        <f>SUM(EG24:EG27)</f>
        <v/>
      </c>
    </row>
    <row r="28" ht="20.25" customHeight="1">
      <c r="B28" s="25" t="inlineStr">
        <is>
          <t>04:45 - 05:00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/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5">
        <f>SUM(C28:L28)*Inicio!$W$4</f>
        <v/>
      </c>
      <c r="DT28" s="5">
        <f>SUM(M28:V28)*Inicio!$W$5</f>
        <v/>
      </c>
      <c r="DU28" s="5">
        <f>SUM(W28:AF28)*Inicio!$W$6</f>
        <v/>
      </c>
      <c r="DV28" s="5">
        <f>SUM(AG28:AP28)*Inicio!$W$7</f>
        <v/>
      </c>
      <c r="DW28" s="5">
        <f>SUM(AQ28:AZ28)*Inicio!$W$8</f>
        <v/>
      </c>
      <c r="DX28" s="5">
        <f>SUM(BA28:BJ28)*Inicio!$W$9</f>
        <v/>
      </c>
      <c r="DY28" s="5">
        <f>SUM(BK28:BT28)*Inicio!$W$10</f>
        <v/>
      </c>
      <c r="DZ28" s="5">
        <f>SUM(BU28:CD28)*Inicio!$W$11</f>
        <v/>
      </c>
      <c r="EA28" s="5">
        <f>SUM(CE28:CN28)*Inicio!$W$12</f>
        <v/>
      </c>
      <c r="EB28" s="5">
        <f>SUM(CO28:CX28)*Inicio!$W$13</f>
        <v/>
      </c>
      <c r="EC28" s="5">
        <f>SUM(CY28:DH28)*Inicio!$W$11</f>
        <v/>
      </c>
      <c r="ED28" s="5">
        <f>SUM(DI28:DR28)*Inicio!$W$12</f>
        <v/>
      </c>
      <c r="EE28" s="5">
        <f>SUM(C28:DR28)</f>
        <v/>
      </c>
      <c r="EF28" s="5">
        <f>SUM(EE25:EE28)</f>
        <v/>
      </c>
      <c r="EG28" s="5">
        <f>SUM(DS28:ED28)</f>
        <v/>
      </c>
      <c r="EH28" s="5">
        <f>SUM(EG25:EG28)</f>
        <v/>
      </c>
    </row>
    <row r="29" ht="20.25" customHeight="1">
      <c r="B29" s="23" t="inlineStr">
        <is>
          <t>05:00 - 05:15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  <c r="CE29" s="20" t="n"/>
      <c r="CF29" s="20" t="n"/>
      <c r="CG29" s="20" t="n"/>
      <c r="CH29" s="20" t="n"/>
      <c r="CI29" s="20" t="n"/>
      <c r="CJ29" s="20" t="n"/>
      <c r="CK29" s="20" t="n"/>
      <c r="CL29" s="20" t="n"/>
      <c r="CM29" s="20" t="n"/>
      <c r="CN29" s="20" t="n"/>
      <c r="CO29" s="20" t="n"/>
      <c r="CP29" s="20" t="n"/>
      <c r="CQ29" s="20" t="n"/>
      <c r="CR29" s="20" t="n"/>
      <c r="CS29" s="20" t="n"/>
      <c r="CT29" s="20" t="n"/>
      <c r="CU29" s="20" t="n"/>
      <c r="CV29" s="20" t="n"/>
      <c r="CW29" s="20" t="n"/>
      <c r="CX29" s="20" t="n"/>
      <c r="CY29" s="20" t="n"/>
      <c r="CZ29" s="20" t="n"/>
      <c r="DA29" s="20" t="n"/>
      <c r="DB29" s="20" t="n"/>
      <c r="DC29" s="20" t="n"/>
      <c r="DD29" s="20" t="n"/>
      <c r="DE29" s="20" t="n"/>
      <c r="DF29" s="20" t="n"/>
      <c r="DG29" s="20" t="n"/>
      <c r="DH29" s="20" t="n"/>
      <c r="DI29" s="20" t="n"/>
      <c r="DJ29" s="20" t="n"/>
      <c r="DK29" s="20" t="n"/>
      <c r="DL29" s="20" t="n"/>
      <c r="DM29" s="20" t="n"/>
      <c r="DN29" s="20" t="n"/>
      <c r="DO29" s="20" t="n"/>
      <c r="DP29" s="20" t="n"/>
      <c r="DQ29" s="20" t="n"/>
      <c r="DR29" s="20" t="n"/>
      <c r="DS29" s="3">
        <f>SUM(C29:L29)*Inicio!$W$4</f>
        <v/>
      </c>
      <c r="DT29" s="3">
        <f>SUM(M29:V29)*Inicio!$W$5</f>
        <v/>
      </c>
      <c r="DU29" s="3">
        <f>SUM(W29:AF29)*Inicio!$W$6</f>
        <v/>
      </c>
      <c r="DV29" s="3">
        <f>SUM(AG29:AP29)*Inicio!$W$7</f>
        <v/>
      </c>
      <c r="DW29" s="3">
        <f>SUM(AQ29:AZ29)*Inicio!$W$8</f>
        <v/>
      </c>
      <c r="DX29" s="3">
        <f>SUM(BA29:BJ29)*Inicio!$W$9</f>
        <v/>
      </c>
      <c r="DY29" s="3">
        <f>SUM(BK29:BT29)*Inicio!$W$10</f>
        <v/>
      </c>
      <c r="DZ29" s="3">
        <f>SUM(BU29:CD29)*Inicio!$W$11</f>
        <v/>
      </c>
      <c r="EA29" s="3">
        <f>SUM(CE29:CN29)*Inicio!$W$12</f>
        <v/>
      </c>
      <c r="EB29" s="3">
        <f>SUM(CO29:CX29)*Inicio!$W$13</f>
        <v/>
      </c>
      <c r="EC29" s="3">
        <f>SUM(CY29:DH29)*Inicio!$W$11</f>
        <v/>
      </c>
      <c r="ED29" s="3">
        <f>SUM(DI29:DR29)*Inicio!$W$12</f>
        <v/>
      </c>
      <c r="EE29" s="3">
        <f>SUM(C29:DR29)</f>
        <v/>
      </c>
      <c r="EF29" s="3">
        <f>SUM(EE26:EE29)</f>
        <v/>
      </c>
      <c r="EG29" s="3">
        <f>SUM(DS29:ED29)</f>
        <v/>
      </c>
      <c r="EH29" s="3">
        <f>SUM(EG26:EG29)</f>
        <v/>
      </c>
    </row>
    <row r="30" ht="20.25" customHeight="1">
      <c r="B30" s="24" t="inlineStr">
        <is>
          <t>05:15 - 05:30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  <c r="CA30" s="21" t="n"/>
      <c r="CB30" s="21" t="n"/>
      <c r="CC30" s="21" t="n"/>
      <c r="CD30" s="21" t="n"/>
      <c r="CE30" s="21" t="n"/>
      <c r="CF30" s="21" t="n"/>
      <c r="CG30" s="21" t="n"/>
      <c r="CH30" s="21" t="n"/>
      <c r="CI30" s="21" t="n"/>
      <c r="CJ30" s="21" t="n"/>
      <c r="CK30" s="21" t="n"/>
      <c r="CL30" s="21" t="n"/>
      <c r="CM30" s="21" t="n"/>
      <c r="CN30" s="21" t="n"/>
      <c r="CO30" s="21" t="n"/>
      <c r="CP30" s="21" t="n"/>
      <c r="CQ30" s="21" t="n"/>
      <c r="CR30" s="21" t="n"/>
      <c r="CS30" s="21" t="n"/>
      <c r="CT30" s="21" t="n"/>
      <c r="CU30" s="21" t="n"/>
      <c r="CV30" s="21" t="n"/>
      <c r="CW30" s="21" t="n"/>
      <c r="CX30" s="21" t="n"/>
      <c r="CY30" s="21" t="n"/>
      <c r="CZ30" s="21" t="n"/>
      <c r="DA30" s="21" t="n"/>
      <c r="DB30" s="21" t="n"/>
      <c r="DC30" s="21" t="n"/>
      <c r="DD30" s="21" t="n"/>
      <c r="DE30" s="21" t="n"/>
      <c r="DF30" s="21" t="n"/>
      <c r="DG30" s="21" t="n"/>
      <c r="DH30" s="21" t="n"/>
      <c r="DI30" s="21" t="n"/>
      <c r="DJ30" s="21" t="n"/>
      <c r="DK30" s="21" t="n"/>
      <c r="DL30" s="21" t="n"/>
      <c r="DM30" s="21" t="n"/>
      <c r="DN30" s="21" t="n"/>
      <c r="DO30" s="21" t="n"/>
      <c r="DP30" s="21" t="n"/>
      <c r="DQ30" s="21" t="n"/>
      <c r="DR30" s="21" t="n"/>
      <c r="DS30" s="4">
        <f>SUM(C30:L30)*Inicio!$W$4</f>
        <v/>
      </c>
      <c r="DT30" s="4">
        <f>SUM(M30:V30)*Inicio!$W$5</f>
        <v/>
      </c>
      <c r="DU30" s="4">
        <f>SUM(W30:AF30)*Inicio!$W$6</f>
        <v/>
      </c>
      <c r="DV30" s="4">
        <f>SUM(AG30:AP30)*Inicio!$W$7</f>
        <v/>
      </c>
      <c r="DW30" s="4">
        <f>SUM(AQ30:AZ30)*Inicio!$W$8</f>
        <v/>
      </c>
      <c r="DX30" s="4">
        <f>SUM(BA30:BJ30)*Inicio!$W$9</f>
        <v/>
      </c>
      <c r="DY30" s="4">
        <f>SUM(BK30:BT30)*Inicio!$W$10</f>
        <v/>
      </c>
      <c r="DZ30" s="4">
        <f>SUM(BU30:CD30)*Inicio!$W$11</f>
        <v/>
      </c>
      <c r="EA30" s="4">
        <f>SUM(CE30:CN30)*Inicio!$W$12</f>
        <v/>
      </c>
      <c r="EB30" s="4">
        <f>SUM(CO30:CX30)*Inicio!$W$13</f>
        <v/>
      </c>
      <c r="EC30" s="4">
        <f>SUM(CY30:DH30)*Inicio!$W$11</f>
        <v/>
      </c>
      <c r="ED30" s="4">
        <f>SUM(DI30:DR30)*Inicio!$W$12</f>
        <v/>
      </c>
      <c r="EE30" s="4">
        <f>SUM(C30:DR30)</f>
        <v/>
      </c>
      <c r="EF30" s="4">
        <f>SUM(EE27:EE30)</f>
        <v/>
      </c>
      <c r="EG30" s="4">
        <f>SUM(DS30:ED30)</f>
        <v/>
      </c>
      <c r="EH30" s="4">
        <f>SUM(EG27:EG30)</f>
        <v/>
      </c>
    </row>
    <row r="31" ht="20.25" customHeight="1">
      <c r="B31" s="24" t="inlineStr">
        <is>
          <t>05:30 - 05:45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  <c r="CA31" s="21" t="n"/>
      <c r="CB31" s="21" t="n"/>
      <c r="CC31" s="21" t="n"/>
      <c r="CD31" s="21" t="n"/>
      <c r="CE31" s="21" t="n"/>
      <c r="CF31" s="21" t="n"/>
      <c r="CG31" s="21" t="n"/>
      <c r="CH31" s="21" t="n"/>
      <c r="CI31" s="21" t="n"/>
      <c r="CJ31" s="21" t="n"/>
      <c r="CK31" s="21" t="n"/>
      <c r="CL31" s="21" t="n"/>
      <c r="CM31" s="21" t="n"/>
      <c r="CN31" s="21" t="n"/>
      <c r="CO31" s="21" t="n"/>
      <c r="CP31" s="21" t="n"/>
      <c r="CQ31" s="21" t="n"/>
      <c r="CR31" s="21" t="n"/>
      <c r="CS31" s="21" t="n"/>
      <c r="CT31" s="21" t="n"/>
      <c r="CU31" s="21" t="n"/>
      <c r="CV31" s="21" t="n"/>
      <c r="CW31" s="21" t="n"/>
      <c r="CX31" s="21" t="n"/>
      <c r="CY31" s="21" t="n"/>
      <c r="CZ31" s="21" t="n"/>
      <c r="DA31" s="21" t="n"/>
      <c r="DB31" s="21" t="n"/>
      <c r="DC31" s="21" t="n"/>
      <c r="DD31" s="21" t="n"/>
      <c r="DE31" s="21" t="n"/>
      <c r="DF31" s="21" t="n"/>
      <c r="DG31" s="21" t="n"/>
      <c r="DH31" s="21" t="n"/>
      <c r="DI31" s="21" t="n"/>
      <c r="DJ31" s="21" t="n"/>
      <c r="DK31" s="21" t="n"/>
      <c r="DL31" s="21" t="n"/>
      <c r="DM31" s="21" t="n"/>
      <c r="DN31" s="21" t="n"/>
      <c r="DO31" s="21" t="n"/>
      <c r="DP31" s="21" t="n"/>
      <c r="DQ31" s="21" t="n"/>
      <c r="DR31" s="21" t="n"/>
      <c r="DS31" s="4">
        <f>SUM(C31:L31)*Inicio!$W$4</f>
        <v/>
      </c>
      <c r="DT31" s="4">
        <f>SUM(M31:V31)*Inicio!$W$5</f>
        <v/>
      </c>
      <c r="DU31" s="4">
        <f>SUM(W31:AF31)*Inicio!$W$6</f>
        <v/>
      </c>
      <c r="DV31" s="4">
        <f>SUM(AG31:AP31)*Inicio!$W$7</f>
        <v/>
      </c>
      <c r="DW31" s="4">
        <f>SUM(AQ31:AZ31)*Inicio!$W$8</f>
        <v/>
      </c>
      <c r="DX31" s="4">
        <f>SUM(BA31:BJ31)*Inicio!$W$9</f>
        <v/>
      </c>
      <c r="DY31" s="4">
        <f>SUM(BK31:BT31)*Inicio!$W$10</f>
        <v/>
      </c>
      <c r="DZ31" s="4">
        <f>SUM(BU31:CD31)*Inicio!$W$11</f>
        <v/>
      </c>
      <c r="EA31" s="4">
        <f>SUM(CE31:CN31)*Inicio!$W$12</f>
        <v/>
      </c>
      <c r="EB31" s="4">
        <f>SUM(CO31:CX31)*Inicio!$W$13</f>
        <v/>
      </c>
      <c r="EC31" s="4">
        <f>SUM(CY31:DH31)*Inicio!$W$11</f>
        <v/>
      </c>
      <c r="ED31" s="4">
        <f>SUM(DI31:DR31)*Inicio!$W$12</f>
        <v/>
      </c>
      <c r="EE31" s="4">
        <f>SUM(C31:DR31)</f>
        <v/>
      </c>
      <c r="EF31" s="4">
        <f>SUM(EE28:EE31)</f>
        <v/>
      </c>
      <c r="EG31" s="4">
        <f>SUM(DS31:ED31)</f>
        <v/>
      </c>
      <c r="EH31" s="4">
        <f>SUM(EG28:EG31)</f>
        <v/>
      </c>
    </row>
    <row r="32" ht="20.25" customHeight="1">
      <c r="B32" s="25" t="inlineStr">
        <is>
          <t>05:45 - 06:00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/>
      <c r="AV32" s="22" t="n"/>
      <c r="AW32" s="22" t="n"/>
      <c r="AX32" s="22" t="n"/>
      <c r="AY32" s="22" t="n"/>
      <c r="AZ32" s="22" t="n"/>
      <c r="BA32" s="22" t="n"/>
      <c r="BB32" s="22" t="n"/>
      <c r="BC32" s="22" t="n"/>
      <c r="BD32" s="22" t="n"/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/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5">
        <f>SUM(C32:L32)*Inicio!$W$4</f>
        <v/>
      </c>
      <c r="DT32" s="5">
        <f>SUM(M32:V32)*Inicio!$W$5</f>
        <v/>
      </c>
      <c r="DU32" s="5">
        <f>SUM(W32:AF32)*Inicio!$W$6</f>
        <v/>
      </c>
      <c r="DV32" s="5">
        <f>SUM(AG32:AP32)*Inicio!$W$7</f>
        <v/>
      </c>
      <c r="DW32" s="5">
        <f>SUM(AQ32:AZ32)*Inicio!$W$8</f>
        <v/>
      </c>
      <c r="DX32" s="5">
        <f>SUM(BA32:BJ32)*Inicio!$W$9</f>
        <v/>
      </c>
      <c r="DY32" s="5">
        <f>SUM(BK32:BT32)*Inicio!$W$10</f>
        <v/>
      </c>
      <c r="DZ32" s="5">
        <f>SUM(BU32:CD32)*Inicio!$W$11</f>
        <v/>
      </c>
      <c r="EA32" s="5">
        <f>SUM(CE32:CN32)*Inicio!$W$12</f>
        <v/>
      </c>
      <c r="EB32" s="5">
        <f>SUM(CO32:CX32)*Inicio!$W$13</f>
        <v/>
      </c>
      <c r="EC32" s="5">
        <f>SUM(CY32:DH32)*Inicio!$W$11</f>
        <v/>
      </c>
      <c r="ED32" s="5">
        <f>SUM(DI32:DR32)*Inicio!$W$12</f>
        <v/>
      </c>
      <c r="EE32" s="5">
        <f>SUM(C32:DR32)</f>
        <v/>
      </c>
      <c r="EF32" s="5">
        <f>SUM(EE29:EE32)</f>
        <v/>
      </c>
      <c r="EG32" s="5">
        <f>SUM(DS32:ED32)</f>
        <v/>
      </c>
      <c r="EH32" s="5">
        <f>SUM(EG29:EG32)</f>
        <v/>
      </c>
    </row>
    <row r="33" ht="20.25" customHeight="1">
      <c r="B33" s="23" t="inlineStr">
        <is>
          <t>06:00 - 06:15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20" t="n"/>
      <c r="BE33" s="20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20" t="n"/>
      <c r="BZ33" s="20" t="n"/>
      <c r="CA33" s="20" t="n"/>
      <c r="CB33" s="20" t="n"/>
      <c r="CC33" s="20" t="n"/>
      <c r="CD33" s="20" t="n"/>
      <c r="CE33" s="20" t="n"/>
      <c r="CF33" s="20" t="n"/>
      <c r="CG33" s="20" t="n"/>
      <c r="CH33" s="20" t="n"/>
      <c r="CI33" s="20" t="n"/>
      <c r="CJ33" s="20" t="n"/>
      <c r="CK33" s="20" t="n"/>
      <c r="CL33" s="20" t="n"/>
      <c r="CM33" s="20" t="n"/>
      <c r="CN33" s="20" t="n"/>
      <c r="CO33" s="20" t="n"/>
      <c r="CP33" s="20" t="n"/>
      <c r="CQ33" s="20" t="n"/>
      <c r="CR33" s="20" t="n"/>
      <c r="CS33" s="20" t="n"/>
      <c r="CT33" s="20" t="n"/>
      <c r="CU33" s="20" t="n"/>
      <c r="CV33" s="20" t="n"/>
      <c r="CW33" s="20" t="n"/>
      <c r="CX33" s="20" t="n"/>
      <c r="CY33" s="20" t="n"/>
      <c r="CZ33" s="20" t="n"/>
      <c r="DA33" s="20" t="n"/>
      <c r="DB33" s="20" t="n"/>
      <c r="DC33" s="20" t="n"/>
      <c r="DD33" s="20" t="n"/>
      <c r="DE33" s="20" t="n"/>
      <c r="DF33" s="20" t="n"/>
      <c r="DG33" s="20" t="n"/>
      <c r="DH33" s="20" t="n"/>
      <c r="DI33" s="20" t="n"/>
      <c r="DJ33" s="20" t="n"/>
      <c r="DK33" s="20" t="n"/>
      <c r="DL33" s="20" t="n"/>
      <c r="DM33" s="20" t="n"/>
      <c r="DN33" s="20" t="n"/>
      <c r="DO33" s="20" t="n"/>
      <c r="DP33" s="20" t="n"/>
      <c r="DQ33" s="20" t="n"/>
      <c r="DR33" s="20" t="n"/>
      <c r="DS33" s="3">
        <f>SUM(C33:L33)*Inicio!$W$4</f>
        <v/>
      </c>
      <c r="DT33" s="3">
        <f>SUM(M33:V33)*Inicio!$W$5</f>
        <v/>
      </c>
      <c r="DU33" s="3">
        <f>SUM(W33:AF33)*Inicio!$W$6</f>
        <v/>
      </c>
      <c r="DV33" s="3">
        <f>SUM(AG33:AP33)*Inicio!$W$7</f>
        <v/>
      </c>
      <c r="DW33" s="3">
        <f>SUM(AQ33:AZ33)*Inicio!$W$8</f>
        <v/>
      </c>
      <c r="DX33" s="3">
        <f>SUM(BA33:BJ33)*Inicio!$W$9</f>
        <v/>
      </c>
      <c r="DY33" s="3">
        <f>SUM(BK33:BT33)*Inicio!$W$10</f>
        <v/>
      </c>
      <c r="DZ33" s="3">
        <f>SUM(BU33:CD33)*Inicio!$W$11</f>
        <v/>
      </c>
      <c r="EA33" s="3">
        <f>SUM(CE33:CN33)*Inicio!$W$12</f>
        <v/>
      </c>
      <c r="EB33" s="3">
        <f>SUM(CO33:CX33)*Inicio!$W$13</f>
        <v/>
      </c>
      <c r="EC33" s="3">
        <f>SUM(CY33:DH33)*Inicio!$W$11</f>
        <v/>
      </c>
      <c r="ED33" s="3">
        <f>SUM(DI33:DR33)*Inicio!$W$12</f>
        <v/>
      </c>
      <c r="EE33" s="3">
        <f>SUM(C33:DR33)</f>
        <v/>
      </c>
      <c r="EF33" s="3">
        <f>SUM(EE30:EE33)</f>
        <v/>
      </c>
      <c r="EG33" s="3">
        <f>SUM(DS33:ED33)</f>
        <v/>
      </c>
      <c r="EH33" s="3">
        <f>SUM(EG30:EG33)</f>
        <v/>
      </c>
    </row>
    <row r="34" ht="20.25" customHeight="1">
      <c r="B34" s="24" t="inlineStr">
        <is>
          <t>06:15 - 06:30</t>
        </is>
      </c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  <c r="CA34" s="21" t="n"/>
      <c r="CB34" s="21" t="n"/>
      <c r="CC34" s="21" t="n"/>
      <c r="CD34" s="21" t="n"/>
      <c r="CE34" s="21" t="n"/>
      <c r="CF34" s="21" t="n"/>
      <c r="CG34" s="21" t="n"/>
      <c r="CH34" s="21" t="n"/>
      <c r="CI34" s="21" t="n"/>
      <c r="CJ34" s="21" t="n"/>
      <c r="CK34" s="21" t="n"/>
      <c r="CL34" s="21" t="n"/>
      <c r="CM34" s="21" t="n"/>
      <c r="CN34" s="21" t="n"/>
      <c r="CO34" s="21" t="n"/>
      <c r="CP34" s="21" t="n"/>
      <c r="CQ34" s="21" t="n"/>
      <c r="CR34" s="21" t="n"/>
      <c r="CS34" s="21" t="n"/>
      <c r="CT34" s="21" t="n"/>
      <c r="CU34" s="21" t="n"/>
      <c r="CV34" s="21" t="n"/>
      <c r="CW34" s="21" t="n"/>
      <c r="CX34" s="21" t="n"/>
      <c r="CY34" s="21" t="n"/>
      <c r="CZ34" s="21" t="n"/>
      <c r="DA34" s="21" t="n"/>
      <c r="DB34" s="21" t="n"/>
      <c r="DC34" s="21" t="n"/>
      <c r="DD34" s="21" t="n"/>
      <c r="DE34" s="21" t="n"/>
      <c r="DF34" s="21" t="n"/>
      <c r="DG34" s="21" t="n"/>
      <c r="DH34" s="21" t="n"/>
      <c r="DI34" s="21" t="n"/>
      <c r="DJ34" s="21" t="n"/>
      <c r="DK34" s="21" t="n"/>
      <c r="DL34" s="21" t="n"/>
      <c r="DM34" s="21" t="n"/>
      <c r="DN34" s="21" t="n"/>
      <c r="DO34" s="21" t="n"/>
      <c r="DP34" s="21" t="n"/>
      <c r="DQ34" s="21" t="n"/>
      <c r="DR34" s="21" t="n"/>
      <c r="DS34" s="4">
        <f>SUM(C34:L34)*Inicio!$W$4</f>
        <v/>
      </c>
      <c r="DT34" s="4">
        <f>SUM(M34:V34)*Inicio!$W$5</f>
        <v/>
      </c>
      <c r="DU34" s="4">
        <f>SUM(W34:AF34)*Inicio!$W$6</f>
        <v/>
      </c>
      <c r="DV34" s="4">
        <f>SUM(AG34:AP34)*Inicio!$W$7</f>
        <v/>
      </c>
      <c r="DW34" s="4">
        <f>SUM(AQ34:AZ34)*Inicio!$W$8</f>
        <v/>
      </c>
      <c r="DX34" s="4">
        <f>SUM(BA34:BJ34)*Inicio!$W$9</f>
        <v/>
      </c>
      <c r="DY34" s="4">
        <f>SUM(BK34:BT34)*Inicio!$W$10</f>
        <v/>
      </c>
      <c r="DZ34" s="4">
        <f>SUM(BU34:CD34)*Inicio!$W$11</f>
        <v/>
      </c>
      <c r="EA34" s="4">
        <f>SUM(CE34:CN34)*Inicio!$W$12</f>
        <v/>
      </c>
      <c r="EB34" s="4">
        <f>SUM(CO34:CX34)*Inicio!$W$13</f>
        <v/>
      </c>
      <c r="EC34" s="4">
        <f>SUM(CY34:DH34)*Inicio!$W$11</f>
        <v/>
      </c>
      <c r="ED34" s="4">
        <f>SUM(DI34:DR34)*Inicio!$W$12</f>
        <v/>
      </c>
      <c r="EE34" s="4">
        <f>SUM(C34:DR34)</f>
        <v/>
      </c>
      <c r="EF34" s="4">
        <f>SUM(EE31:EE34)</f>
        <v/>
      </c>
      <c r="EG34" s="4">
        <f>SUM(DS34:ED34)</f>
        <v/>
      </c>
      <c r="EH34" s="4">
        <f>SUM(EG31:EG34)</f>
        <v/>
      </c>
    </row>
    <row r="35" ht="20.25" customHeight="1">
      <c r="B35" s="24" t="inlineStr">
        <is>
          <t>06:30 - 06:45</t>
        </is>
      </c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  <c r="CZ35" s="21" t="n"/>
      <c r="DA35" s="21" t="n"/>
      <c r="DB35" s="21" t="n"/>
      <c r="DC35" s="21" t="n"/>
      <c r="DD35" s="21" t="n"/>
      <c r="DE35" s="21" t="n"/>
      <c r="DF35" s="21" t="n"/>
      <c r="DG35" s="21" t="n"/>
      <c r="DH35" s="21" t="n"/>
      <c r="DI35" s="21" t="n"/>
      <c r="DJ35" s="21" t="n"/>
      <c r="DK35" s="21" t="n"/>
      <c r="DL35" s="21" t="n"/>
      <c r="DM35" s="21" t="n"/>
      <c r="DN35" s="21" t="n"/>
      <c r="DO35" s="21" t="n"/>
      <c r="DP35" s="21" t="n"/>
      <c r="DQ35" s="21" t="n"/>
      <c r="DR35" s="21" t="n"/>
      <c r="DS35" s="4">
        <f>SUM(C35:L35)*Inicio!$W$4</f>
        <v/>
      </c>
      <c r="DT35" s="4">
        <f>SUM(M35:V35)*Inicio!$W$5</f>
        <v/>
      </c>
      <c r="DU35" s="4">
        <f>SUM(W35:AF35)*Inicio!$W$6</f>
        <v/>
      </c>
      <c r="DV35" s="4">
        <f>SUM(AG35:AP35)*Inicio!$W$7</f>
        <v/>
      </c>
      <c r="DW35" s="4">
        <f>SUM(AQ35:AZ35)*Inicio!$W$8</f>
        <v/>
      </c>
      <c r="DX35" s="4">
        <f>SUM(BA35:BJ35)*Inicio!$W$9</f>
        <v/>
      </c>
      <c r="DY35" s="4">
        <f>SUM(BK35:BT35)*Inicio!$W$10</f>
        <v/>
      </c>
      <c r="DZ35" s="4">
        <f>SUM(BU35:CD35)*Inicio!$W$11</f>
        <v/>
      </c>
      <c r="EA35" s="4">
        <f>SUM(CE35:CN35)*Inicio!$W$12</f>
        <v/>
      </c>
      <c r="EB35" s="4">
        <f>SUM(CO35:CX35)*Inicio!$W$13</f>
        <v/>
      </c>
      <c r="EC35" s="4">
        <f>SUM(CY35:DH35)*Inicio!$W$11</f>
        <v/>
      </c>
      <c r="ED35" s="4">
        <f>SUM(DI35:DR35)*Inicio!$W$12</f>
        <v/>
      </c>
      <c r="EE35" s="4">
        <f>SUM(C35:DR35)</f>
        <v/>
      </c>
      <c r="EF35" s="4">
        <f>SUM(EE32:EE35)</f>
        <v/>
      </c>
      <c r="EG35" s="4">
        <f>SUM(DS35:ED35)</f>
        <v/>
      </c>
      <c r="EH35" s="4">
        <f>SUM(EG32:EG35)</f>
        <v/>
      </c>
    </row>
    <row r="36" ht="20.25" customHeight="1">
      <c r="B36" s="26" t="inlineStr">
        <is>
          <t>06:45 - 07:00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/>
      <c r="AV36" s="22" t="n"/>
      <c r="AW36" s="22" t="n"/>
      <c r="AX36" s="22" t="n"/>
      <c r="AY36" s="22" t="n"/>
      <c r="AZ36" s="22" t="n"/>
      <c r="BA36" s="22" t="n"/>
      <c r="BB36" s="22" t="n"/>
      <c r="BC36" s="22" t="n"/>
      <c r="BD36" s="22" t="n"/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/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5">
        <f>SUM(C36:L36)*Inicio!$W$4</f>
        <v/>
      </c>
      <c r="DT36" s="5">
        <f>SUM(M36:V36)*Inicio!$W$5</f>
        <v/>
      </c>
      <c r="DU36" s="5">
        <f>SUM(W36:AF36)*Inicio!$W$6</f>
        <v/>
      </c>
      <c r="DV36" s="5">
        <f>SUM(AG36:AP36)*Inicio!$W$7</f>
        <v/>
      </c>
      <c r="DW36" s="5">
        <f>SUM(AQ36:AZ36)*Inicio!$W$8</f>
        <v/>
      </c>
      <c r="DX36" s="5">
        <f>SUM(BA36:BJ36)*Inicio!$W$9</f>
        <v/>
      </c>
      <c r="DY36" s="5">
        <f>SUM(BK36:BT36)*Inicio!$W$10</f>
        <v/>
      </c>
      <c r="DZ36" s="5">
        <f>SUM(BU36:CD36)*Inicio!$W$11</f>
        <v/>
      </c>
      <c r="EA36" s="5">
        <f>SUM(CE36:CN36)*Inicio!$W$12</f>
        <v/>
      </c>
      <c r="EB36" s="5">
        <f>SUM(CO36:CX36)*Inicio!$W$13</f>
        <v/>
      </c>
      <c r="EC36" s="5">
        <f>SUM(CY36:DH36)*Inicio!$W$11</f>
        <v/>
      </c>
      <c r="ED36" s="5">
        <f>SUM(DI36:DR36)*Inicio!$W$12</f>
        <v/>
      </c>
      <c r="EE36" s="5">
        <f>SUM(C36:DR36)</f>
        <v/>
      </c>
      <c r="EF36" s="5">
        <f>SUM(EE33:EE36)</f>
        <v/>
      </c>
      <c r="EG36" s="5">
        <f>SUM(DS36:ED36)</f>
        <v/>
      </c>
      <c r="EH36" s="5">
        <f>SUM(EG33:EG36)</f>
        <v/>
      </c>
    </row>
    <row r="37" ht="20.25" customHeight="1">
      <c r="B37" s="27" t="inlineStr">
        <is>
          <t>07:00 - 07:15</t>
        </is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20" t="n"/>
      <c r="BZ37" s="20" t="n"/>
      <c r="CA37" s="20" t="n"/>
      <c r="CB37" s="20" t="n"/>
      <c r="CC37" s="20" t="n"/>
      <c r="CD37" s="20" t="n"/>
      <c r="CE37" s="20" t="n"/>
      <c r="CF37" s="20" t="n"/>
      <c r="CG37" s="20" t="n"/>
      <c r="CH37" s="20" t="n"/>
      <c r="CI37" s="20" t="n"/>
      <c r="CJ37" s="20" t="n"/>
      <c r="CK37" s="20" t="n"/>
      <c r="CL37" s="20" t="n"/>
      <c r="CM37" s="20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0" t="n"/>
      <c r="CZ37" s="20" t="n"/>
      <c r="DA37" s="20" t="n"/>
      <c r="DB37" s="20" t="n"/>
      <c r="DC37" s="20" t="n"/>
      <c r="DD37" s="20" t="n"/>
      <c r="DE37" s="20" t="n"/>
      <c r="DF37" s="20" t="n"/>
      <c r="DG37" s="20" t="n"/>
      <c r="DH37" s="20" t="n"/>
      <c r="DI37" s="20" t="n"/>
      <c r="DJ37" s="20" t="n"/>
      <c r="DK37" s="20" t="n"/>
      <c r="DL37" s="20" t="n"/>
      <c r="DM37" s="20" t="n"/>
      <c r="DN37" s="20" t="n"/>
      <c r="DO37" s="20" t="n"/>
      <c r="DP37" s="20" t="n"/>
      <c r="DQ37" s="20" t="n"/>
      <c r="DR37" s="20" t="n"/>
      <c r="DS37" s="3">
        <f>SUM(C37:L37)*Inicio!$W$4</f>
        <v/>
      </c>
      <c r="DT37" s="3">
        <f>SUM(M37:V37)*Inicio!$W$5</f>
        <v/>
      </c>
      <c r="DU37" s="3">
        <f>SUM(W37:AF37)*Inicio!$W$6</f>
        <v/>
      </c>
      <c r="DV37" s="3">
        <f>SUM(AG37:AP37)*Inicio!$W$7</f>
        <v/>
      </c>
      <c r="DW37" s="3">
        <f>SUM(AQ37:AZ37)*Inicio!$W$8</f>
        <v/>
      </c>
      <c r="DX37" s="3">
        <f>SUM(BA37:BJ37)*Inicio!$W$9</f>
        <v/>
      </c>
      <c r="DY37" s="3">
        <f>SUM(BK37:BT37)*Inicio!$W$10</f>
        <v/>
      </c>
      <c r="DZ37" s="3">
        <f>SUM(BU37:CD37)*Inicio!$W$11</f>
        <v/>
      </c>
      <c r="EA37" s="3">
        <f>SUM(CE37:CN37)*Inicio!$W$12</f>
        <v/>
      </c>
      <c r="EB37" s="3">
        <f>SUM(CO37:CX37)*Inicio!$W$13</f>
        <v/>
      </c>
      <c r="EC37" s="3">
        <f>SUM(CY37:DH37)*Inicio!$W$11</f>
        <v/>
      </c>
      <c r="ED37" s="3">
        <f>SUM(DI37:DR37)*Inicio!$W$12</f>
        <v/>
      </c>
      <c r="EE37" s="3">
        <f>SUM(C37:DR37)</f>
        <v/>
      </c>
      <c r="EF37" s="3">
        <f>SUM(EE34:EE37)</f>
        <v/>
      </c>
      <c r="EG37" s="3">
        <f>SUM(DS37:ED37)</f>
        <v/>
      </c>
      <c r="EH37" s="3">
        <f>SUM(EG34:EG37)</f>
        <v/>
      </c>
    </row>
    <row r="38" ht="20.25" customHeight="1">
      <c r="B38" s="28" t="inlineStr">
        <is>
          <t>07:15 - 07:30</t>
        </is>
      </c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  <c r="CA38" s="21" t="n"/>
      <c r="CB38" s="21" t="n"/>
      <c r="CC38" s="21" t="n"/>
      <c r="CD38" s="21" t="n"/>
      <c r="CE38" s="21" t="n"/>
      <c r="CF38" s="21" t="n"/>
      <c r="CG38" s="21" t="n"/>
      <c r="CH38" s="21" t="n"/>
      <c r="CI38" s="21" t="n"/>
      <c r="CJ38" s="21" t="n"/>
      <c r="CK38" s="21" t="n"/>
      <c r="CL38" s="21" t="n"/>
      <c r="CM38" s="21" t="n"/>
      <c r="CN38" s="21" t="n"/>
      <c r="CO38" s="21" t="n"/>
      <c r="CP38" s="21" t="n"/>
      <c r="CQ38" s="21" t="n"/>
      <c r="CR38" s="21" t="n"/>
      <c r="CS38" s="21" t="n"/>
      <c r="CT38" s="21" t="n"/>
      <c r="CU38" s="21" t="n"/>
      <c r="CV38" s="21" t="n"/>
      <c r="CW38" s="21" t="n"/>
      <c r="CX38" s="21" t="n"/>
      <c r="CY38" s="21" t="n"/>
      <c r="CZ38" s="21" t="n"/>
      <c r="DA38" s="21" t="n"/>
      <c r="DB38" s="21" t="n"/>
      <c r="DC38" s="21" t="n"/>
      <c r="DD38" s="21" t="n"/>
      <c r="DE38" s="21" t="n"/>
      <c r="DF38" s="21" t="n"/>
      <c r="DG38" s="21" t="n"/>
      <c r="DH38" s="21" t="n"/>
      <c r="DI38" s="21" t="n"/>
      <c r="DJ38" s="21" t="n"/>
      <c r="DK38" s="21" t="n"/>
      <c r="DL38" s="21" t="n"/>
      <c r="DM38" s="21" t="n"/>
      <c r="DN38" s="21" t="n"/>
      <c r="DO38" s="21" t="n"/>
      <c r="DP38" s="21" t="n"/>
      <c r="DQ38" s="21" t="n"/>
      <c r="DR38" s="21" t="n"/>
      <c r="DS38" s="4">
        <f>SUM(C38:L38)*Inicio!$W$4</f>
        <v/>
      </c>
      <c r="DT38" s="4">
        <f>SUM(M38:V38)*Inicio!$W$5</f>
        <v/>
      </c>
      <c r="DU38" s="4">
        <f>SUM(W38:AF38)*Inicio!$W$6</f>
        <v/>
      </c>
      <c r="DV38" s="4">
        <f>SUM(AG38:AP38)*Inicio!$W$7</f>
        <v/>
      </c>
      <c r="DW38" s="4">
        <f>SUM(AQ38:AZ38)*Inicio!$W$8</f>
        <v/>
      </c>
      <c r="DX38" s="4">
        <f>SUM(BA38:BJ38)*Inicio!$W$9</f>
        <v/>
      </c>
      <c r="DY38" s="4">
        <f>SUM(BK38:BT38)*Inicio!$W$10</f>
        <v/>
      </c>
      <c r="DZ38" s="4">
        <f>SUM(BU38:CD38)*Inicio!$W$11</f>
        <v/>
      </c>
      <c r="EA38" s="4">
        <f>SUM(CE38:CN38)*Inicio!$W$12</f>
        <v/>
      </c>
      <c r="EB38" s="4">
        <f>SUM(CO38:CX38)*Inicio!$W$13</f>
        <v/>
      </c>
      <c r="EC38" s="4">
        <f>SUM(CY38:DH38)*Inicio!$W$11</f>
        <v/>
      </c>
      <c r="ED38" s="4">
        <f>SUM(DI38:DR38)*Inicio!$W$12</f>
        <v/>
      </c>
      <c r="EE38" s="4">
        <f>SUM(C38:DR38)</f>
        <v/>
      </c>
      <c r="EF38" s="4">
        <f>SUM(EE35:EE38)</f>
        <v/>
      </c>
      <c r="EG38" s="4">
        <f>SUM(DS38:ED38)</f>
        <v/>
      </c>
      <c r="EH38" s="4">
        <f>SUM(EG35:EG38)</f>
        <v/>
      </c>
    </row>
    <row r="39" ht="20.25" customHeight="1">
      <c r="B39" s="28" t="inlineStr">
        <is>
          <t>07:30 - 07:45</t>
        </is>
      </c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  <c r="CA39" s="21" t="n"/>
      <c r="CB39" s="21" t="n"/>
      <c r="CC39" s="21" t="n"/>
      <c r="CD39" s="21" t="n"/>
      <c r="CE39" s="21" t="n"/>
      <c r="CF39" s="21" t="n"/>
      <c r="CG39" s="21" t="n"/>
      <c r="CH39" s="21" t="n"/>
      <c r="CI39" s="21" t="n"/>
      <c r="CJ39" s="21" t="n"/>
      <c r="CK39" s="21" t="n"/>
      <c r="CL39" s="21" t="n"/>
      <c r="CM39" s="21" t="n"/>
      <c r="CN39" s="21" t="n"/>
      <c r="CO39" s="21" t="n"/>
      <c r="CP39" s="21" t="n"/>
      <c r="CQ39" s="21" t="n"/>
      <c r="CR39" s="21" t="n"/>
      <c r="CS39" s="21" t="n"/>
      <c r="CT39" s="21" t="n"/>
      <c r="CU39" s="21" t="n"/>
      <c r="CV39" s="21" t="n"/>
      <c r="CW39" s="21" t="n"/>
      <c r="CX39" s="21" t="n"/>
      <c r="CY39" s="21" t="n"/>
      <c r="CZ39" s="21" t="n"/>
      <c r="DA39" s="21" t="n"/>
      <c r="DB39" s="21" t="n"/>
      <c r="DC39" s="21" t="n"/>
      <c r="DD39" s="21" t="n"/>
      <c r="DE39" s="21" t="n"/>
      <c r="DF39" s="21" t="n"/>
      <c r="DG39" s="21" t="n"/>
      <c r="DH39" s="21" t="n"/>
      <c r="DI39" s="21" t="n"/>
      <c r="DJ39" s="21" t="n"/>
      <c r="DK39" s="21" t="n"/>
      <c r="DL39" s="21" t="n"/>
      <c r="DM39" s="21" t="n"/>
      <c r="DN39" s="21" t="n"/>
      <c r="DO39" s="21" t="n"/>
      <c r="DP39" s="21" t="n"/>
      <c r="DQ39" s="21" t="n"/>
      <c r="DR39" s="21" t="n"/>
      <c r="DS39" s="4">
        <f>SUM(C39:L39)*Inicio!$W$4</f>
        <v/>
      </c>
      <c r="DT39" s="4">
        <f>SUM(M39:V39)*Inicio!$W$5</f>
        <v/>
      </c>
      <c r="DU39" s="4">
        <f>SUM(W39:AF39)*Inicio!$W$6</f>
        <v/>
      </c>
      <c r="DV39" s="4">
        <f>SUM(AG39:AP39)*Inicio!$W$7</f>
        <v/>
      </c>
      <c r="DW39" s="4">
        <f>SUM(AQ39:AZ39)*Inicio!$W$8</f>
        <v/>
      </c>
      <c r="DX39" s="4">
        <f>SUM(BA39:BJ39)*Inicio!$W$9</f>
        <v/>
      </c>
      <c r="DY39" s="4">
        <f>SUM(BK39:BT39)*Inicio!$W$10</f>
        <v/>
      </c>
      <c r="DZ39" s="4">
        <f>SUM(BU39:CD39)*Inicio!$W$11</f>
        <v/>
      </c>
      <c r="EA39" s="4">
        <f>SUM(CE39:CN39)*Inicio!$W$12</f>
        <v/>
      </c>
      <c r="EB39" s="4">
        <f>SUM(CO39:CX39)*Inicio!$W$13</f>
        <v/>
      </c>
      <c r="EC39" s="4">
        <f>SUM(CY39:DH39)*Inicio!$W$11</f>
        <v/>
      </c>
      <c r="ED39" s="4">
        <f>SUM(DI39:DR39)*Inicio!$W$12</f>
        <v/>
      </c>
      <c r="EE39" s="4">
        <f>SUM(C39:DR39)</f>
        <v/>
      </c>
      <c r="EF39" s="4">
        <f>SUM(EE36:EE39)</f>
        <v/>
      </c>
      <c r="EG39" s="4">
        <f>SUM(DS39:ED39)</f>
        <v/>
      </c>
      <c r="EH39" s="4">
        <f>SUM(EG36:EG39)</f>
        <v/>
      </c>
    </row>
    <row r="40" ht="20.25" customHeight="1">
      <c r="B40" s="26" t="inlineStr">
        <is>
          <t>07:45 - 08:00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/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5">
        <f>SUM(C40:L40)*Inicio!$W$4</f>
        <v/>
      </c>
      <c r="DT40" s="5">
        <f>SUM(M40:V40)*Inicio!$W$5</f>
        <v/>
      </c>
      <c r="DU40" s="5">
        <f>SUM(W40:AF40)*Inicio!$W$6</f>
        <v/>
      </c>
      <c r="DV40" s="5">
        <f>SUM(AG40:AP40)*Inicio!$W$7</f>
        <v/>
      </c>
      <c r="DW40" s="5">
        <f>SUM(AQ40:AZ40)*Inicio!$W$8</f>
        <v/>
      </c>
      <c r="DX40" s="5">
        <f>SUM(BA40:BJ40)*Inicio!$W$9</f>
        <v/>
      </c>
      <c r="DY40" s="5">
        <f>SUM(BK40:BT40)*Inicio!$W$10</f>
        <v/>
      </c>
      <c r="DZ40" s="5">
        <f>SUM(BU40:CD40)*Inicio!$W$11</f>
        <v/>
      </c>
      <c r="EA40" s="5">
        <f>SUM(CE40:CN40)*Inicio!$W$12</f>
        <v/>
      </c>
      <c r="EB40" s="5">
        <f>SUM(CO40:CX40)*Inicio!$W$13</f>
        <v/>
      </c>
      <c r="EC40" s="5">
        <f>SUM(CY40:DH40)*Inicio!$W$11</f>
        <v/>
      </c>
      <c r="ED40" s="5">
        <f>SUM(DI40:DR40)*Inicio!$W$12</f>
        <v/>
      </c>
      <c r="EE40" s="5">
        <f>SUM(C40:DR40)</f>
        <v/>
      </c>
      <c r="EF40" s="5">
        <f>SUM(EE37:EE40)</f>
        <v/>
      </c>
      <c r="EG40" s="5">
        <f>SUM(DS40:ED40)</f>
        <v/>
      </c>
      <c r="EH40" s="5">
        <f>SUM(EG37:EG40)</f>
        <v/>
      </c>
    </row>
    <row r="41" ht="20.25" customHeight="1">
      <c r="B41" s="27" t="inlineStr">
        <is>
          <t>08:00 - 08:15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  <c r="CE41" s="20" t="n"/>
      <c r="CF41" s="20" t="n"/>
      <c r="CG41" s="20" t="n"/>
      <c r="CH41" s="20" t="n"/>
      <c r="CI41" s="20" t="n"/>
      <c r="CJ41" s="20" t="n"/>
      <c r="CK41" s="20" t="n"/>
      <c r="CL41" s="20" t="n"/>
      <c r="CM41" s="20" t="n"/>
      <c r="CN41" s="20" t="n"/>
      <c r="CO41" s="20" t="n"/>
      <c r="CP41" s="20" t="n"/>
      <c r="CQ41" s="20" t="n"/>
      <c r="CR41" s="20" t="n"/>
      <c r="CS41" s="20" t="n"/>
      <c r="CT41" s="20" t="n"/>
      <c r="CU41" s="20" t="n"/>
      <c r="CV41" s="20" t="n"/>
      <c r="CW41" s="20" t="n"/>
      <c r="CX41" s="20" t="n"/>
      <c r="CY41" s="20" t="n"/>
      <c r="CZ41" s="20" t="n"/>
      <c r="DA41" s="20" t="n"/>
      <c r="DB41" s="20" t="n"/>
      <c r="DC41" s="20" t="n"/>
      <c r="DD41" s="20" t="n"/>
      <c r="DE41" s="20" t="n"/>
      <c r="DF41" s="20" t="n"/>
      <c r="DG41" s="20" t="n"/>
      <c r="DH41" s="20" t="n"/>
      <c r="DI41" s="20" t="n"/>
      <c r="DJ41" s="20" t="n"/>
      <c r="DK41" s="20" t="n"/>
      <c r="DL41" s="20" t="n"/>
      <c r="DM41" s="20" t="n"/>
      <c r="DN41" s="20" t="n"/>
      <c r="DO41" s="20" t="n"/>
      <c r="DP41" s="20" t="n"/>
      <c r="DQ41" s="20" t="n"/>
      <c r="DR41" s="20" t="n"/>
      <c r="DS41" s="3">
        <f>SUM(C41:L41)*Inicio!$W$4</f>
        <v/>
      </c>
      <c r="DT41" s="3">
        <f>SUM(M41:V41)*Inicio!$W$5</f>
        <v/>
      </c>
      <c r="DU41" s="3">
        <f>SUM(W41:AF41)*Inicio!$W$6</f>
        <v/>
      </c>
      <c r="DV41" s="3">
        <f>SUM(AG41:AP41)*Inicio!$W$7</f>
        <v/>
      </c>
      <c r="DW41" s="3">
        <f>SUM(AQ41:AZ41)*Inicio!$W$8</f>
        <v/>
      </c>
      <c r="DX41" s="3">
        <f>SUM(BA41:BJ41)*Inicio!$W$9</f>
        <v/>
      </c>
      <c r="DY41" s="3">
        <f>SUM(BK41:BT41)*Inicio!$W$10</f>
        <v/>
      </c>
      <c r="DZ41" s="3">
        <f>SUM(BU41:CD41)*Inicio!$W$11</f>
        <v/>
      </c>
      <c r="EA41" s="3">
        <f>SUM(CE41:CN41)*Inicio!$W$12</f>
        <v/>
      </c>
      <c r="EB41" s="3">
        <f>SUM(CO41:CX41)*Inicio!$W$13</f>
        <v/>
      </c>
      <c r="EC41" s="3">
        <f>SUM(CY41:DH41)*Inicio!$W$11</f>
        <v/>
      </c>
      <c r="ED41" s="3">
        <f>SUM(DI41:DR41)*Inicio!$W$12</f>
        <v/>
      </c>
      <c r="EE41" s="3">
        <f>SUM(C41:DR41)</f>
        <v/>
      </c>
      <c r="EF41" s="3">
        <f>SUM(EE38:EE41)</f>
        <v/>
      </c>
      <c r="EG41" s="3">
        <f>SUM(DS41:ED41)</f>
        <v/>
      </c>
      <c r="EH41" s="3">
        <f>SUM(EG38:EG41)</f>
        <v/>
      </c>
    </row>
    <row r="42" ht="20.25" customHeight="1">
      <c r="B42" s="28" t="inlineStr">
        <is>
          <t>08:15 - 08:30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  <c r="CA42" s="21" t="n"/>
      <c r="CB42" s="21" t="n"/>
      <c r="CC42" s="21" t="n"/>
      <c r="CD42" s="21" t="n"/>
      <c r="CE42" s="21" t="n"/>
      <c r="CF42" s="21" t="n"/>
      <c r="CG42" s="21" t="n"/>
      <c r="CH42" s="21" t="n"/>
      <c r="CI42" s="21" t="n"/>
      <c r="CJ42" s="21" t="n"/>
      <c r="CK42" s="21" t="n"/>
      <c r="CL42" s="21" t="n"/>
      <c r="CM42" s="21" t="n"/>
      <c r="CN42" s="21" t="n"/>
      <c r="CO42" s="21" t="n"/>
      <c r="CP42" s="21" t="n"/>
      <c r="CQ42" s="21" t="n"/>
      <c r="CR42" s="21" t="n"/>
      <c r="CS42" s="21" t="n"/>
      <c r="CT42" s="21" t="n"/>
      <c r="CU42" s="21" t="n"/>
      <c r="CV42" s="21" t="n"/>
      <c r="CW42" s="21" t="n"/>
      <c r="CX42" s="21" t="n"/>
      <c r="CY42" s="21" t="n"/>
      <c r="CZ42" s="21" t="n"/>
      <c r="DA42" s="21" t="n"/>
      <c r="DB42" s="21" t="n"/>
      <c r="DC42" s="21" t="n"/>
      <c r="DD42" s="21" t="n"/>
      <c r="DE42" s="21" t="n"/>
      <c r="DF42" s="21" t="n"/>
      <c r="DG42" s="21" t="n"/>
      <c r="DH42" s="21" t="n"/>
      <c r="DI42" s="21" t="n"/>
      <c r="DJ42" s="21" t="n"/>
      <c r="DK42" s="21" t="n"/>
      <c r="DL42" s="21" t="n"/>
      <c r="DM42" s="21" t="n"/>
      <c r="DN42" s="21" t="n"/>
      <c r="DO42" s="21" t="n"/>
      <c r="DP42" s="21" t="n"/>
      <c r="DQ42" s="21" t="n"/>
      <c r="DR42" s="21" t="n"/>
      <c r="DS42" s="4">
        <f>SUM(C42:L42)*Inicio!$W$4</f>
        <v/>
      </c>
      <c r="DT42" s="4">
        <f>SUM(M42:V42)*Inicio!$W$5</f>
        <v/>
      </c>
      <c r="DU42" s="4">
        <f>SUM(W42:AF42)*Inicio!$W$6</f>
        <v/>
      </c>
      <c r="DV42" s="4">
        <f>SUM(AG42:AP42)*Inicio!$W$7</f>
        <v/>
      </c>
      <c r="DW42" s="4">
        <f>SUM(AQ42:AZ42)*Inicio!$W$8</f>
        <v/>
      </c>
      <c r="DX42" s="4">
        <f>SUM(BA42:BJ42)*Inicio!$W$9</f>
        <v/>
      </c>
      <c r="DY42" s="4">
        <f>SUM(BK42:BT42)*Inicio!$W$10</f>
        <v/>
      </c>
      <c r="DZ42" s="4">
        <f>SUM(BU42:CD42)*Inicio!$W$11</f>
        <v/>
      </c>
      <c r="EA42" s="4">
        <f>SUM(CE42:CN42)*Inicio!$W$12</f>
        <v/>
      </c>
      <c r="EB42" s="4">
        <f>SUM(CO42:CX42)*Inicio!$W$13</f>
        <v/>
      </c>
      <c r="EC42" s="4">
        <f>SUM(CY42:DH42)*Inicio!$W$11</f>
        <v/>
      </c>
      <c r="ED42" s="4">
        <f>SUM(DI42:DR42)*Inicio!$W$12</f>
        <v/>
      </c>
      <c r="EE42" s="4">
        <f>SUM(C42:DR42)</f>
        <v/>
      </c>
      <c r="EF42" s="4">
        <f>SUM(EE39:EE42)</f>
        <v/>
      </c>
      <c r="EG42" s="4">
        <f>SUM(DS42:ED42)</f>
        <v/>
      </c>
      <c r="EH42" s="4">
        <f>SUM(EG39:EG42)</f>
        <v/>
      </c>
    </row>
    <row r="43" ht="20.25" customHeight="1">
      <c r="B43" s="28" t="inlineStr">
        <is>
          <t>08:30 - 08:45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  <c r="CA43" s="21" t="n"/>
      <c r="CB43" s="21" t="n"/>
      <c r="CC43" s="21" t="n"/>
      <c r="CD43" s="21" t="n"/>
      <c r="CE43" s="21" t="n"/>
      <c r="CF43" s="21" t="n"/>
      <c r="CG43" s="21" t="n"/>
      <c r="CH43" s="21" t="n"/>
      <c r="CI43" s="21" t="n"/>
      <c r="CJ43" s="21" t="n"/>
      <c r="CK43" s="21" t="n"/>
      <c r="CL43" s="21" t="n"/>
      <c r="CM43" s="21" t="n"/>
      <c r="CN43" s="21" t="n"/>
      <c r="CO43" s="21" t="n"/>
      <c r="CP43" s="21" t="n"/>
      <c r="CQ43" s="21" t="n"/>
      <c r="CR43" s="21" t="n"/>
      <c r="CS43" s="21" t="n"/>
      <c r="CT43" s="21" t="n"/>
      <c r="CU43" s="21" t="n"/>
      <c r="CV43" s="21" t="n"/>
      <c r="CW43" s="21" t="n"/>
      <c r="CX43" s="21" t="n"/>
      <c r="CY43" s="21" t="n"/>
      <c r="CZ43" s="21" t="n"/>
      <c r="DA43" s="21" t="n"/>
      <c r="DB43" s="21" t="n"/>
      <c r="DC43" s="21" t="n"/>
      <c r="DD43" s="21" t="n"/>
      <c r="DE43" s="21" t="n"/>
      <c r="DF43" s="21" t="n"/>
      <c r="DG43" s="21" t="n"/>
      <c r="DH43" s="21" t="n"/>
      <c r="DI43" s="21" t="n"/>
      <c r="DJ43" s="21" t="n"/>
      <c r="DK43" s="21" t="n"/>
      <c r="DL43" s="21" t="n"/>
      <c r="DM43" s="21" t="n"/>
      <c r="DN43" s="21" t="n"/>
      <c r="DO43" s="21" t="n"/>
      <c r="DP43" s="21" t="n"/>
      <c r="DQ43" s="21" t="n"/>
      <c r="DR43" s="21" t="n"/>
      <c r="DS43" s="4">
        <f>SUM(C43:L43)*Inicio!$W$4</f>
        <v/>
      </c>
      <c r="DT43" s="4">
        <f>SUM(M43:V43)*Inicio!$W$5</f>
        <v/>
      </c>
      <c r="DU43" s="4">
        <f>SUM(W43:AF43)*Inicio!$W$6</f>
        <v/>
      </c>
      <c r="DV43" s="4">
        <f>SUM(AG43:AP43)*Inicio!$W$7</f>
        <v/>
      </c>
      <c r="DW43" s="4">
        <f>SUM(AQ43:AZ43)*Inicio!$W$8</f>
        <v/>
      </c>
      <c r="DX43" s="4">
        <f>SUM(BA43:BJ43)*Inicio!$W$9</f>
        <v/>
      </c>
      <c r="DY43" s="4">
        <f>SUM(BK43:BT43)*Inicio!$W$10</f>
        <v/>
      </c>
      <c r="DZ43" s="4">
        <f>SUM(BU43:CD43)*Inicio!$W$11</f>
        <v/>
      </c>
      <c r="EA43" s="4">
        <f>SUM(CE43:CN43)*Inicio!$W$12</f>
        <v/>
      </c>
      <c r="EB43" s="4">
        <f>SUM(CO43:CX43)*Inicio!$W$13</f>
        <v/>
      </c>
      <c r="EC43" s="4">
        <f>SUM(CY43:DH43)*Inicio!$W$11</f>
        <v/>
      </c>
      <c r="ED43" s="4">
        <f>SUM(DI43:DR43)*Inicio!$W$12</f>
        <v/>
      </c>
      <c r="EE43" s="4">
        <f>SUM(C43:DR43)</f>
        <v/>
      </c>
      <c r="EF43" s="4">
        <f>SUM(EE40:EE43)</f>
        <v/>
      </c>
      <c r="EG43" s="4">
        <f>SUM(DS43:ED43)</f>
        <v/>
      </c>
      <c r="EH43" s="4">
        <f>SUM(EG40:EG43)</f>
        <v/>
      </c>
    </row>
    <row r="44" ht="20.25" customHeight="1">
      <c r="B44" s="26" t="inlineStr">
        <is>
          <t>08:45 - 09:00</t>
        </is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/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5">
        <f>SUM(C44:L44)*Inicio!$W$4</f>
        <v/>
      </c>
      <c r="DT44" s="5">
        <f>SUM(M44:V44)*Inicio!$W$5</f>
        <v/>
      </c>
      <c r="DU44" s="5">
        <f>SUM(W44:AF44)*Inicio!$W$6</f>
        <v/>
      </c>
      <c r="DV44" s="5">
        <f>SUM(AG44:AP44)*Inicio!$W$7</f>
        <v/>
      </c>
      <c r="DW44" s="5">
        <f>SUM(AQ44:AZ44)*Inicio!$W$8</f>
        <v/>
      </c>
      <c r="DX44" s="5">
        <f>SUM(BA44:BJ44)*Inicio!$W$9</f>
        <v/>
      </c>
      <c r="DY44" s="5">
        <f>SUM(BK44:BT44)*Inicio!$W$10</f>
        <v/>
      </c>
      <c r="DZ44" s="5">
        <f>SUM(BU44:CD44)*Inicio!$W$11</f>
        <v/>
      </c>
      <c r="EA44" s="5">
        <f>SUM(CE44:CN44)*Inicio!$W$12</f>
        <v/>
      </c>
      <c r="EB44" s="5">
        <f>SUM(CO44:CX44)*Inicio!$W$13</f>
        <v/>
      </c>
      <c r="EC44" s="5">
        <f>SUM(CY44:DH44)*Inicio!$W$11</f>
        <v/>
      </c>
      <c r="ED44" s="5">
        <f>SUM(DI44:DR44)*Inicio!$W$12</f>
        <v/>
      </c>
      <c r="EE44" s="5">
        <f>SUM(C44:DR44)</f>
        <v/>
      </c>
      <c r="EF44" s="5">
        <f>SUM(EE41:EE44)</f>
        <v/>
      </c>
      <c r="EG44" s="5">
        <f>SUM(DS44:ED44)</f>
        <v/>
      </c>
      <c r="EH44" s="5">
        <f>SUM(EG41:EG44)</f>
        <v/>
      </c>
    </row>
    <row r="45" ht="20.25" customHeight="1">
      <c r="B45" s="27" t="inlineStr">
        <is>
          <t>09:00 - 09:15</t>
        </is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  <c r="BB45" s="20" t="n"/>
      <c r="BC45" s="20" t="n"/>
      <c r="BD45" s="20" t="n"/>
      <c r="BE45" s="20" t="n"/>
      <c r="BF45" s="20" t="n"/>
      <c r="BG45" s="20" t="n"/>
      <c r="BH45" s="20" t="n"/>
      <c r="BI45" s="20" t="n"/>
      <c r="BJ45" s="20" t="n"/>
      <c r="BK45" s="20" t="n"/>
      <c r="BL45" s="20" t="n"/>
      <c r="BM45" s="20" t="n"/>
      <c r="BN45" s="20" t="n"/>
      <c r="BO45" s="20" t="n"/>
      <c r="BP45" s="20" t="n"/>
      <c r="BQ45" s="20" t="n"/>
      <c r="BR45" s="20" t="n"/>
      <c r="BS45" s="20" t="n"/>
      <c r="BT45" s="20" t="n"/>
      <c r="BU45" s="20" t="n"/>
      <c r="BV45" s="20" t="n"/>
      <c r="BW45" s="20" t="n"/>
      <c r="BX45" s="20" t="n"/>
      <c r="BY45" s="20" t="n"/>
      <c r="BZ45" s="20" t="n"/>
      <c r="CA45" s="20" t="n"/>
      <c r="CB45" s="20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0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0" t="n"/>
      <c r="CZ45" s="20" t="n"/>
      <c r="DA45" s="20" t="n"/>
      <c r="DB45" s="20" t="n"/>
      <c r="DC45" s="20" t="n"/>
      <c r="DD45" s="20" t="n"/>
      <c r="DE45" s="20" t="n"/>
      <c r="DF45" s="20" t="n"/>
      <c r="DG45" s="20" t="n"/>
      <c r="DH45" s="20" t="n"/>
      <c r="DI45" s="20" t="n"/>
      <c r="DJ45" s="20" t="n"/>
      <c r="DK45" s="20" t="n"/>
      <c r="DL45" s="20" t="n"/>
      <c r="DM45" s="20" t="n"/>
      <c r="DN45" s="20" t="n"/>
      <c r="DO45" s="20" t="n"/>
      <c r="DP45" s="20" t="n"/>
      <c r="DQ45" s="20" t="n"/>
      <c r="DR45" s="20" t="n"/>
      <c r="DS45" s="3">
        <f>SUM(C45:L45)*Inicio!$W$4</f>
        <v/>
      </c>
      <c r="DT45" s="3">
        <f>SUM(M45:V45)*Inicio!$W$5</f>
        <v/>
      </c>
      <c r="DU45" s="3">
        <f>SUM(W45:AF45)*Inicio!$W$6</f>
        <v/>
      </c>
      <c r="DV45" s="3">
        <f>SUM(AG45:AP45)*Inicio!$W$7</f>
        <v/>
      </c>
      <c r="DW45" s="3">
        <f>SUM(AQ45:AZ45)*Inicio!$W$8</f>
        <v/>
      </c>
      <c r="DX45" s="3">
        <f>SUM(BA45:BJ45)*Inicio!$W$9</f>
        <v/>
      </c>
      <c r="DY45" s="3">
        <f>SUM(BK45:BT45)*Inicio!$W$10</f>
        <v/>
      </c>
      <c r="DZ45" s="3">
        <f>SUM(BU45:CD45)*Inicio!$W$11</f>
        <v/>
      </c>
      <c r="EA45" s="3">
        <f>SUM(CE45:CN45)*Inicio!$W$12</f>
        <v/>
      </c>
      <c r="EB45" s="3">
        <f>SUM(CO45:CX45)*Inicio!$W$13</f>
        <v/>
      </c>
      <c r="EC45" s="3">
        <f>SUM(CY45:DH45)*Inicio!$W$11</f>
        <v/>
      </c>
      <c r="ED45" s="3">
        <f>SUM(DI45:DR45)*Inicio!$W$12</f>
        <v/>
      </c>
      <c r="EE45" s="3">
        <f>SUM(C45:DR45)</f>
        <v/>
      </c>
      <c r="EF45" s="3">
        <f>SUM(EE42:EE45)</f>
        <v/>
      </c>
      <c r="EG45" s="3">
        <f>SUM(DS45:ED45)</f>
        <v/>
      </c>
      <c r="EH45" s="3">
        <f>SUM(EG42:EG45)</f>
        <v/>
      </c>
    </row>
    <row r="46" ht="20.25" customHeight="1">
      <c r="B46" s="28" t="inlineStr">
        <is>
          <t>09:15 - 09:30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  <c r="CZ46" s="21" t="n"/>
      <c r="DA46" s="21" t="n"/>
      <c r="DB46" s="21" t="n"/>
      <c r="DC46" s="21" t="n"/>
      <c r="DD46" s="21" t="n"/>
      <c r="DE46" s="21" t="n"/>
      <c r="DF46" s="21" t="n"/>
      <c r="DG46" s="21" t="n"/>
      <c r="DH46" s="21" t="n"/>
      <c r="DI46" s="21" t="n"/>
      <c r="DJ46" s="21" t="n"/>
      <c r="DK46" s="21" t="n"/>
      <c r="DL46" s="21" t="n"/>
      <c r="DM46" s="21" t="n"/>
      <c r="DN46" s="21" t="n"/>
      <c r="DO46" s="21" t="n"/>
      <c r="DP46" s="21" t="n"/>
      <c r="DQ46" s="21" t="n"/>
      <c r="DR46" s="21" t="n"/>
      <c r="DS46" s="4">
        <f>SUM(C46:L46)*Inicio!$W$4</f>
        <v/>
      </c>
      <c r="DT46" s="4">
        <f>SUM(M46:V46)*Inicio!$W$5</f>
        <v/>
      </c>
      <c r="DU46" s="4">
        <f>SUM(W46:AF46)*Inicio!$W$6</f>
        <v/>
      </c>
      <c r="DV46" s="4">
        <f>SUM(AG46:AP46)*Inicio!$W$7</f>
        <v/>
      </c>
      <c r="DW46" s="4">
        <f>SUM(AQ46:AZ46)*Inicio!$W$8</f>
        <v/>
      </c>
      <c r="DX46" s="4">
        <f>SUM(BA46:BJ46)*Inicio!$W$9</f>
        <v/>
      </c>
      <c r="DY46" s="4">
        <f>SUM(BK46:BT46)*Inicio!$W$10</f>
        <v/>
      </c>
      <c r="DZ46" s="4">
        <f>SUM(BU46:CD46)*Inicio!$W$11</f>
        <v/>
      </c>
      <c r="EA46" s="4">
        <f>SUM(CE46:CN46)*Inicio!$W$12</f>
        <v/>
      </c>
      <c r="EB46" s="4">
        <f>SUM(CO46:CX46)*Inicio!$W$13</f>
        <v/>
      </c>
      <c r="EC46" s="4">
        <f>SUM(CY46:DH46)*Inicio!$W$11</f>
        <v/>
      </c>
      <c r="ED46" s="4">
        <f>SUM(DI46:DR46)*Inicio!$W$12</f>
        <v/>
      </c>
      <c r="EE46" s="4">
        <f>SUM(C46:DR46)</f>
        <v/>
      </c>
      <c r="EF46" s="4">
        <f>SUM(EE43:EE46)</f>
        <v/>
      </c>
      <c r="EG46" s="4">
        <f>SUM(DS46:ED46)</f>
        <v/>
      </c>
      <c r="EH46" s="4">
        <f>SUM(EG43:EG46)</f>
        <v/>
      </c>
    </row>
    <row r="47" ht="20.25" customHeight="1">
      <c r="B47" s="28" t="inlineStr">
        <is>
          <t>09:30 - 09:45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  <c r="CZ47" s="21" t="n"/>
      <c r="DA47" s="21" t="n"/>
      <c r="DB47" s="21" t="n"/>
      <c r="DC47" s="21" t="n"/>
      <c r="DD47" s="21" t="n"/>
      <c r="DE47" s="21" t="n"/>
      <c r="DF47" s="21" t="n"/>
      <c r="DG47" s="21" t="n"/>
      <c r="DH47" s="21" t="n"/>
      <c r="DI47" s="21" t="n"/>
      <c r="DJ47" s="21" t="n"/>
      <c r="DK47" s="21" t="n"/>
      <c r="DL47" s="21" t="n"/>
      <c r="DM47" s="21" t="n"/>
      <c r="DN47" s="21" t="n"/>
      <c r="DO47" s="21" t="n"/>
      <c r="DP47" s="21" t="n"/>
      <c r="DQ47" s="21" t="n"/>
      <c r="DR47" s="21" t="n"/>
      <c r="DS47" s="4">
        <f>SUM(C47:L47)*Inicio!$W$4</f>
        <v/>
      </c>
      <c r="DT47" s="4">
        <f>SUM(M47:V47)*Inicio!$W$5</f>
        <v/>
      </c>
      <c r="DU47" s="4">
        <f>SUM(W47:AF47)*Inicio!$W$6</f>
        <v/>
      </c>
      <c r="DV47" s="4">
        <f>SUM(AG47:AP47)*Inicio!$W$7</f>
        <v/>
      </c>
      <c r="DW47" s="4">
        <f>SUM(AQ47:AZ47)*Inicio!$W$8</f>
        <v/>
      </c>
      <c r="DX47" s="4">
        <f>SUM(BA47:BJ47)*Inicio!$W$9</f>
        <v/>
      </c>
      <c r="DY47" s="4">
        <f>SUM(BK47:BT47)*Inicio!$W$10</f>
        <v/>
      </c>
      <c r="DZ47" s="4">
        <f>SUM(BU47:CD47)*Inicio!$W$11</f>
        <v/>
      </c>
      <c r="EA47" s="4">
        <f>SUM(CE47:CN47)*Inicio!$W$12</f>
        <v/>
      </c>
      <c r="EB47" s="4">
        <f>SUM(CO47:CX47)*Inicio!$W$13</f>
        <v/>
      </c>
      <c r="EC47" s="4">
        <f>SUM(CY47:DH47)*Inicio!$W$11</f>
        <v/>
      </c>
      <c r="ED47" s="4">
        <f>SUM(DI47:DR47)*Inicio!$W$12</f>
        <v/>
      </c>
      <c r="EE47" s="4">
        <f>SUM(C47:DR47)</f>
        <v/>
      </c>
      <c r="EF47" s="4">
        <f>SUM(EE44:EE47)</f>
        <v/>
      </c>
      <c r="EG47" s="4">
        <f>SUM(DS47:ED47)</f>
        <v/>
      </c>
      <c r="EH47" s="4">
        <f>SUM(EG44:EG47)</f>
        <v/>
      </c>
    </row>
    <row r="48" ht="20.25" customHeight="1">
      <c r="B48" s="26" t="inlineStr">
        <is>
          <t>09:45 - 10:00</t>
        </is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/>
      <c r="AV48" s="22" t="n"/>
      <c r="AW48" s="22" t="n"/>
      <c r="AX48" s="22" t="n"/>
      <c r="AY48" s="22" t="n"/>
      <c r="AZ48" s="22" t="n"/>
      <c r="BA48" s="22" t="n"/>
      <c r="BB48" s="22" t="n"/>
      <c r="BC48" s="22" t="n"/>
      <c r="BD48" s="22" t="n"/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/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5">
        <f>SUM(C48:L48)*Inicio!$W$4</f>
        <v/>
      </c>
      <c r="DT48" s="5">
        <f>SUM(M48:V48)*Inicio!$W$5</f>
        <v/>
      </c>
      <c r="DU48" s="5">
        <f>SUM(W48:AF48)*Inicio!$W$6</f>
        <v/>
      </c>
      <c r="DV48" s="5">
        <f>SUM(AG48:AP48)*Inicio!$W$7</f>
        <v/>
      </c>
      <c r="DW48" s="5">
        <f>SUM(AQ48:AZ48)*Inicio!$W$8</f>
        <v/>
      </c>
      <c r="DX48" s="5">
        <f>SUM(BA48:BJ48)*Inicio!$W$9</f>
        <v/>
      </c>
      <c r="DY48" s="5">
        <f>SUM(BK48:BT48)*Inicio!$W$10</f>
        <v/>
      </c>
      <c r="DZ48" s="5">
        <f>SUM(BU48:CD48)*Inicio!$W$11</f>
        <v/>
      </c>
      <c r="EA48" s="5">
        <f>SUM(CE48:CN48)*Inicio!$W$12</f>
        <v/>
      </c>
      <c r="EB48" s="5">
        <f>SUM(CO48:CX48)*Inicio!$W$13</f>
        <v/>
      </c>
      <c r="EC48" s="5">
        <f>SUM(CY48:DH48)*Inicio!$W$11</f>
        <v/>
      </c>
      <c r="ED48" s="5">
        <f>SUM(DI48:DR48)*Inicio!$W$12</f>
        <v/>
      </c>
      <c r="EE48" s="5">
        <f>SUM(C48:DR48)</f>
        <v/>
      </c>
      <c r="EF48" s="5">
        <f>SUM(EE45:EE48)</f>
        <v/>
      </c>
      <c r="EG48" s="5">
        <f>SUM(DS48:ED48)</f>
        <v/>
      </c>
      <c r="EH48" s="5">
        <f>SUM(EG45:EG48)</f>
        <v/>
      </c>
    </row>
    <row r="49" ht="20.25" customHeight="1">
      <c r="B49" s="27" t="inlineStr">
        <is>
          <t>10:00 - 10:15</t>
        </is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  <c r="BB49" s="20" t="n"/>
      <c r="BC49" s="20" t="n"/>
      <c r="BD49" s="20" t="n"/>
      <c r="BE49" s="20" t="n"/>
      <c r="BF49" s="20" t="n"/>
      <c r="BG49" s="20" t="n"/>
      <c r="BH49" s="20" t="n"/>
      <c r="BI49" s="20" t="n"/>
      <c r="BJ49" s="20" t="n"/>
      <c r="BK49" s="20" t="n"/>
      <c r="BL49" s="20" t="n"/>
      <c r="BM49" s="20" t="n"/>
      <c r="BN49" s="20" t="n"/>
      <c r="BO49" s="20" t="n"/>
      <c r="BP49" s="20" t="n"/>
      <c r="BQ49" s="20" t="n"/>
      <c r="BR49" s="20" t="n"/>
      <c r="BS49" s="20" t="n"/>
      <c r="BT49" s="20" t="n"/>
      <c r="BU49" s="20" t="n"/>
      <c r="BV49" s="20" t="n"/>
      <c r="BW49" s="20" t="n"/>
      <c r="BX49" s="20" t="n"/>
      <c r="BY49" s="20" t="n"/>
      <c r="BZ49" s="20" t="n"/>
      <c r="CA49" s="20" t="n"/>
      <c r="CB49" s="20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20" t="n"/>
      <c r="CN49" s="20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0" t="n"/>
      <c r="CZ49" s="20" t="n"/>
      <c r="DA49" s="20" t="n"/>
      <c r="DB49" s="20" t="n"/>
      <c r="DC49" s="20" t="n"/>
      <c r="DD49" s="20" t="n"/>
      <c r="DE49" s="20" t="n"/>
      <c r="DF49" s="20" t="n"/>
      <c r="DG49" s="20" t="n"/>
      <c r="DH49" s="20" t="n"/>
      <c r="DI49" s="20" t="n"/>
      <c r="DJ49" s="20" t="n"/>
      <c r="DK49" s="20" t="n"/>
      <c r="DL49" s="20" t="n"/>
      <c r="DM49" s="20" t="n"/>
      <c r="DN49" s="20" t="n"/>
      <c r="DO49" s="20" t="n"/>
      <c r="DP49" s="20" t="n"/>
      <c r="DQ49" s="20" t="n"/>
      <c r="DR49" s="20" t="n"/>
      <c r="DS49" s="3">
        <f>SUM(C49:L49)*Inicio!$W$4</f>
        <v/>
      </c>
      <c r="DT49" s="3">
        <f>SUM(M49:V49)*Inicio!$W$5</f>
        <v/>
      </c>
      <c r="DU49" s="3">
        <f>SUM(W49:AF49)*Inicio!$W$6</f>
        <v/>
      </c>
      <c r="DV49" s="3">
        <f>SUM(AG49:AP49)*Inicio!$W$7</f>
        <v/>
      </c>
      <c r="DW49" s="3">
        <f>SUM(AQ49:AZ49)*Inicio!$W$8</f>
        <v/>
      </c>
      <c r="DX49" s="3">
        <f>SUM(BA49:BJ49)*Inicio!$W$9</f>
        <v/>
      </c>
      <c r="DY49" s="3">
        <f>SUM(BK49:BT49)*Inicio!$W$10</f>
        <v/>
      </c>
      <c r="DZ49" s="3">
        <f>SUM(BU49:CD49)*Inicio!$W$11</f>
        <v/>
      </c>
      <c r="EA49" s="3">
        <f>SUM(CE49:CN49)*Inicio!$W$12</f>
        <v/>
      </c>
      <c r="EB49" s="3">
        <f>SUM(CO49:CX49)*Inicio!$W$13</f>
        <v/>
      </c>
      <c r="EC49" s="3">
        <f>SUM(CY49:DH49)*Inicio!$W$11</f>
        <v/>
      </c>
      <c r="ED49" s="3">
        <f>SUM(DI49:DR49)*Inicio!$W$12</f>
        <v/>
      </c>
      <c r="EE49" s="3">
        <f>SUM(C49:DR49)</f>
        <v/>
      </c>
      <c r="EF49" s="3">
        <f>SUM(EE46:EE49)</f>
        <v/>
      </c>
      <c r="EG49" s="3">
        <f>SUM(DS49:ED49)</f>
        <v/>
      </c>
      <c r="EH49" s="3">
        <f>SUM(EG46:EG49)</f>
        <v/>
      </c>
    </row>
    <row r="50" ht="20.25" customHeight="1">
      <c r="B50" s="28" t="inlineStr">
        <is>
          <t>10:15 - 10:30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  <c r="AU50" s="21" t="n"/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  <c r="BL50" s="21" t="n"/>
      <c r="BM50" s="21" t="n"/>
      <c r="BN50" s="21" t="n"/>
      <c r="BO50" s="21" t="n"/>
      <c r="BP50" s="21" t="n"/>
      <c r="BQ50" s="21" t="n"/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  <c r="CA50" s="21" t="n"/>
      <c r="CB50" s="21" t="n"/>
      <c r="CC50" s="21" t="n"/>
      <c r="CD50" s="21" t="n"/>
      <c r="CE50" s="21" t="n"/>
      <c r="CF50" s="21" t="n"/>
      <c r="CG50" s="21" t="n"/>
      <c r="CH50" s="21" t="n"/>
      <c r="CI50" s="21" t="n"/>
      <c r="CJ50" s="21" t="n"/>
      <c r="CK50" s="21" t="n"/>
      <c r="CL50" s="21" t="n"/>
      <c r="CM50" s="21" t="n"/>
      <c r="CN50" s="21" t="n"/>
      <c r="CO50" s="21" t="n"/>
      <c r="CP50" s="21" t="n"/>
      <c r="CQ50" s="21" t="n"/>
      <c r="CR50" s="21" t="n"/>
      <c r="CS50" s="21" t="n"/>
      <c r="CT50" s="21" t="n"/>
      <c r="CU50" s="21" t="n"/>
      <c r="CV50" s="21" t="n"/>
      <c r="CW50" s="21" t="n"/>
      <c r="CX50" s="21" t="n"/>
      <c r="CY50" s="21" t="n"/>
      <c r="CZ50" s="21" t="n"/>
      <c r="DA50" s="21" t="n"/>
      <c r="DB50" s="21" t="n"/>
      <c r="DC50" s="21" t="n"/>
      <c r="DD50" s="21" t="n"/>
      <c r="DE50" s="21" t="n"/>
      <c r="DF50" s="21" t="n"/>
      <c r="DG50" s="21" t="n"/>
      <c r="DH50" s="21" t="n"/>
      <c r="DI50" s="21" t="n"/>
      <c r="DJ50" s="21" t="n"/>
      <c r="DK50" s="21" t="n"/>
      <c r="DL50" s="21" t="n"/>
      <c r="DM50" s="21" t="n"/>
      <c r="DN50" s="21" t="n"/>
      <c r="DO50" s="21" t="n"/>
      <c r="DP50" s="21" t="n"/>
      <c r="DQ50" s="21" t="n"/>
      <c r="DR50" s="21" t="n"/>
      <c r="DS50" s="4">
        <f>SUM(C50:L50)*Inicio!$W$4</f>
        <v/>
      </c>
      <c r="DT50" s="4">
        <f>SUM(M50:V50)*Inicio!$W$5</f>
        <v/>
      </c>
      <c r="DU50" s="4">
        <f>SUM(W50:AF50)*Inicio!$W$6</f>
        <v/>
      </c>
      <c r="DV50" s="4">
        <f>SUM(AG50:AP50)*Inicio!$W$7</f>
        <v/>
      </c>
      <c r="DW50" s="4">
        <f>SUM(AQ50:AZ50)*Inicio!$W$8</f>
        <v/>
      </c>
      <c r="DX50" s="4">
        <f>SUM(BA50:BJ50)*Inicio!$W$9</f>
        <v/>
      </c>
      <c r="DY50" s="4">
        <f>SUM(BK50:BT50)*Inicio!$W$10</f>
        <v/>
      </c>
      <c r="DZ50" s="4">
        <f>SUM(BU50:CD50)*Inicio!$W$11</f>
        <v/>
      </c>
      <c r="EA50" s="4">
        <f>SUM(CE50:CN50)*Inicio!$W$12</f>
        <v/>
      </c>
      <c r="EB50" s="4">
        <f>SUM(CO50:CX50)*Inicio!$W$13</f>
        <v/>
      </c>
      <c r="EC50" s="4">
        <f>SUM(CY50:DH50)*Inicio!$W$11</f>
        <v/>
      </c>
      <c r="ED50" s="4">
        <f>SUM(DI50:DR50)*Inicio!$W$12</f>
        <v/>
      </c>
      <c r="EE50" s="4">
        <f>SUM(C50:DR50)</f>
        <v/>
      </c>
      <c r="EF50" s="4">
        <f>SUM(EE47:EE50)</f>
        <v/>
      </c>
      <c r="EG50" s="4">
        <f>SUM(DS50:ED50)</f>
        <v/>
      </c>
      <c r="EH50" s="4">
        <f>SUM(EG47:EG50)</f>
        <v/>
      </c>
    </row>
    <row r="51" ht="20.25" customHeight="1">
      <c r="B51" s="28" t="inlineStr">
        <is>
          <t>10:30 - 10:45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  <c r="AU51" s="21" t="n"/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  <c r="BL51" s="21" t="n"/>
      <c r="BM51" s="21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  <c r="CA51" s="21" t="n"/>
      <c r="CB51" s="21" t="n"/>
      <c r="CC51" s="21" t="n"/>
      <c r="CD51" s="21" t="n"/>
      <c r="CE51" s="21" t="n"/>
      <c r="CF51" s="21" t="n"/>
      <c r="CG51" s="21" t="n"/>
      <c r="CH51" s="21" t="n"/>
      <c r="CI51" s="21" t="n"/>
      <c r="CJ51" s="21" t="n"/>
      <c r="CK51" s="21" t="n"/>
      <c r="CL51" s="21" t="n"/>
      <c r="CM51" s="21" t="n"/>
      <c r="CN51" s="21" t="n"/>
      <c r="CO51" s="21" t="n"/>
      <c r="CP51" s="21" t="n"/>
      <c r="CQ51" s="21" t="n"/>
      <c r="CR51" s="21" t="n"/>
      <c r="CS51" s="21" t="n"/>
      <c r="CT51" s="21" t="n"/>
      <c r="CU51" s="21" t="n"/>
      <c r="CV51" s="21" t="n"/>
      <c r="CW51" s="21" t="n"/>
      <c r="CX51" s="21" t="n"/>
      <c r="CY51" s="21" t="n"/>
      <c r="CZ51" s="21" t="n"/>
      <c r="DA51" s="21" t="n"/>
      <c r="DB51" s="21" t="n"/>
      <c r="DC51" s="21" t="n"/>
      <c r="DD51" s="21" t="n"/>
      <c r="DE51" s="21" t="n"/>
      <c r="DF51" s="21" t="n"/>
      <c r="DG51" s="21" t="n"/>
      <c r="DH51" s="21" t="n"/>
      <c r="DI51" s="21" t="n"/>
      <c r="DJ51" s="21" t="n"/>
      <c r="DK51" s="21" t="n"/>
      <c r="DL51" s="21" t="n"/>
      <c r="DM51" s="21" t="n"/>
      <c r="DN51" s="21" t="n"/>
      <c r="DO51" s="21" t="n"/>
      <c r="DP51" s="21" t="n"/>
      <c r="DQ51" s="21" t="n"/>
      <c r="DR51" s="21" t="n"/>
      <c r="DS51" s="4">
        <f>SUM(C51:L51)*Inicio!$W$4</f>
        <v/>
      </c>
      <c r="DT51" s="4">
        <f>SUM(M51:V51)*Inicio!$W$5</f>
        <v/>
      </c>
      <c r="DU51" s="4">
        <f>SUM(W51:AF51)*Inicio!$W$6</f>
        <v/>
      </c>
      <c r="DV51" s="4">
        <f>SUM(AG51:AP51)*Inicio!$W$7</f>
        <v/>
      </c>
      <c r="DW51" s="4">
        <f>SUM(AQ51:AZ51)*Inicio!$W$8</f>
        <v/>
      </c>
      <c r="DX51" s="4">
        <f>SUM(BA51:BJ51)*Inicio!$W$9</f>
        <v/>
      </c>
      <c r="DY51" s="4">
        <f>SUM(BK51:BT51)*Inicio!$W$10</f>
        <v/>
      </c>
      <c r="DZ51" s="4">
        <f>SUM(BU51:CD51)*Inicio!$W$11</f>
        <v/>
      </c>
      <c r="EA51" s="4">
        <f>SUM(CE51:CN51)*Inicio!$W$12</f>
        <v/>
      </c>
      <c r="EB51" s="4">
        <f>SUM(CO51:CX51)*Inicio!$W$13</f>
        <v/>
      </c>
      <c r="EC51" s="4">
        <f>SUM(CY51:DH51)*Inicio!$W$11</f>
        <v/>
      </c>
      <c r="ED51" s="4">
        <f>SUM(DI51:DR51)*Inicio!$W$12</f>
        <v/>
      </c>
      <c r="EE51" s="4">
        <f>SUM(C51:DR51)</f>
        <v/>
      </c>
      <c r="EF51" s="4">
        <f>SUM(EE48:EE51)</f>
        <v/>
      </c>
      <c r="EG51" s="4">
        <f>SUM(DS51:ED51)</f>
        <v/>
      </c>
      <c r="EH51" s="4">
        <f>SUM(EG48:EG51)</f>
        <v/>
      </c>
    </row>
    <row r="52" ht="20.25" customHeight="1">
      <c r="B52" s="26" t="inlineStr">
        <is>
          <t>10:45 - 11:00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/>
      <c r="AV52" s="22" t="n"/>
      <c r="AW52" s="22" t="n"/>
      <c r="AX52" s="22" t="n"/>
      <c r="AY52" s="22" t="n"/>
      <c r="AZ52" s="22" t="n"/>
      <c r="BA52" s="22" t="n"/>
      <c r="BB52" s="22" t="n"/>
      <c r="BC52" s="22" t="n"/>
      <c r="BD52" s="22" t="n"/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/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5">
        <f>SUM(C52:L52)*Inicio!$W$4</f>
        <v/>
      </c>
      <c r="DT52" s="5">
        <f>SUM(M52:V52)*Inicio!$W$5</f>
        <v/>
      </c>
      <c r="DU52" s="5">
        <f>SUM(W52:AF52)*Inicio!$W$6</f>
        <v/>
      </c>
      <c r="DV52" s="5">
        <f>SUM(AG52:AP52)*Inicio!$W$7</f>
        <v/>
      </c>
      <c r="DW52" s="5">
        <f>SUM(AQ52:AZ52)*Inicio!$W$8</f>
        <v/>
      </c>
      <c r="DX52" s="5">
        <f>SUM(BA52:BJ52)*Inicio!$W$9</f>
        <v/>
      </c>
      <c r="DY52" s="5">
        <f>SUM(BK52:BT52)*Inicio!$W$10</f>
        <v/>
      </c>
      <c r="DZ52" s="5">
        <f>SUM(BU52:CD52)*Inicio!$W$11</f>
        <v/>
      </c>
      <c r="EA52" s="5">
        <f>SUM(CE52:CN52)*Inicio!$W$12</f>
        <v/>
      </c>
      <c r="EB52" s="5">
        <f>SUM(CO52:CX52)*Inicio!$W$13</f>
        <v/>
      </c>
      <c r="EC52" s="5">
        <f>SUM(CY52:DH52)*Inicio!$W$11</f>
        <v/>
      </c>
      <c r="ED52" s="5">
        <f>SUM(DI52:DR52)*Inicio!$W$12</f>
        <v/>
      </c>
      <c r="EE52" s="5">
        <f>SUM(C52:DR52)</f>
        <v/>
      </c>
      <c r="EF52" s="5">
        <f>SUM(EE49:EE52)</f>
        <v/>
      </c>
      <c r="EG52" s="5">
        <f>SUM(DS52:ED52)</f>
        <v/>
      </c>
      <c r="EH52" s="5">
        <f>SUM(EG49:EG52)</f>
        <v/>
      </c>
    </row>
    <row r="53" ht="20.25" customHeight="1">
      <c r="B53" s="27" t="inlineStr">
        <is>
          <t>11:00 - 11:15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  <c r="CE53" s="20" t="n"/>
      <c r="CF53" s="20" t="n"/>
      <c r="CG53" s="20" t="n"/>
      <c r="CH53" s="20" t="n"/>
      <c r="CI53" s="20" t="n"/>
      <c r="CJ53" s="20" t="n"/>
      <c r="CK53" s="20" t="n"/>
      <c r="CL53" s="20" t="n"/>
      <c r="CM53" s="20" t="n"/>
      <c r="CN53" s="20" t="n"/>
      <c r="CO53" s="20" t="n"/>
      <c r="CP53" s="20" t="n"/>
      <c r="CQ53" s="20" t="n"/>
      <c r="CR53" s="20" t="n"/>
      <c r="CS53" s="20" t="n"/>
      <c r="CT53" s="20" t="n"/>
      <c r="CU53" s="20" t="n"/>
      <c r="CV53" s="20" t="n"/>
      <c r="CW53" s="20" t="n"/>
      <c r="CX53" s="20" t="n"/>
      <c r="CY53" s="20" t="n"/>
      <c r="CZ53" s="20" t="n"/>
      <c r="DA53" s="20" t="n"/>
      <c r="DB53" s="20" t="n"/>
      <c r="DC53" s="20" t="n"/>
      <c r="DD53" s="20" t="n"/>
      <c r="DE53" s="20" t="n"/>
      <c r="DF53" s="20" t="n"/>
      <c r="DG53" s="20" t="n"/>
      <c r="DH53" s="20" t="n"/>
      <c r="DI53" s="20" t="n"/>
      <c r="DJ53" s="20" t="n"/>
      <c r="DK53" s="20" t="n"/>
      <c r="DL53" s="20" t="n"/>
      <c r="DM53" s="20" t="n"/>
      <c r="DN53" s="20" t="n"/>
      <c r="DO53" s="20" t="n"/>
      <c r="DP53" s="20" t="n"/>
      <c r="DQ53" s="20" t="n"/>
      <c r="DR53" s="20" t="n"/>
      <c r="DS53" s="4">
        <f>SUM(C53:L53)*Inicio!$W$4</f>
        <v/>
      </c>
      <c r="DT53" s="4">
        <f>SUM(M53:V53)*Inicio!$W$5</f>
        <v/>
      </c>
      <c r="DU53" s="4">
        <f>SUM(W53:AF53)*Inicio!$W$6</f>
        <v/>
      </c>
      <c r="DV53" s="4">
        <f>SUM(AG53:AP53)*Inicio!$W$7</f>
        <v/>
      </c>
      <c r="DW53" s="4">
        <f>SUM(AQ53:AZ53)*Inicio!$W$8</f>
        <v/>
      </c>
      <c r="DX53" s="4">
        <f>SUM(BA53:BJ53)*Inicio!$W$9</f>
        <v/>
      </c>
      <c r="DY53" s="4">
        <f>SUM(BK53:BT53)*Inicio!$W$10</f>
        <v/>
      </c>
      <c r="DZ53" s="4">
        <f>SUM(BU53:CD53)*Inicio!$W$11</f>
        <v/>
      </c>
      <c r="EA53" s="4">
        <f>SUM(CE53:CN53)*Inicio!$W$12</f>
        <v/>
      </c>
      <c r="EB53" s="4">
        <f>SUM(CO53:CX53)*Inicio!$W$13</f>
        <v/>
      </c>
      <c r="EC53" s="4">
        <f>SUM(CY53:DH53)*Inicio!$W$11</f>
        <v/>
      </c>
      <c r="ED53" s="4">
        <f>SUM(DI53:DR53)*Inicio!$W$12</f>
        <v/>
      </c>
      <c r="EE53" s="4">
        <f>SUM(C53:DR53)</f>
        <v/>
      </c>
      <c r="EF53" s="4">
        <f>SUM(EE50:EE53)</f>
        <v/>
      </c>
      <c r="EG53" s="4">
        <f>SUM(DS53:ED53)</f>
        <v/>
      </c>
      <c r="EH53" s="4">
        <f>SUM(EG50:EG53)</f>
        <v/>
      </c>
    </row>
    <row r="54" ht="20.25" customHeight="1">
      <c r="B54" s="28" t="inlineStr">
        <is>
          <t>11:15 - 11:30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  <c r="AU54" s="21" t="n"/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  <c r="BL54" s="21" t="n"/>
      <c r="BM54" s="21" t="n"/>
      <c r="BN54" s="21" t="n"/>
      <c r="BO54" s="21" t="n"/>
      <c r="BP54" s="21" t="n"/>
      <c r="BQ54" s="21" t="n"/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  <c r="CA54" s="21" t="n"/>
      <c r="CB54" s="21" t="n"/>
      <c r="CC54" s="21" t="n"/>
      <c r="CD54" s="21" t="n"/>
      <c r="CE54" s="21" t="n"/>
      <c r="CF54" s="21" t="n"/>
      <c r="CG54" s="21" t="n"/>
      <c r="CH54" s="21" t="n"/>
      <c r="CI54" s="21" t="n"/>
      <c r="CJ54" s="21" t="n"/>
      <c r="CK54" s="21" t="n"/>
      <c r="CL54" s="21" t="n"/>
      <c r="CM54" s="21" t="n"/>
      <c r="CN54" s="21" t="n"/>
      <c r="CO54" s="21" t="n"/>
      <c r="CP54" s="21" t="n"/>
      <c r="CQ54" s="21" t="n"/>
      <c r="CR54" s="21" t="n"/>
      <c r="CS54" s="21" t="n"/>
      <c r="CT54" s="21" t="n"/>
      <c r="CU54" s="21" t="n"/>
      <c r="CV54" s="21" t="n"/>
      <c r="CW54" s="21" t="n"/>
      <c r="CX54" s="21" t="n"/>
      <c r="CY54" s="21" t="n"/>
      <c r="CZ54" s="21" t="n"/>
      <c r="DA54" s="21" t="n"/>
      <c r="DB54" s="21" t="n"/>
      <c r="DC54" s="21" t="n"/>
      <c r="DD54" s="21" t="n"/>
      <c r="DE54" s="21" t="n"/>
      <c r="DF54" s="21" t="n"/>
      <c r="DG54" s="21" t="n"/>
      <c r="DH54" s="21" t="n"/>
      <c r="DI54" s="21" t="n"/>
      <c r="DJ54" s="21" t="n"/>
      <c r="DK54" s="21" t="n"/>
      <c r="DL54" s="21" t="n"/>
      <c r="DM54" s="21" t="n"/>
      <c r="DN54" s="21" t="n"/>
      <c r="DO54" s="21" t="n"/>
      <c r="DP54" s="21" t="n"/>
      <c r="DQ54" s="21" t="n"/>
      <c r="DR54" s="21" t="n"/>
      <c r="DS54" s="4">
        <f>SUM(C54:L54)*Inicio!$W$4</f>
        <v/>
      </c>
      <c r="DT54" s="4">
        <f>SUM(M54:V54)*Inicio!$W$5</f>
        <v/>
      </c>
      <c r="DU54" s="4">
        <f>SUM(W54:AF54)*Inicio!$W$6</f>
        <v/>
      </c>
      <c r="DV54" s="4">
        <f>SUM(AG54:AP54)*Inicio!$W$7</f>
        <v/>
      </c>
      <c r="DW54" s="4">
        <f>SUM(AQ54:AZ54)*Inicio!$W$8</f>
        <v/>
      </c>
      <c r="DX54" s="4">
        <f>SUM(BA54:BJ54)*Inicio!$W$9</f>
        <v/>
      </c>
      <c r="DY54" s="4">
        <f>SUM(BK54:BT54)*Inicio!$W$10</f>
        <v/>
      </c>
      <c r="DZ54" s="4">
        <f>SUM(BU54:CD54)*Inicio!$W$11</f>
        <v/>
      </c>
      <c r="EA54" s="4">
        <f>SUM(CE54:CN54)*Inicio!$W$12</f>
        <v/>
      </c>
      <c r="EB54" s="4">
        <f>SUM(CO54:CX54)*Inicio!$W$13</f>
        <v/>
      </c>
      <c r="EC54" s="4">
        <f>SUM(CY54:DH54)*Inicio!$W$11</f>
        <v/>
      </c>
      <c r="ED54" s="4">
        <f>SUM(DI54:DR54)*Inicio!$W$12</f>
        <v/>
      </c>
      <c r="EE54" s="4">
        <f>SUM(C54:DR54)</f>
        <v/>
      </c>
      <c r="EF54" s="4">
        <f>SUM(EE51:EE54)</f>
        <v/>
      </c>
      <c r="EG54" s="4">
        <f>SUM(DS54:ED54)</f>
        <v/>
      </c>
      <c r="EH54" s="4">
        <f>SUM(EG51:EG54)</f>
        <v/>
      </c>
    </row>
    <row r="55" ht="20.25" customHeight="1">
      <c r="B55" s="28" t="inlineStr">
        <is>
          <t>11:30 - 11:45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  <c r="AU55" s="21" t="n"/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  <c r="BL55" s="21" t="n"/>
      <c r="BM55" s="21" t="n"/>
      <c r="BN55" s="21" t="n"/>
      <c r="BO55" s="21" t="n"/>
      <c r="BP55" s="21" t="n"/>
      <c r="BQ55" s="21" t="n"/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  <c r="CA55" s="21" t="n"/>
      <c r="CB55" s="21" t="n"/>
      <c r="CC55" s="21" t="n"/>
      <c r="CD55" s="21" t="n"/>
      <c r="CE55" s="21" t="n"/>
      <c r="CF55" s="21" t="n"/>
      <c r="CG55" s="21" t="n"/>
      <c r="CH55" s="21" t="n"/>
      <c r="CI55" s="21" t="n"/>
      <c r="CJ55" s="21" t="n"/>
      <c r="CK55" s="21" t="n"/>
      <c r="CL55" s="21" t="n"/>
      <c r="CM55" s="21" t="n"/>
      <c r="CN55" s="21" t="n"/>
      <c r="CO55" s="21" t="n"/>
      <c r="CP55" s="21" t="n"/>
      <c r="CQ55" s="21" t="n"/>
      <c r="CR55" s="21" t="n"/>
      <c r="CS55" s="21" t="n"/>
      <c r="CT55" s="21" t="n"/>
      <c r="CU55" s="21" t="n"/>
      <c r="CV55" s="21" t="n"/>
      <c r="CW55" s="21" t="n"/>
      <c r="CX55" s="21" t="n"/>
      <c r="CY55" s="21" t="n"/>
      <c r="CZ55" s="21" t="n"/>
      <c r="DA55" s="21" t="n"/>
      <c r="DB55" s="21" t="n"/>
      <c r="DC55" s="21" t="n"/>
      <c r="DD55" s="21" t="n"/>
      <c r="DE55" s="21" t="n"/>
      <c r="DF55" s="21" t="n"/>
      <c r="DG55" s="21" t="n"/>
      <c r="DH55" s="21" t="n"/>
      <c r="DI55" s="21" t="n"/>
      <c r="DJ55" s="21" t="n"/>
      <c r="DK55" s="21" t="n"/>
      <c r="DL55" s="21" t="n"/>
      <c r="DM55" s="21" t="n"/>
      <c r="DN55" s="21" t="n"/>
      <c r="DO55" s="21" t="n"/>
      <c r="DP55" s="21" t="n"/>
      <c r="DQ55" s="21" t="n"/>
      <c r="DR55" s="21" t="n"/>
      <c r="DS55" s="4">
        <f>SUM(C55:L55)*Inicio!$W$4</f>
        <v/>
      </c>
      <c r="DT55" s="4">
        <f>SUM(M55:V55)*Inicio!$W$5</f>
        <v/>
      </c>
      <c r="DU55" s="4">
        <f>SUM(W55:AF55)*Inicio!$W$6</f>
        <v/>
      </c>
      <c r="DV55" s="4">
        <f>SUM(AG55:AP55)*Inicio!$W$7</f>
        <v/>
      </c>
      <c r="DW55" s="4">
        <f>SUM(AQ55:AZ55)*Inicio!$W$8</f>
        <v/>
      </c>
      <c r="DX55" s="4">
        <f>SUM(BA55:BJ55)*Inicio!$W$9</f>
        <v/>
      </c>
      <c r="DY55" s="4">
        <f>SUM(BK55:BT55)*Inicio!$W$10</f>
        <v/>
      </c>
      <c r="DZ55" s="4">
        <f>SUM(BU55:CD55)*Inicio!$W$11</f>
        <v/>
      </c>
      <c r="EA55" s="4">
        <f>SUM(CE55:CN55)*Inicio!$W$12</f>
        <v/>
      </c>
      <c r="EB55" s="4">
        <f>SUM(CO55:CX55)*Inicio!$W$13</f>
        <v/>
      </c>
      <c r="EC55" s="4">
        <f>SUM(CY55:DH55)*Inicio!$W$11</f>
        <v/>
      </c>
      <c r="ED55" s="4">
        <f>SUM(DI55:DR55)*Inicio!$W$12</f>
        <v/>
      </c>
      <c r="EE55" s="4">
        <f>SUM(C55:DR55)</f>
        <v/>
      </c>
      <c r="EF55" s="4">
        <f>SUM(EE52:EE55)</f>
        <v/>
      </c>
      <c r="EG55" s="4">
        <f>SUM(DS55:ED55)</f>
        <v/>
      </c>
      <c r="EH55" s="4">
        <f>SUM(EG52:EG55)</f>
        <v/>
      </c>
    </row>
    <row r="56" ht="20.25" customHeight="1">
      <c r="B56" s="26" t="inlineStr">
        <is>
          <t>11:45 - 12:00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/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4">
        <f>SUM(C56:L56)*Inicio!$W$4</f>
        <v/>
      </c>
      <c r="DT56" s="4">
        <f>SUM(M56:V56)*Inicio!$W$5</f>
        <v/>
      </c>
      <c r="DU56" s="4">
        <f>SUM(W56:AF56)*Inicio!$W$6</f>
        <v/>
      </c>
      <c r="DV56" s="4">
        <f>SUM(AG56:AP56)*Inicio!$W$7</f>
        <v/>
      </c>
      <c r="DW56" s="4">
        <f>SUM(AQ56:AZ56)*Inicio!$W$8</f>
        <v/>
      </c>
      <c r="DX56" s="4">
        <f>SUM(BA56:BJ56)*Inicio!$W$9</f>
        <v/>
      </c>
      <c r="DY56" s="4">
        <f>SUM(BK56:BT56)*Inicio!$W$10</f>
        <v/>
      </c>
      <c r="DZ56" s="4">
        <f>SUM(BU56:CD56)*Inicio!$W$11</f>
        <v/>
      </c>
      <c r="EA56" s="4">
        <f>SUM(CE56:CN56)*Inicio!$W$12</f>
        <v/>
      </c>
      <c r="EB56" s="4">
        <f>SUM(CO56:CX56)*Inicio!$W$13</f>
        <v/>
      </c>
      <c r="EC56" s="4">
        <f>SUM(CY56:DH56)*Inicio!$W$11</f>
        <v/>
      </c>
      <c r="ED56" s="4">
        <f>SUM(DI56:DR56)*Inicio!$W$12</f>
        <v/>
      </c>
      <c r="EE56" s="4">
        <f>SUM(C56:DR56)</f>
        <v/>
      </c>
      <c r="EF56" s="4">
        <f>SUM(EE53:EE56)</f>
        <v/>
      </c>
      <c r="EG56" s="4">
        <f>SUM(DS56:ED56)</f>
        <v/>
      </c>
      <c r="EH56" s="4">
        <f>SUM(EG53:EG56)</f>
        <v/>
      </c>
    </row>
    <row r="57" ht="20.25" customHeight="1">
      <c r="B57" s="27" t="inlineStr">
        <is>
          <t>12:00 - 12:15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20" t="n"/>
      <c r="CN57" s="20" t="n"/>
      <c r="CO57" s="20" t="n"/>
      <c r="CP57" s="20" t="n"/>
      <c r="CQ57" s="20" t="n"/>
      <c r="CR57" s="20" t="n"/>
      <c r="CS57" s="20" t="n"/>
      <c r="CT57" s="20" t="n"/>
      <c r="CU57" s="20" t="n"/>
      <c r="CV57" s="20" t="n"/>
      <c r="CW57" s="20" t="n"/>
      <c r="CX57" s="20" t="n"/>
      <c r="CY57" s="20" t="n"/>
      <c r="CZ57" s="20" t="n"/>
      <c r="DA57" s="20" t="n"/>
      <c r="DB57" s="20" t="n"/>
      <c r="DC57" s="20" t="n"/>
      <c r="DD57" s="20" t="n"/>
      <c r="DE57" s="20" t="n"/>
      <c r="DF57" s="20" t="n"/>
      <c r="DG57" s="20" t="n"/>
      <c r="DH57" s="20" t="n"/>
      <c r="DI57" s="20" t="n"/>
      <c r="DJ57" s="20" t="n"/>
      <c r="DK57" s="20" t="n"/>
      <c r="DL57" s="20" t="n"/>
      <c r="DM57" s="20" t="n"/>
      <c r="DN57" s="20" t="n"/>
      <c r="DO57" s="20" t="n"/>
      <c r="DP57" s="20" t="n"/>
      <c r="DQ57" s="20" t="n"/>
      <c r="DR57" s="20" t="n"/>
      <c r="DS57" s="3">
        <f>SUM(C57:L57)*Inicio!$W$4</f>
        <v/>
      </c>
      <c r="DT57" s="3">
        <f>SUM(M57:V57)*Inicio!$W$5</f>
        <v/>
      </c>
      <c r="DU57" s="3">
        <f>SUM(W57:AF57)*Inicio!$W$6</f>
        <v/>
      </c>
      <c r="DV57" s="3">
        <f>SUM(AG57:AP57)*Inicio!$W$7</f>
        <v/>
      </c>
      <c r="DW57" s="3">
        <f>SUM(AQ57:AZ57)*Inicio!$W$8</f>
        <v/>
      </c>
      <c r="DX57" s="3">
        <f>SUM(BA57:BJ57)*Inicio!$W$9</f>
        <v/>
      </c>
      <c r="DY57" s="3">
        <f>SUM(BK57:BT57)*Inicio!$W$10</f>
        <v/>
      </c>
      <c r="DZ57" s="3">
        <f>SUM(BU57:CD57)*Inicio!$W$11</f>
        <v/>
      </c>
      <c r="EA57" s="3">
        <f>SUM(CE57:CN57)*Inicio!$W$12</f>
        <v/>
      </c>
      <c r="EB57" s="3">
        <f>SUM(CO57:CX57)*Inicio!$W$13</f>
        <v/>
      </c>
      <c r="EC57" s="3">
        <f>SUM(CY57:DH57)*Inicio!$W$11</f>
        <v/>
      </c>
      <c r="ED57" s="3">
        <f>SUM(DI57:DR57)*Inicio!$W$12</f>
        <v/>
      </c>
      <c r="EE57" s="3">
        <f>SUM(C57:DR57)</f>
        <v/>
      </c>
      <c r="EF57" s="3">
        <f>SUM(EE54:EE57)</f>
        <v/>
      </c>
      <c r="EG57" s="3">
        <f>SUM(DS57:ED57)</f>
        <v/>
      </c>
      <c r="EH57" s="3">
        <f>SUM(EG54:EG57)</f>
        <v/>
      </c>
    </row>
    <row r="58" ht="20.25" customHeight="1">
      <c r="B58" s="28" t="inlineStr">
        <is>
          <t>12:15 - 12:30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  <c r="AU58" s="21" t="n"/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  <c r="BF58" s="21" t="n"/>
      <c r="BG58" s="21" t="n"/>
      <c r="BH58" s="21" t="n"/>
      <c r="BI58" s="21" t="n"/>
      <c r="BJ58" s="21" t="n"/>
      <c r="BK58" s="21" t="n"/>
      <c r="BL58" s="21" t="n"/>
      <c r="BM58" s="21" t="n"/>
      <c r="BN58" s="21" t="n"/>
      <c r="BO58" s="21" t="n"/>
      <c r="BP58" s="21" t="n"/>
      <c r="BQ58" s="21" t="n"/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  <c r="CA58" s="21" t="n"/>
      <c r="CB58" s="21" t="n"/>
      <c r="CC58" s="21" t="n"/>
      <c r="CD58" s="21" t="n"/>
      <c r="CE58" s="21" t="n"/>
      <c r="CF58" s="21" t="n"/>
      <c r="CG58" s="21" t="n"/>
      <c r="CH58" s="21" t="n"/>
      <c r="CI58" s="21" t="n"/>
      <c r="CJ58" s="21" t="n"/>
      <c r="CK58" s="21" t="n"/>
      <c r="CL58" s="21" t="n"/>
      <c r="CM58" s="21" t="n"/>
      <c r="CN58" s="21" t="n"/>
      <c r="CO58" s="21" t="n"/>
      <c r="CP58" s="21" t="n"/>
      <c r="CQ58" s="21" t="n"/>
      <c r="CR58" s="21" t="n"/>
      <c r="CS58" s="21" t="n"/>
      <c r="CT58" s="21" t="n"/>
      <c r="CU58" s="21" t="n"/>
      <c r="CV58" s="21" t="n"/>
      <c r="CW58" s="21" t="n"/>
      <c r="CX58" s="21" t="n"/>
      <c r="CY58" s="21" t="n"/>
      <c r="CZ58" s="21" t="n"/>
      <c r="DA58" s="21" t="n"/>
      <c r="DB58" s="21" t="n"/>
      <c r="DC58" s="21" t="n"/>
      <c r="DD58" s="21" t="n"/>
      <c r="DE58" s="21" t="n"/>
      <c r="DF58" s="21" t="n"/>
      <c r="DG58" s="21" t="n"/>
      <c r="DH58" s="21" t="n"/>
      <c r="DI58" s="21" t="n"/>
      <c r="DJ58" s="21" t="n"/>
      <c r="DK58" s="21" t="n"/>
      <c r="DL58" s="21" t="n"/>
      <c r="DM58" s="21" t="n"/>
      <c r="DN58" s="21" t="n"/>
      <c r="DO58" s="21" t="n"/>
      <c r="DP58" s="21" t="n"/>
      <c r="DQ58" s="21" t="n"/>
      <c r="DR58" s="21" t="n"/>
      <c r="DS58" s="4">
        <f>SUM(C58:L58)*Inicio!$W$4</f>
        <v/>
      </c>
      <c r="DT58" s="4">
        <f>SUM(M58:V58)*Inicio!$W$5</f>
        <v/>
      </c>
      <c r="DU58" s="4">
        <f>SUM(W58:AF58)*Inicio!$W$6</f>
        <v/>
      </c>
      <c r="DV58" s="4">
        <f>SUM(AG58:AP58)*Inicio!$W$7</f>
        <v/>
      </c>
      <c r="DW58" s="4">
        <f>SUM(AQ58:AZ58)*Inicio!$W$8</f>
        <v/>
      </c>
      <c r="DX58" s="4">
        <f>SUM(BA58:BJ58)*Inicio!$W$9</f>
        <v/>
      </c>
      <c r="DY58" s="4">
        <f>SUM(BK58:BT58)*Inicio!$W$10</f>
        <v/>
      </c>
      <c r="DZ58" s="4">
        <f>SUM(BU58:CD58)*Inicio!$W$11</f>
        <v/>
      </c>
      <c r="EA58" s="4">
        <f>SUM(CE58:CN58)*Inicio!$W$12</f>
        <v/>
      </c>
      <c r="EB58" s="4">
        <f>SUM(CO58:CX58)*Inicio!$W$13</f>
        <v/>
      </c>
      <c r="EC58" s="4">
        <f>SUM(CY58:DH58)*Inicio!$W$11</f>
        <v/>
      </c>
      <c r="ED58" s="4">
        <f>SUM(DI58:DR58)*Inicio!$W$12</f>
        <v/>
      </c>
      <c r="EE58" s="4">
        <f>SUM(C58:DR58)</f>
        <v/>
      </c>
      <c r="EF58" s="4">
        <f>SUM(EE55:EE58)</f>
        <v/>
      </c>
      <c r="EG58" s="4">
        <f>SUM(DS58:ED58)</f>
        <v/>
      </c>
      <c r="EH58" s="4">
        <f>SUM(EG55:EG58)</f>
        <v/>
      </c>
    </row>
    <row r="59" ht="20.25" customHeight="1">
      <c r="B59" s="28" t="inlineStr">
        <is>
          <t>12:30 - 12:45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O59" s="21" t="n"/>
      <c r="AP59" s="21" t="n"/>
      <c r="AQ59" s="21" t="n"/>
      <c r="AR59" s="21" t="n"/>
      <c r="AS59" s="21" t="n"/>
      <c r="AT59" s="21" t="n"/>
      <c r="AU59" s="21" t="n"/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  <c r="BF59" s="21" t="n"/>
      <c r="BG59" s="21" t="n"/>
      <c r="BH59" s="21" t="n"/>
      <c r="BI59" s="21" t="n"/>
      <c r="BJ59" s="21" t="n"/>
      <c r="BK59" s="21" t="n"/>
      <c r="BL59" s="21" t="n"/>
      <c r="BM59" s="21" t="n"/>
      <c r="BN59" s="21" t="n"/>
      <c r="BO59" s="21" t="n"/>
      <c r="BP59" s="21" t="n"/>
      <c r="BQ59" s="21" t="n"/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  <c r="CA59" s="21" t="n"/>
      <c r="CB59" s="21" t="n"/>
      <c r="CC59" s="21" t="n"/>
      <c r="CD59" s="21" t="n"/>
      <c r="CE59" s="21" t="n"/>
      <c r="CF59" s="21" t="n"/>
      <c r="CG59" s="21" t="n"/>
      <c r="CH59" s="21" t="n"/>
      <c r="CI59" s="21" t="n"/>
      <c r="CJ59" s="21" t="n"/>
      <c r="CK59" s="21" t="n"/>
      <c r="CL59" s="21" t="n"/>
      <c r="CM59" s="21" t="n"/>
      <c r="CN59" s="21" t="n"/>
      <c r="CO59" s="21" t="n"/>
      <c r="CP59" s="21" t="n"/>
      <c r="CQ59" s="21" t="n"/>
      <c r="CR59" s="21" t="n"/>
      <c r="CS59" s="21" t="n"/>
      <c r="CT59" s="21" t="n"/>
      <c r="CU59" s="21" t="n"/>
      <c r="CV59" s="21" t="n"/>
      <c r="CW59" s="21" t="n"/>
      <c r="CX59" s="21" t="n"/>
      <c r="CY59" s="21" t="n"/>
      <c r="CZ59" s="21" t="n"/>
      <c r="DA59" s="21" t="n"/>
      <c r="DB59" s="21" t="n"/>
      <c r="DC59" s="21" t="n"/>
      <c r="DD59" s="21" t="n"/>
      <c r="DE59" s="21" t="n"/>
      <c r="DF59" s="21" t="n"/>
      <c r="DG59" s="21" t="n"/>
      <c r="DH59" s="21" t="n"/>
      <c r="DI59" s="21" t="n"/>
      <c r="DJ59" s="21" t="n"/>
      <c r="DK59" s="21" t="n"/>
      <c r="DL59" s="21" t="n"/>
      <c r="DM59" s="21" t="n"/>
      <c r="DN59" s="21" t="n"/>
      <c r="DO59" s="21" t="n"/>
      <c r="DP59" s="21" t="n"/>
      <c r="DQ59" s="21" t="n"/>
      <c r="DR59" s="21" t="n"/>
      <c r="DS59" s="4">
        <f>SUM(C59:L59)*Inicio!$W$4</f>
        <v/>
      </c>
      <c r="DT59" s="4">
        <f>SUM(M59:V59)*Inicio!$W$5</f>
        <v/>
      </c>
      <c r="DU59" s="4">
        <f>SUM(W59:AF59)*Inicio!$W$6</f>
        <v/>
      </c>
      <c r="DV59" s="4">
        <f>SUM(AG59:AP59)*Inicio!$W$7</f>
        <v/>
      </c>
      <c r="DW59" s="4">
        <f>SUM(AQ59:AZ59)*Inicio!$W$8</f>
        <v/>
      </c>
      <c r="DX59" s="4">
        <f>SUM(BA59:BJ59)*Inicio!$W$9</f>
        <v/>
      </c>
      <c r="DY59" s="4">
        <f>SUM(BK59:BT59)*Inicio!$W$10</f>
        <v/>
      </c>
      <c r="DZ59" s="4">
        <f>SUM(BU59:CD59)*Inicio!$W$11</f>
        <v/>
      </c>
      <c r="EA59" s="4">
        <f>SUM(CE59:CN59)*Inicio!$W$12</f>
        <v/>
      </c>
      <c r="EB59" s="4">
        <f>SUM(CO59:CX59)*Inicio!$W$13</f>
        <v/>
      </c>
      <c r="EC59" s="4">
        <f>SUM(CY59:DH59)*Inicio!$W$11</f>
        <v/>
      </c>
      <c r="ED59" s="4">
        <f>SUM(DI59:DR59)*Inicio!$W$12</f>
        <v/>
      </c>
      <c r="EE59" s="4">
        <f>SUM(C59:DR59)</f>
        <v/>
      </c>
      <c r="EF59" s="4">
        <f>SUM(EE56:EE59)</f>
        <v/>
      </c>
      <c r="EG59" s="4">
        <f>SUM(DS59:ED59)</f>
        <v/>
      </c>
      <c r="EH59" s="4">
        <f>SUM(EG56:EG59)</f>
        <v/>
      </c>
    </row>
    <row r="60" ht="20.25" customHeight="1">
      <c r="B60" s="26" t="inlineStr">
        <is>
          <t>12:45 - 13:00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/>
      <c r="AV60" s="22" t="n"/>
      <c r="AW60" s="22" t="n"/>
      <c r="AX60" s="22" t="n"/>
      <c r="AY60" s="22" t="n"/>
      <c r="AZ60" s="22" t="n"/>
      <c r="BA60" s="22" t="n"/>
      <c r="BB60" s="22" t="n"/>
      <c r="BC60" s="22" t="n"/>
      <c r="BD60" s="22" t="n"/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/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5">
        <f>SUM(C60:L60)*Inicio!$W$4</f>
        <v/>
      </c>
      <c r="DT60" s="5">
        <f>SUM(M60:V60)*Inicio!$W$5</f>
        <v/>
      </c>
      <c r="DU60" s="5">
        <f>SUM(W60:AF60)*Inicio!$W$6</f>
        <v/>
      </c>
      <c r="DV60" s="5">
        <f>SUM(AG60:AP60)*Inicio!$W$7</f>
        <v/>
      </c>
      <c r="DW60" s="5">
        <f>SUM(AQ60:AZ60)*Inicio!$W$8</f>
        <v/>
      </c>
      <c r="DX60" s="5">
        <f>SUM(BA60:BJ60)*Inicio!$W$9</f>
        <v/>
      </c>
      <c r="DY60" s="5">
        <f>SUM(BK60:BT60)*Inicio!$W$10</f>
        <v/>
      </c>
      <c r="DZ60" s="5">
        <f>SUM(BU60:CD60)*Inicio!$W$11</f>
        <v/>
      </c>
      <c r="EA60" s="5">
        <f>SUM(CE60:CN60)*Inicio!$W$12</f>
        <v/>
      </c>
      <c r="EB60" s="5">
        <f>SUM(CO60:CX60)*Inicio!$W$13</f>
        <v/>
      </c>
      <c r="EC60" s="5">
        <f>SUM(CY60:DH60)*Inicio!$W$11</f>
        <v/>
      </c>
      <c r="ED60" s="5">
        <f>SUM(DI60:DR60)*Inicio!$W$12</f>
        <v/>
      </c>
      <c r="EE60" s="5">
        <f>SUM(C60:DR60)</f>
        <v/>
      </c>
      <c r="EF60" s="5">
        <f>SUM(EE57:EE60)</f>
        <v/>
      </c>
      <c r="EG60" s="5">
        <f>SUM(DS60:ED60)</f>
        <v/>
      </c>
      <c r="EH60" s="5">
        <f>SUM(EG57:EG60)</f>
        <v/>
      </c>
    </row>
    <row r="61" ht="20.25" customHeight="1">
      <c r="B61" s="27" t="inlineStr">
        <is>
          <t>13:00 - 13:15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n"/>
      <c r="CF61" s="20" t="n"/>
      <c r="CG61" s="20" t="n"/>
      <c r="CH61" s="20" t="n"/>
      <c r="CI61" s="20" t="n"/>
      <c r="CJ61" s="20" t="n"/>
      <c r="CK61" s="20" t="n"/>
      <c r="CL61" s="20" t="n"/>
      <c r="CM61" s="20" t="n"/>
      <c r="CN61" s="20" t="n"/>
      <c r="CO61" s="20" t="n"/>
      <c r="CP61" s="20" t="n"/>
      <c r="CQ61" s="20" t="n"/>
      <c r="CR61" s="20" t="n"/>
      <c r="CS61" s="20" t="n"/>
      <c r="CT61" s="20" t="n"/>
      <c r="CU61" s="20" t="n"/>
      <c r="CV61" s="20" t="n"/>
      <c r="CW61" s="20" t="n"/>
      <c r="CX61" s="20" t="n"/>
      <c r="CY61" s="20" t="n"/>
      <c r="CZ61" s="20" t="n"/>
      <c r="DA61" s="20" t="n"/>
      <c r="DB61" s="20" t="n"/>
      <c r="DC61" s="20" t="n"/>
      <c r="DD61" s="20" t="n"/>
      <c r="DE61" s="20" t="n"/>
      <c r="DF61" s="20" t="n"/>
      <c r="DG61" s="20" t="n"/>
      <c r="DH61" s="20" t="n"/>
      <c r="DI61" s="20" t="n"/>
      <c r="DJ61" s="20" t="n"/>
      <c r="DK61" s="20" t="n"/>
      <c r="DL61" s="20" t="n"/>
      <c r="DM61" s="20" t="n"/>
      <c r="DN61" s="20" t="n"/>
      <c r="DO61" s="20" t="n"/>
      <c r="DP61" s="20" t="n"/>
      <c r="DQ61" s="20" t="n"/>
      <c r="DR61" s="20" t="n"/>
      <c r="DS61" s="3">
        <f>SUM(C61:L61)*Inicio!$W$4</f>
        <v/>
      </c>
      <c r="DT61" s="3">
        <f>SUM(M61:V61)*Inicio!$W$5</f>
        <v/>
      </c>
      <c r="DU61" s="3">
        <f>SUM(W61:AF61)*Inicio!$W$6</f>
        <v/>
      </c>
      <c r="DV61" s="3">
        <f>SUM(AG61:AP61)*Inicio!$W$7</f>
        <v/>
      </c>
      <c r="DW61" s="3">
        <f>SUM(AQ61:AZ61)*Inicio!$W$8</f>
        <v/>
      </c>
      <c r="DX61" s="3">
        <f>SUM(BA61:BJ61)*Inicio!$W$9</f>
        <v/>
      </c>
      <c r="DY61" s="3">
        <f>SUM(BK61:BT61)*Inicio!$W$10</f>
        <v/>
      </c>
      <c r="DZ61" s="3">
        <f>SUM(BU61:CD61)*Inicio!$W$11</f>
        <v/>
      </c>
      <c r="EA61" s="3">
        <f>SUM(CE61:CN61)*Inicio!$W$12</f>
        <v/>
      </c>
      <c r="EB61" s="3">
        <f>SUM(CO61:CX61)*Inicio!$W$13</f>
        <v/>
      </c>
      <c r="EC61" s="3">
        <f>SUM(CY61:DH61)*Inicio!$W$11</f>
        <v/>
      </c>
      <c r="ED61" s="3">
        <f>SUM(DI61:DR61)*Inicio!$W$12</f>
        <v/>
      </c>
      <c r="EE61" s="3">
        <f>SUM(C61:DR61)</f>
        <v/>
      </c>
      <c r="EF61" s="3">
        <f>SUM(EE58:EE61)</f>
        <v/>
      </c>
      <c r="EG61" s="3">
        <f>SUM(DS61:ED61)</f>
        <v/>
      </c>
      <c r="EH61" s="3">
        <f>SUM(EG58:EG61)</f>
        <v/>
      </c>
    </row>
    <row r="62" ht="20.25" customHeight="1">
      <c r="B62" s="28" t="inlineStr">
        <is>
          <t>13:15 - 13:30</t>
        </is>
      </c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  <c r="AO62" s="21" t="n"/>
      <c r="AP62" s="21" t="n"/>
      <c r="AQ62" s="21" t="n"/>
      <c r="AR62" s="21" t="n"/>
      <c r="AS62" s="21" t="n"/>
      <c r="AT62" s="21" t="n"/>
      <c r="AU62" s="21" t="n"/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  <c r="BF62" s="21" t="n"/>
      <c r="BG62" s="21" t="n"/>
      <c r="BH62" s="21" t="n"/>
      <c r="BI62" s="21" t="n"/>
      <c r="BJ62" s="21" t="n"/>
      <c r="BK62" s="21" t="n"/>
      <c r="BL62" s="21" t="n"/>
      <c r="BM62" s="21" t="n"/>
      <c r="BN62" s="21" t="n"/>
      <c r="BO62" s="21" t="n"/>
      <c r="BP62" s="21" t="n"/>
      <c r="BQ62" s="21" t="n"/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  <c r="CA62" s="21" t="n"/>
      <c r="CB62" s="21" t="n"/>
      <c r="CC62" s="21" t="n"/>
      <c r="CD62" s="21" t="n"/>
      <c r="CE62" s="21" t="n"/>
      <c r="CF62" s="21" t="n"/>
      <c r="CG62" s="21" t="n"/>
      <c r="CH62" s="21" t="n"/>
      <c r="CI62" s="21" t="n"/>
      <c r="CJ62" s="21" t="n"/>
      <c r="CK62" s="21" t="n"/>
      <c r="CL62" s="21" t="n"/>
      <c r="CM62" s="21" t="n"/>
      <c r="CN62" s="21" t="n"/>
      <c r="CO62" s="21" t="n"/>
      <c r="CP62" s="21" t="n"/>
      <c r="CQ62" s="21" t="n"/>
      <c r="CR62" s="21" t="n"/>
      <c r="CS62" s="21" t="n"/>
      <c r="CT62" s="21" t="n"/>
      <c r="CU62" s="21" t="n"/>
      <c r="CV62" s="21" t="n"/>
      <c r="CW62" s="21" t="n"/>
      <c r="CX62" s="21" t="n"/>
      <c r="CY62" s="21" t="n"/>
      <c r="CZ62" s="21" t="n"/>
      <c r="DA62" s="21" t="n"/>
      <c r="DB62" s="21" t="n"/>
      <c r="DC62" s="21" t="n"/>
      <c r="DD62" s="21" t="n"/>
      <c r="DE62" s="21" t="n"/>
      <c r="DF62" s="21" t="n"/>
      <c r="DG62" s="21" t="n"/>
      <c r="DH62" s="21" t="n"/>
      <c r="DI62" s="21" t="n"/>
      <c r="DJ62" s="21" t="n"/>
      <c r="DK62" s="21" t="n"/>
      <c r="DL62" s="21" t="n"/>
      <c r="DM62" s="21" t="n"/>
      <c r="DN62" s="21" t="n"/>
      <c r="DO62" s="21" t="n"/>
      <c r="DP62" s="21" t="n"/>
      <c r="DQ62" s="21" t="n"/>
      <c r="DR62" s="21" t="n"/>
      <c r="DS62" s="4">
        <f>SUM(C62:L62)*Inicio!$W$4</f>
        <v/>
      </c>
      <c r="DT62" s="4">
        <f>SUM(M62:V62)*Inicio!$W$5</f>
        <v/>
      </c>
      <c r="DU62" s="4">
        <f>SUM(W62:AF62)*Inicio!$W$6</f>
        <v/>
      </c>
      <c r="DV62" s="4">
        <f>SUM(AG62:AP62)*Inicio!$W$7</f>
        <v/>
      </c>
      <c r="DW62" s="4">
        <f>SUM(AQ62:AZ62)*Inicio!$W$8</f>
        <v/>
      </c>
      <c r="DX62" s="4">
        <f>SUM(BA62:BJ62)*Inicio!$W$9</f>
        <v/>
      </c>
      <c r="DY62" s="4">
        <f>SUM(BK62:BT62)*Inicio!$W$10</f>
        <v/>
      </c>
      <c r="DZ62" s="4">
        <f>SUM(BU62:CD62)*Inicio!$W$11</f>
        <v/>
      </c>
      <c r="EA62" s="4">
        <f>SUM(CE62:CN62)*Inicio!$W$12</f>
        <v/>
      </c>
      <c r="EB62" s="4">
        <f>SUM(CO62:CX62)*Inicio!$W$13</f>
        <v/>
      </c>
      <c r="EC62" s="4">
        <f>SUM(CY62:DH62)*Inicio!$W$11</f>
        <v/>
      </c>
      <c r="ED62" s="4">
        <f>SUM(DI62:DR62)*Inicio!$W$12</f>
        <v/>
      </c>
      <c r="EE62" s="4">
        <f>SUM(C62:DR62)</f>
        <v/>
      </c>
      <c r="EF62" s="4">
        <f>SUM(EE59:EE62)</f>
        <v/>
      </c>
      <c r="EG62" s="4">
        <f>SUM(DS62:ED62)</f>
        <v/>
      </c>
      <c r="EH62" s="4">
        <f>SUM(EG59:EG62)</f>
        <v/>
      </c>
    </row>
    <row r="63" ht="20.25" customHeight="1">
      <c r="B63" s="28" t="inlineStr">
        <is>
          <t>13:30 - 13:45</t>
        </is>
      </c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  <c r="AO63" s="21" t="n"/>
      <c r="AP63" s="21" t="n"/>
      <c r="AQ63" s="21" t="n"/>
      <c r="AR63" s="21" t="n"/>
      <c r="AS63" s="21" t="n"/>
      <c r="AT63" s="21" t="n"/>
      <c r="AU63" s="21" t="n"/>
      <c r="AV63" s="21" t="n"/>
      <c r="AW63" s="21" t="n"/>
      <c r="AX63" s="21" t="n"/>
      <c r="AY63" s="21" t="n"/>
      <c r="AZ63" s="21" t="n"/>
      <c r="BA63" s="21" t="n"/>
      <c r="BB63" s="21" t="n"/>
      <c r="BC63" s="21" t="n"/>
      <c r="BD63" s="21" t="n"/>
      <c r="BE63" s="21" t="n"/>
      <c r="BF63" s="21" t="n"/>
      <c r="BG63" s="21" t="n"/>
      <c r="BH63" s="21" t="n"/>
      <c r="BI63" s="21" t="n"/>
      <c r="BJ63" s="21" t="n"/>
      <c r="BK63" s="21" t="n"/>
      <c r="BL63" s="21" t="n"/>
      <c r="BM63" s="21" t="n"/>
      <c r="BN63" s="21" t="n"/>
      <c r="BO63" s="21" t="n"/>
      <c r="BP63" s="21" t="n"/>
      <c r="BQ63" s="21" t="n"/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  <c r="CA63" s="21" t="n"/>
      <c r="CB63" s="21" t="n"/>
      <c r="CC63" s="21" t="n"/>
      <c r="CD63" s="21" t="n"/>
      <c r="CE63" s="21" t="n"/>
      <c r="CF63" s="21" t="n"/>
      <c r="CG63" s="21" t="n"/>
      <c r="CH63" s="21" t="n"/>
      <c r="CI63" s="21" t="n"/>
      <c r="CJ63" s="21" t="n"/>
      <c r="CK63" s="21" t="n"/>
      <c r="CL63" s="21" t="n"/>
      <c r="CM63" s="21" t="n"/>
      <c r="CN63" s="21" t="n"/>
      <c r="CO63" s="21" t="n"/>
      <c r="CP63" s="21" t="n"/>
      <c r="CQ63" s="21" t="n"/>
      <c r="CR63" s="21" t="n"/>
      <c r="CS63" s="21" t="n"/>
      <c r="CT63" s="21" t="n"/>
      <c r="CU63" s="21" t="n"/>
      <c r="CV63" s="21" t="n"/>
      <c r="CW63" s="21" t="n"/>
      <c r="CX63" s="21" t="n"/>
      <c r="CY63" s="21" t="n"/>
      <c r="CZ63" s="21" t="n"/>
      <c r="DA63" s="21" t="n"/>
      <c r="DB63" s="21" t="n"/>
      <c r="DC63" s="21" t="n"/>
      <c r="DD63" s="21" t="n"/>
      <c r="DE63" s="21" t="n"/>
      <c r="DF63" s="21" t="n"/>
      <c r="DG63" s="21" t="n"/>
      <c r="DH63" s="21" t="n"/>
      <c r="DI63" s="21" t="n"/>
      <c r="DJ63" s="21" t="n"/>
      <c r="DK63" s="21" t="n"/>
      <c r="DL63" s="21" t="n"/>
      <c r="DM63" s="21" t="n"/>
      <c r="DN63" s="21" t="n"/>
      <c r="DO63" s="21" t="n"/>
      <c r="DP63" s="21" t="n"/>
      <c r="DQ63" s="21" t="n"/>
      <c r="DR63" s="21" t="n"/>
      <c r="DS63" s="4">
        <f>SUM(C63:L63)*Inicio!$W$4</f>
        <v/>
      </c>
      <c r="DT63" s="4">
        <f>SUM(M63:V63)*Inicio!$W$5</f>
        <v/>
      </c>
      <c r="DU63" s="4">
        <f>SUM(W63:AF63)*Inicio!$W$6</f>
        <v/>
      </c>
      <c r="DV63" s="4">
        <f>SUM(AG63:AP63)*Inicio!$W$7</f>
        <v/>
      </c>
      <c r="DW63" s="4">
        <f>SUM(AQ63:AZ63)*Inicio!$W$8</f>
        <v/>
      </c>
      <c r="DX63" s="4">
        <f>SUM(BA63:BJ63)*Inicio!$W$9</f>
        <v/>
      </c>
      <c r="DY63" s="4">
        <f>SUM(BK63:BT63)*Inicio!$W$10</f>
        <v/>
      </c>
      <c r="DZ63" s="4">
        <f>SUM(BU63:CD63)*Inicio!$W$11</f>
        <v/>
      </c>
      <c r="EA63" s="4">
        <f>SUM(CE63:CN63)*Inicio!$W$12</f>
        <v/>
      </c>
      <c r="EB63" s="4">
        <f>SUM(CO63:CX63)*Inicio!$W$13</f>
        <v/>
      </c>
      <c r="EC63" s="4">
        <f>SUM(CY63:DH63)*Inicio!$W$11</f>
        <v/>
      </c>
      <c r="ED63" s="4">
        <f>SUM(DI63:DR63)*Inicio!$W$12</f>
        <v/>
      </c>
      <c r="EE63" s="4">
        <f>SUM(C63:DR63)</f>
        <v/>
      </c>
      <c r="EF63" s="4">
        <f>SUM(EE60:EE63)</f>
        <v/>
      </c>
      <c r="EG63" s="4">
        <f>SUM(DS63:ED63)</f>
        <v/>
      </c>
      <c r="EH63" s="4">
        <f>SUM(EG60:EG63)</f>
        <v/>
      </c>
    </row>
    <row r="64" ht="20.25" customHeight="1">
      <c r="B64" s="26" t="inlineStr">
        <is>
          <t>13:45 - 14:00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/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5">
        <f>SUM(C64:L64)*Inicio!$W$4</f>
        <v/>
      </c>
      <c r="DT64" s="5">
        <f>SUM(M64:V64)*Inicio!$W$5</f>
        <v/>
      </c>
      <c r="DU64" s="5">
        <f>SUM(W64:AF64)*Inicio!$W$6</f>
        <v/>
      </c>
      <c r="DV64" s="5">
        <f>SUM(AG64:AP64)*Inicio!$W$7</f>
        <v/>
      </c>
      <c r="DW64" s="5">
        <f>SUM(AQ64:AZ64)*Inicio!$W$8</f>
        <v/>
      </c>
      <c r="DX64" s="5">
        <f>SUM(BA64:BJ64)*Inicio!$W$9</f>
        <v/>
      </c>
      <c r="DY64" s="5">
        <f>SUM(BK64:BT64)*Inicio!$W$10</f>
        <v/>
      </c>
      <c r="DZ64" s="5">
        <f>SUM(BU64:CD64)*Inicio!$W$11</f>
        <v/>
      </c>
      <c r="EA64" s="5">
        <f>SUM(CE64:CN64)*Inicio!$W$12</f>
        <v/>
      </c>
      <c r="EB64" s="5">
        <f>SUM(CO64:CX64)*Inicio!$W$13</f>
        <v/>
      </c>
      <c r="EC64" s="5">
        <f>SUM(CY64:DH64)*Inicio!$W$11</f>
        <v/>
      </c>
      <c r="ED64" s="5">
        <f>SUM(DI64:DR64)*Inicio!$W$12</f>
        <v/>
      </c>
      <c r="EE64" s="5">
        <f>SUM(C64:DR64)</f>
        <v/>
      </c>
      <c r="EF64" s="5">
        <f>SUM(EE61:EE64)</f>
        <v/>
      </c>
      <c r="EG64" s="5">
        <f>SUM(DS64:ED64)</f>
        <v/>
      </c>
      <c r="EH64" s="5">
        <f>SUM(EG61:EG64)</f>
        <v/>
      </c>
    </row>
    <row r="65" ht="20.25" customHeight="1">
      <c r="B65" s="27" t="inlineStr">
        <is>
          <t>14:00 - 14:15</t>
        </is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  <c r="AV65" s="20" t="n"/>
      <c r="AW65" s="20" t="n"/>
      <c r="AX65" s="20" t="n"/>
      <c r="AY65" s="20" t="n"/>
      <c r="AZ65" s="20" t="n"/>
      <c r="BA65" s="20" t="n"/>
      <c r="BB65" s="20" t="n"/>
      <c r="BC65" s="20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  <c r="CD65" s="20" t="n"/>
      <c r="CE65" s="20" t="n"/>
      <c r="CF65" s="20" t="n"/>
      <c r="CG65" s="20" t="n"/>
      <c r="CH65" s="20" t="n"/>
      <c r="CI65" s="20" t="n"/>
      <c r="CJ65" s="20" t="n"/>
      <c r="CK65" s="20" t="n"/>
      <c r="CL65" s="20" t="n"/>
      <c r="CM65" s="20" t="n"/>
      <c r="CN65" s="20" t="n"/>
      <c r="CO65" s="20" t="n"/>
      <c r="CP65" s="20" t="n"/>
      <c r="CQ65" s="20" t="n"/>
      <c r="CR65" s="20" t="n"/>
      <c r="CS65" s="20" t="n"/>
      <c r="CT65" s="20" t="n"/>
      <c r="CU65" s="20" t="n"/>
      <c r="CV65" s="20" t="n"/>
      <c r="CW65" s="20" t="n"/>
      <c r="CX65" s="20" t="n"/>
      <c r="CY65" s="20" t="n"/>
      <c r="CZ65" s="20" t="n"/>
      <c r="DA65" s="20" t="n"/>
      <c r="DB65" s="20" t="n"/>
      <c r="DC65" s="20" t="n"/>
      <c r="DD65" s="20" t="n"/>
      <c r="DE65" s="20" t="n"/>
      <c r="DF65" s="20" t="n"/>
      <c r="DG65" s="20" t="n"/>
      <c r="DH65" s="20" t="n"/>
      <c r="DI65" s="20" t="n"/>
      <c r="DJ65" s="20" t="n"/>
      <c r="DK65" s="20" t="n"/>
      <c r="DL65" s="20" t="n"/>
      <c r="DM65" s="20" t="n"/>
      <c r="DN65" s="20" t="n"/>
      <c r="DO65" s="20" t="n"/>
      <c r="DP65" s="20" t="n"/>
      <c r="DQ65" s="20" t="n"/>
      <c r="DR65" s="20" t="n"/>
      <c r="DS65" s="3">
        <f>SUM(C65:L65)*Inicio!$W$4</f>
        <v/>
      </c>
      <c r="DT65" s="3">
        <f>SUM(M65:V65)*Inicio!$W$5</f>
        <v/>
      </c>
      <c r="DU65" s="3">
        <f>SUM(W65:AF65)*Inicio!$W$6</f>
        <v/>
      </c>
      <c r="DV65" s="3">
        <f>SUM(AG65:AP65)*Inicio!$W$7</f>
        <v/>
      </c>
      <c r="DW65" s="3">
        <f>SUM(AQ65:AZ65)*Inicio!$W$8</f>
        <v/>
      </c>
      <c r="DX65" s="3">
        <f>SUM(BA65:BJ65)*Inicio!$W$9</f>
        <v/>
      </c>
      <c r="DY65" s="3">
        <f>SUM(BK65:BT65)*Inicio!$W$10</f>
        <v/>
      </c>
      <c r="DZ65" s="3">
        <f>SUM(BU65:CD65)*Inicio!$W$11</f>
        <v/>
      </c>
      <c r="EA65" s="3">
        <f>SUM(CE65:CN65)*Inicio!$W$12</f>
        <v/>
      </c>
      <c r="EB65" s="3">
        <f>SUM(CO65:CX65)*Inicio!$W$13</f>
        <v/>
      </c>
      <c r="EC65" s="3">
        <f>SUM(CY65:DH65)*Inicio!$W$11</f>
        <v/>
      </c>
      <c r="ED65" s="3">
        <f>SUM(DI65:DR65)*Inicio!$W$12</f>
        <v/>
      </c>
      <c r="EE65" s="3">
        <f>SUM(C65:DR65)</f>
        <v/>
      </c>
      <c r="EF65" s="3">
        <f>SUM(EE62:EE65)</f>
        <v/>
      </c>
      <c r="EG65" s="3">
        <f>SUM(DS65:ED65)</f>
        <v/>
      </c>
      <c r="EH65" s="3">
        <f>SUM(EG62:EG65)</f>
        <v/>
      </c>
    </row>
    <row r="66" ht="20.25" customHeight="1">
      <c r="B66" s="28" t="inlineStr">
        <is>
          <t>14:15 - 14:30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21" t="n"/>
      <c r="AV66" s="21" t="n"/>
      <c r="AW66" s="21" t="n"/>
      <c r="AX66" s="21" t="n"/>
      <c r="AY66" s="21" t="n"/>
      <c r="AZ66" s="21" t="n"/>
      <c r="BA66" s="21" t="n"/>
      <c r="BB66" s="21" t="n"/>
      <c r="BC66" s="21" t="n"/>
      <c r="BD66" s="21" t="n"/>
      <c r="BE66" s="21" t="n"/>
      <c r="BF66" s="21" t="n"/>
      <c r="BG66" s="21" t="n"/>
      <c r="BH66" s="21" t="n"/>
      <c r="BI66" s="21" t="n"/>
      <c r="BJ66" s="21" t="n"/>
      <c r="BK66" s="21" t="n"/>
      <c r="BL66" s="21" t="n"/>
      <c r="BM66" s="21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  <c r="CA66" s="21" t="n"/>
      <c r="CB66" s="21" t="n"/>
      <c r="CC66" s="21" t="n"/>
      <c r="CD66" s="21" t="n"/>
      <c r="CE66" s="21" t="n"/>
      <c r="CF66" s="21" t="n"/>
      <c r="CG66" s="21" t="n"/>
      <c r="CH66" s="21" t="n"/>
      <c r="CI66" s="21" t="n"/>
      <c r="CJ66" s="21" t="n"/>
      <c r="CK66" s="21" t="n"/>
      <c r="CL66" s="21" t="n"/>
      <c r="CM66" s="21" t="n"/>
      <c r="CN66" s="21" t="n"/>
      <c r="CO66" s="21" t="n"/>
      <c r="CP66" s="21" t="n"/>
      <c r="CQ66" s="21" t="n"/>
      <c r="CR66" s="21" t="n"/>
      <c r="CS66" s="21" t="n"/>
      <c r="CT66" s="21" t="n"/>
      <c r="CU66" s="21" t="n"/>
      <c r="CV66" s="21" t="n"/>
      <c r="CW66" s="21" t="n"/>
      <c r="CX66" s="21" t="n"/>
      <c r="CY66" s="21" t="n"/>
      <c r="CZ66" s="21" t="n"/>
      <c r="DA66" s="21" t="n"/>
      <c r="DB66" s="21" t="n"/>
      <c r="DC66" s="21" t="n"/>
      <c r="DD66" s="21" t="n"/>
      <c r="DE66" s="21" t="n"/>
      <c r="DF66" s="21" t="n"/>
      <c r="DG66" s="21" t="n"/>
      <c r="DH66" s="21" t="n"/>
      <c r="DI66" s="21" t="n"/>
      <c r="DJ66" s="21" t="n"/>
      <c r="DK66" s="21" t="n"/>
      <c r="DL66" s="21" t="n"/>
      <c r="DM66" s="21" t="n"/>
      <c r="DN66" s="21" t="n"/>
      <c r="DO66" s="21" t="n"/>
      <c r="DP66" s="21" t="n"/>
      <c r="DQ66" s="21" t="n"/>
      <c r="DR66" s="21" t="n"/>
      <c r="DS66" s="4">
        <f>SUM(C66:L66)*Inicio!$W$4</f>
        <v/>
      </c>
      <c r="DT66" s="4">
        <f>SUM(M66:V66)*Inicio!$W$5</f>
        <v/>
      </c>
      <c r="DU66" s="4">
        <f>SUM(W66:AF66)*Inicio!$W$6</f>
        <v/>
      </c>
      <c r="DV66" s="4">
        <f>SUM(AG66:AP66)*Inicio!$W$7</f>
        <v/>
      </c>
      <c r="DW66" s="4">
        <f>SUM(AQ66:AZ66)*Inicio!$W$8</f>
        <v/>
      </c>
      <c r="DX66" s="4">
        <f>SUM(BA66:BJ66)*Inicio!$W$9</f>
        <v/>
      </c>
      <c r="DY66" s="4">
        <f>SUM(BK66:BT66)*Inicio!$W$10</f>
        <v/>
      </c>
      <c r="DZ66" s="4">
        <f>SUM(BU66:CD66)*Inicio!$W$11</f>
        <v/>
      </c>
      <c r="EA66" s="4">
        <f>SUM(CE66:CN66)*Inicio!$W$12</f>
        <v/>
      </c>
      <c r="EB66" s="4">
        <f>SUM(CO66:CX66)*Inicio!$W$13</f>
        <v/>
      </c>
      <c r="EC66" s="4">
        <f>SUM(CY66:DH66)*Inicio!$W$11</f>
        <v/>
      </c>
      <c r="ED66" s="4">
        <f>SUM(DI66:DR66)*Inicio!$W$12</f>
        <v/>
      </c>
      <c r="EE66" s="4">
        <f>SUM(C66:DR66)</f>
        <v/>
      </c>
      <c r="EF66" s="4">
        <f>SUM(EE63:EE66)</f>
        <v/>
      </c>
      <c r="EG66" s="4">
        <f>SUM(DS66:ED66)</f>
        <v/>
      </c>
      <c r="EH66" s="4">
        <f>SUM(EG63:EG66)</f>
        <v/>
      </c>
    </row>
    <row r="67" ht="20.25" customHeight="1">
      <c r="B67" s="28" t="inlineStr">
        <is>
          <t>14:30 - 14:45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21" t="n"/>
      <c r="AV67" s="21" t="n"/>
      <c r="AW67" s="21" t="n"/>
      <c r="AX67" s="21" t="n"/>
      <c r="AY67" s="21" t="n"/>
      <c r="AZ67" s="21" t="n"/>
      <c r="BA67" s="21" t="n"/>
      <c r="BB67" s="21" t="n"/>
      <c r="BC67" s="21" t="n"/>
      <c r="BD67" s="21" t="n"/>
      <c r="BE67" s="21" t="n"/>
      <c r="BF67" s="21" t="n"/>
      <c r="BG67" s="21" t="n"/>
      <c r="BH67" s="21" t="n"/>
      <c r="BI67" s="21" t="n"/>
      <c r="BJ67" s="21" t="n"/>
      <c r="BK67" s="21" t="n"/>
      <c r="BL67" s="21" t="n"/>
      <c r="BM67" s="21" t="n"/>
      <c r="BN67" s="21" t="n"/>
      <c r="BO67" s="21" t="n"/>
      <c r="BP67" s="21" t="n"/>
      <c r="BQ67" s="21" t="n"/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  <c r="CA67" s="21" t="n"/>
      <c r="CB67" s="21" t="n"/>
      <c r="CC67" s="21" t="n"/>
      <c r="CD67" s="21" t="n"/>
      <c r="CE67" s="21" t="n"/>
      <c r="CF67" s="21" t="n"/>
      <c r="CG67" s="21" t="n"/>
      <c r="CH67" s="21" t="n"/>
      <c r="CI67" s="21" t="n"/>
      <c r="CJ67" s="21" t="n"/>
      <c r="CK67" s="21" t="n"/>
      <c r="CL67" s="21" t="n"/>
      <c r="CM67" s="21" t="n"/>
      <c r="CN67" s="21" t="n"/>
      <c r="CO67" s="21" t="n"/>
      <c r="CP67" s="21" t="n"/>
      <c r="CQ67" s="21" t="n"/>
      <c r="CR67" s="21" t="n"/>
      <c r="CS67" s="21" t="n"/>
      <c r="CT67" s="21" t="n"/>
      <c r="CU67" s="21" t="n"/>
      <c r="CV67" s="21" t="n"/>
      <c r="CW67" s="21" t="n"/>
      <c r="CX67" s="21" t="n"/>
      <c r="CY67" s="21" t="n"/>
      <c r="CZ67" s="21" t="n"/>
      <c r="DA67" s="21" t="n"/>
      <c r="DB67" s="21" t="n"/>
      <c r="DC67" s="21" t="n"/>
      <c r="DD67" s="21" t="n"/>
      <c r="DE67" s="21" t="n"/>
      <c r="DF67" s="21" t="n"/>
      <c r="DG67" s="21" t="n"/>
      <c r="DH67" s="21" t="n"/>
      <c r="DI67" s="21" t="n"/>
      <c r="DJ67" s="21" t="n"/>
      <c r="DK67" s="21" t="n"/>
      <c r="DL67" s="21" t="n"/>
      <c r="DM67" s="21" t="n"/>
      <c r="DN67" s="21" t="n"/>
      <c r="DO67" s="21" t="n"/>
      <c r="DP67" s="21" t="n"/>
      <c r="DQ67" s="21" t="n"/>
      <c r="DR67" s="21" t="n"/>
      <c r="DS67" s="4">
        <f>SUM(C67:L67)*Inicio!$W$4</f>
        <v/>
      </c>
      <c r="DT67" s="4">
        <f>SUM(M67:V67)*Inicio!$W$5</f>
        <v/>
      </c>
      <c r="DU67" s="4">
        <f>SUM(W67:AF67)*Inicio!$W$6</f>
        <v/>
      </c>
      <c r="DV67" s="4">
        <f>SUM(AG67:AP67)*Inicio!$W$7</f>
        <v/>
      </c>
      <c r="DW67" s="4">
        <f>SUM(AQ67:AZ67)*Inicio!$W$8</f>
        <v/>
      </c>
      <c r="DX67" s="4">
        <f>SUM(BA67:BJ67)*Inicio!$W$9</f>
        <v/>
      </c>
      <c r="DY67" s="4">
        <f>SUM(BK67:BT67)*Inicio!$W$10</f>
        <v/>
      </c>
      <c r="DZ67" s="4">
        <f>SUM(BU67:CD67)*Inicio!$W$11</f>
        <v/>
      </c>
      <c r="EA67" s="4">
        <f>SUM(CE67:CN67)*Inicio!$W$12</f>
        <v/>
      </c>
      <c r="EB67" s="4">
        <f>SUM(CO67:CX67)*Inicio!$W$13</f>
        <v/>
      </c>
      <c r="EC67" s="4">
        <f>SUM(CY67:DH67)*Inicio!$W$11</f>
        <v/>
      </c>
      <c r="ED67" s="4">
        <f>SUM(DI67:DR67)*Inicio!$W$12</f>
        <v/>
      </c>
      <c r="EE67" s="4">
        <f>SUM(C67:DR67)</f>
        <v/>
      </c>
      <c r="EF67" s="4">
        <f>SUM(EE64:EE67)</f>
        <v/>
      </c>
      <c r="EG67" s="4">
        <f>SUM(DS67:ED67)</f>
        <v/>
      </c>
      <c r="EH67" s="4">
        <f>SUM(EG64:EG67)</f>
        <v/>
      </c>
    </row>
    <row r="68" ht="20.25" customHeight="1">
      <c r="B68" s="26" t="inlineStr">
        <is>
          <t>14:45 - 15:00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/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5">
        <f>SUM(C68:L68)*Inicio!$W$4</f>
        <v/>
      </c>
      <c r="DT68" s="5">
        <f>SUM(M68:V68)*Inicio!$W$5</f>
        <v/>
      </c>
      <c r="DU68" s="5">
        <f>SUM(W68:AF68)*Inicio!$W$6</f>
        <v/>
      </c>
      <c r="DV68" s="5">
        <f>SUM(AG68:AP68)*Inicio!$W$7</f>
        <v/>
      </c>
      <c r="DW68" s="5">
        <f>SUM(AQ68:AZ68)*Inicio!$W$8</f>
        <v/>
      </c>
      <c r="DX68" s="5">
        <f>SUM(BA68:BJ68)*Inicio!$W$9</f>
        <v/>
      </c>
      <c r="DY68" s="5">
        <f>SUM(BK68:BT68)*Inicio!$W$10</f>
        <v/>
      </c>
      <c r="DZ68" s="5">
        <f>SUM(BU68:CD68)*Inicio!$W$11</f>
        <v/>
      </c>
      <c r="EA68" s="5">
        <f>SUM(CE68:CN68)*Inicio!$W$12</f>
        <v/>
      </c>
      <c r="EB68" s="5">
        <f>SUM(CO68:CX68)*Inicio!$W$13</f>
        <v/>
      </c>
      <c r="EC68" s="5">
        <f>SUM(CY68:DH68)*Inicio!$W$11</f>
        <v/>
      </c>
      <c r="ED68" s="5">
        <f>SUM(DI68:DR68)*Inicio!$W$12</f>
        <v/>
      </c>
      <c r="EE68" s="5">
        <f>SUM(C68:DR68)</f>
        <v/>
      </c>
      <c r="EF68" s="5">
        <f>SUM(EE65:EE68)</f>
        <v/>
      </c>
      <c r="EG68" s="5">
        <f>SUM(DS68:ED68)</f>
        <v/>
      </c>
      <c r="EH68" s="5">
        <f>SUM(EG65:EG68)</f>
        <v/>
      </c>
    </row>
    <row r="69" ht="20.25" customHeight="1">
      <c r="B69" s="27" t="inlineStr">
        <is>
          <t>15:00 - 15:15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  <c r="AV69" s="20" t="n"/>
      <c r="AW69" s="20" t="n"/>
      <c r="AX69" s="20" t="n"/>
      <c r="AY69" s="20" t="n"/>
      <c r="AZ69" s="20" t="n"/>
      <c r="BA69" s="20" t="n"/>
      <c r="BB69" s="20" t="n"/>
      <c r="BC69" s="20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  <c r="CD69" s="20" t="n"/>
      <c r="CE69" s="20" t="n"/>
      <c r="CF69" s="20" t="n"/>
      <c r="CG69" s="20" t="n"/>
      <c r="CH69" s="20" t="n"/>
      <c r="CI69" s="20" t="n"/>
      <c r="CJ69" s="20" t="n"/>
      <c r="CK69" s="20" t="n"/>
      <c r="CL69" s="20" t="n"/>
      <c r="CM69" s="20" t="n"/>
      <c r="CN69" s="20" t="n"/>
      <c r="CO69" s="20" t="n"/>
      <c r="CP69" s="20" t="n"/>
      <c r="CQ69" s="20" t="n"/>
      <c r="CR69" s="20" t="n"/>
      <c r="CS69" s="20" t="n"/>
      <c r="CT69" s="20" t="n"/>
      <c r="CU69" s="20" t="n"/>
      <c r="CV69" s="20" t="n"/>
      <c r="CW69" s="20" t="n"/>
      <c r="CX69" s="20" t="n"/>
      <c r="CY69" s="20" t="n"/>
      <c r="CZ69" s="20" t="n"/>
      <c r="DA69" s="20" t="n"/>
      <c r="DB69" s="20" t="n"/>
      <c r="DC69" s="20" t="n"/>
      <c r="DD69" s="20" t="n"/>
      <c r="DE69" s="20" t="n"/>
      <c r="DF69" s="20" t="n"/>
      <c r="DG69" s="20" t="n"/>
      <c r="DH69" s="20" t="n"/>
      <c r="DI69" s="20" t="n"/>
      <c r="DJ69" s="20" t="n"/>
      <c r="DK69" s="20" t="n"/>
      <c r="DL69" s="20" t="n"/>
      <c r="DM69" s="20" t="n"/>
      <c r="DN69" s="20" t="n"/>
      <c r="DO69" s="20" t="n"/>
      <c r="DP69" s="20" t="n"/>
      <c r="DQ69" s="20" t="n"/>
      <c r="DR69" s="20" t="n"/>
      <c r="DS69" s="3">
        <f>SUM(C69:L69)*Inicio!$W$4</f>
        <v/>
      </c>
      <c r="DT69" s="3">
        <f>SUM(M69:V69)*Inicio!$W$5</f>
        <v/>
      </c>
      <c r="DU69" s="3">
        <f>SUM(W69:AF69)*Inicio!$W$6</f>
        <v/>
      </c>
      <c r="DV69" s="3">
        <f>SUM(AG69:AP69)*Inicio!$W$7</f>
        <v/>
      </c>
      <c r="DW69" s="3">
        <f>SUM(AQ69:AZ69)*Inicio!$W$8</f>
        <v/>
      </c>
      <c r="DX69" s="3">
        <f>SUM(BA69:BJ69)*Inicio!$W$9</f>
        <v/>
      </c>
      <c r="DY69" s="3">
        <f>SUM(BK69:BT69)*Inicio!$W$10</f>
        <v/>
      </c>
      <c r="DZ69" s="3">
        <f>SUM(BU69:CD69)*Inicio!$W$11</f>
        <v/>
      </c>
      <c r="EA69" s="3">
        <f>SUM(CE69:CN69)*Inicio!$W$12</f>
        <v/>
      </c>
      <c r="EB69" s="3">
        <f>SUM(CO69:CX69)*Inicio!$W$13</f>
        <v/>
      </c>
      <c r="EC69" s="3">
        <f>SUM(CY69:DH69)*Inicio!$W$11</f>
        <v/>
      </c>
      <c r="ED69" s="3">
        <f>SUM(DI69:DR69)*Inicio!$W$12</f>
        <v/>
      </c>
      <c r="EE69" s="3">
        <f>SUM(C69:DR69)</f>
        <v/>
      </c>
      <c r="EF69" s="3">
        <f>SUM(EE66:EE69)</f>
        <v/>
      </c>
      <c r="EG69" s="3">
        <f>SUM(DS69:ED69)</f>
        <v/>
      </c>
      <c r="EH69" s="3">
        <f>SUM(EG66:EG69)</f>
        <v/>
      </c>
    </row>
    <row r="70" ht="20.25" customHeight="1">
      <c r="B70" s="28" t="inlineStr">
        <is>
          <t>15:15 - 15:30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21" t="n"/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  <c r="BF70" s="21" t="n"/>
      <c r="BG70" s="21" t="n"/>
      <c r="BH70" s="21" t="n"/>
      <c r="BI70" s="21" t="n"/>
      <c r="BJ70" s="21" t="n"/>
      <c r="BK70" s="21" t="n"/>
      <c r="BL70" s="21" t="n"/>
      <c r="BM70" s="21" t="n"/>
      <c r="BN70" s="21" t="n"/>
      <c r="BO70" s="21" t="n"/>
      <c r="BP70" s="21" t="n"/>
      <c r="BQ70" s="21" t="n"/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  <c r="CA70" s="21" t="n"/>
      <c r="CB70" s="21" t="n"/>
      <c r="CC70" s="21" t="n"/>
      <c r="CD70" s="21" t="n"/>
      <c r="CE70" s="21" t="n"/>
      <c r="CF70" s="21" t="n"/>
      <c r="CG70" s="21" t="n"/>
      <c r="CH70" s="21" t="n"/>
      <c r="CI70" s="21" t="n"/>
      <c r="CJ70" s="21" t="n"/>
      <c r="CK70" s="21" t="n"/>
      <c r="CL70" s="21" t="n"/>
      <c r="CM70" s="21" t="n"/>
      <c r="CN70" s="21" t="n"/>
      <c r="CO70" s="21" t="n"/>
      <c r="CP70" s="21" t="n"/>
      <c r="CQ70" s="21" t="n"/>
      <c r="CR70" s="21" t="n"/>
      <c r="CS70" s="21" t="n"/>
      <c r="CT70" s="21" t="n"/>
      <c r="CU70" s="21" t="n"/>
      <c r="CV70" s="21" t="n"/>
      <c r="CW70" s="21" t="n"/>
      <c r="CX70" s="21" t="n"/>
      <c r="CY70" s="21" t="n"/>
      <c r="CZ70" s="21" t="n"/>
      <c r="DA70" s="21" t="n"/>
      <c r="DB70" s="21" t="n"/>
      <c r="DC70" s="21" t="n"/>
      <c r="DD70" s="21" t="n"/>
      <c r="DE70" s="21" t="n"/>
      <c r="DF70" s="21" t="n"/>
      <c r="DG70" s="21" t="n"/>
      <c r="DH70" s="21" t="n"/>
      <c r="DI70" s="21" t="n"/>
      <c r="DJ70" s="21" t="n"/>
      <c r="DK70" s="21" t="n"/>
      <c r="DL70" s="21" t="n"/>
      <c r="DM70" s="21" t="n"/>
      <c r="DN70" s="21" t="n"/>
      <c r="DO70" s="21" t="n"/>
      <c r="DP70" s="21" t="n"/>
      <c r="DQ70" s="21" t="n"/>
      <c r="DR70" s="21" t="n"/>
      <c r="DS70" s="4">
        <f>SUM(C70:L70)*Inicio!$W$4</f>
        <v/>
      </c>
      <c r="DT70" s="4">
        <f>SUM(M70:V70)*Inicio!$W$5</f>
        <v/>
      </c>
      <c r="DU70" s="4">
        <f>SUM(W70:AF70)*Inicio!$W$6</f>
        <v/>
      </c>
      <c r="DV70" s="4">
        <f>SUM(AG70:AP70)*Inicio!$W$7</f>
        <v/>
      </c>
      <c r="DW70" s="4">
        <f>SUM(AQ70:AZ70)*Inicio!$W$8</f>
        <v/>
      </c>
      <c r="DX70" s="4">
        <f>SUM(BA70:BJ70)*Inicio!$W$9</f>
        <v/>
      </c>
      <c r="DY70" s="4">
        <f>SUM(BK70:BT70)*Inicio!$W$10</f>
        <v/>
      </c>
      <c r="DZ70" s="4">
        <f>SUM(BU70:CD70)*Inicio!$W$11</f>
        <v/>
      </c>
      <c r="EA70" s="4">
        <f>SUM(CE70:CN70)*Inicio!$W$12</f>
        <v/>
      </c>
      <c r="EB70" s="4">
        <f>SUM(CO70:CX70)*Inicio!$W$13</f>
        <v/>
      </c>
      <c r="EC70" s="4">
        <f>SUM(CY70:DH70)*Inicio!$W$11</f>
        <v/>
      </c>
      <c r="ED70" s="4">
        <f>SUM(DI70:DR70)*Inicio!$W$12</f>
        <v/>
      </c>
      <c r="EE70" s="4">
        <f>SUM(C70:DR70)</f>
        <v/>
      </c>
      <c r="EF70" s="4">
        <f>SUM(EE67:EE70)</f>
        <v/>
      </c>
      <c r="EG70" s="4">
        <f>SUM(DS70:ED70)</f>
        <v/>
      </c>
      <c r="EH70" s="4">
        <f>SUM(EG67:EG70)</f>
        <v/>
      </c>
    </row>
    <row r="71" ht="20.25" customHeight="1">
      <c r="B71" s="28" t="inlineStr">
        <is>
          <t>15:30 - 15:45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21" t="n"/>
      <c r="AV71" s="21" t="n"/>
      <c r="AW71" s="21" t="n"/>
      <c r="AX71" s="21" t="n"/>
      <c r="AY71" s="21" t="n"/>
      <c r="AZ71" s="21" t="n"/>
      <c r="BA71" s="21" t="n"/>
      <c r="BB71" s="21" t="n"/>
      <c r="BC71" s="21" t="n"/>
      <c r="BD71" s="21" t="n"/>
      <c r="BE71" s="21" t="n"/>
      <c r="BF71" s="21" t="n"/>
      <c r="BG71" s="21" t="n"/>
      <c r="BH71" s="21" t="n"/>
      <c r="BI71" s="21" t="n"/>
      <c r="BJ71" s="21" t="n"/>
      <c r="BK71" s="21" t="n"/>
      <c r="BL71" s="21" t="n"/>
      <c r="BM71" s="21" t="n"/>
      <c r="BN71" s="21" t="n"/>
      <c r="BO71" s="21" t="n"/>
      <c r="BP71" s="21" t="n"/>
      <c r="BQ71" s="21" t="n"/>
      <c r="BR71" s="21" t="n"/>
      <c r="BS71" s="21" t="n"/>
      <c r="BT71" s="21" t="n"/>
      <c r="BU71" s="21" t="n"/>
      <c r="BV71" s="21" t="n"/>
      <c r="BW71" s="21" t="n"/>
      <c r="BX71" s="21" t="n"/>
      <c r="BY71" s="21" t="n"/>
      <c r="BZ71" s="21" t="n"/>
      <c r="CA71" s="21" t="n"/>
      <c r="CB71" s="21" t="n"/>
      <c r="CC71" s="21" t="n"/>
      <c r="CD71" s="21" t="n"/>
      <c r="CE71" s="21" t="n"/>
      <c r="CF71" s="21" t="n"/>
      <c r="CG71" s="21" t="n"/>
      <c r="CH71" s="21" t="n"/>
      <c r="CI71" s="21" t="n"/>
      <c r="CJ71" s="21" t="n"/>
      <c r="CK71" s="21" t="n"/>
      <c r="CL71" s="21" t="n"/>
      <c r="CM71" s="21" t="n"/>
      <c r="CN71" s="21" t="n"/>
      <c r="CO71" s="21" t="n"/>
      <c r="CP71" s="21" t="n"/>
      <c r="CQ71" s="21" t="n"/>
      <c r="CR71" s="21" t="n"/>
      <c r="CS71" s="21" t="n"/>
      <c r="CT71" s="21" t="n"/>
      <c r="CU71" s="21" t="n"/>
      <c r="CV71" s="21" t="n"/>
      <c r="CW71" s="21" t="n"/>
      <c r="CX71" s="21" t="n"/>
      <c r="CY71" s="21" t="n"/>
      <c r="CZ71" s="21" t="n"/>
      <c r="DA71" s="21" t="n"/>
      <c r="DB71" s="21" t="n"/>
      <c r="DC71" s="21" t="n"/>
      <c r="DD71" s="21" t="n"/>
      <c r="DE71" s="21" t="n"/>
      <c r="DF71" s="21" t="n"/>
      <c r="DG71" s="21" t="n"/>
      <c r="DH71" s="21" t="n"/>
      <c r="DI71" s="21" t="n"/>
      <c r="DJ71" s="21" t="n"/>
      <c r="DK71" s="21" t="n"/>
      <c r="DL71" s="21" t="n"/>
      <c r="DM71" s="21" t="n"/>
      <c r="DN71" s="21" t="n"/>
      <c r="DO71" s="21" t="n"/>
      <c r="DP71" s="21" t="n"/>
      <c r="DQ71" s="21" t="n"/>
      <c r="DR71" s="21" t="n"/>
      <c r="DS71" s="4">
        <f>SUM(C71:L71)*Inicio!$W$4</f>
        <v/>
      </c>
      <c r="DT71" s="4">
        <f>SUM(M71:V71)*Inicio!$W$5</f>
        <v/>
      </c>
      <c r="DU71" s="4">
        <f>SUM(W71:AF71)*Inicio!$W$6</f>
        <v/>
      </c>
      <c r="DV71" s="4">
        <f>SUM(AG71:AP71)*Inicio!$W$7</f>
        <v/>
      </c>
      <c r="DW71" s="4">
        <f>SUM(AQ71:AZ71)*Inicio!$W$8</f>
        <v/>
      </c>
      <c r="DX71" s="4">
        <f>SUM(BA71:BJ71)*Inicio!$W$9</f>
        <v/>
      </c>
      <c r="DY71" s="4">
        <f>SUM(BK71:BT71)*Inicio!$W$10</f>
        <v/>
      </c>
      <c r="DZ71" s="4">
        <f>SUM(BU71:CD71)*Inicio!$W$11</f>
        <v/>
      </c>
      <c r="EA71" s="4">
        <f>SUM(CE71:CN71)*Inicio!$W$12</f>
        <v/>
      </c>
      <c r="EB71" s="4">
        <f>SUM(CO71:CX71)*Inicio!$W$13</f>
        <v/>
      </c>
      <c r="EC71" s="4">
        <f>SUM(CY71:DH71)*Inicio!$W$11</f>
        <v/>
      </c>
      <c r="ED71" s="4">
        <f>SUM(DI71:DR71)*Inicio!$W$12</f>
        <v/>
      </c>
      <c r="EE71" s="4">
        <f>SUM(C71:DR71)</f>
        <v/>
      </c>
      <c r="EF71" s="4">
        <f>SUM(EE68:EE71)</f>
        <v/>
      </c>
      <c r="EG71" s="4">
        <f>SUM(DS71:ED71)</f>
        <v/>
      </c>
      <c r="EH71" s="4">
        <f>SUM(EG68:EG71)</f>
        <v/>
      </c>
    </row>
    <row r="72" ht="20.25" customHeight="1">
      <c r="B72" s="26" t="inlineStr">
        <is>
          <t>15:45 - 16:00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/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5">
        <f>SUM(C72:L72)*Inicio!$W$4</f>
        <v/>
      </c>
      <c r="DT72" s="5">
        <f>SUM(M72:V72)*Inicio!$W$5</f>
        <v/>
      </c>
      <c r="DU72" s="5">
        <f>SUM(W72:AF72)*Inicio!$W$6</f>
        <v/>
      </c>
      <c r="DV72" s="5">
        <f>SUM(AG72:AP72)*Inicio!$W$7</f>
        <v/>
      </c>
      <c r="DW72" s="5">
        <f>SUM(AQ72:AZ72)*Inicio!$W$8</f>
        <v/>
      </c>
      <c r="DX72" s="5">
        <f>SUM(BA72:BJ72)*Inicio!$W$9</f>
        <v/>
      </c>
      <c r="DY72" s="5">
        <f>SUM(BK72:BT72)*Inicio!$W$10</f>
        <v/>
      </c>
      <c r="DZ72" s="5">
        <f>SUM(BU72:CD72)*Inicio!$W$11</f>
        <v/>
      </c>
      <c r="EA72" s="5">
        <f>SUM(CE72:CN72)*Inicio!$W$12</f>
        <v/>
      </c>
      <c r="EB72" s="5">
        <f>SUM(CO72:CX72)*Inicio!$W$13</f>
        <v/>
      </c>
      <c r="EC72" s="5">
        <f>SUM(CY72:DH72)*Inicio!$W$11</f>
        <v/>
      </c>
      <c r="ED72" s="5">
        <f>SUM(DI72:DR72)*Inicio!$W$12</f>
        <v/>
      </c>
      <c r="EE72" s="5">
        <f>SUM(C72:DR72)</f>
        <v/>
      </c>
      <c r="EF72" s="5">
        <f>SUM(EE69:EE72)</f>
        <v/>
      </c>
      <c r="EG72" s="5">
        <f>SUM(DS72:ED72)</f>
        <v/>
      </c>
      <c r="EH72" s="5">
        <f>SUM(EG69:EG72)</f>
        <v/>
      </c>
    </row>
    <row r="73" ht="20.25" customHeight="1">
      <c r="B73" s="27" t="inlineStr">
        <is>
          <t>16:00 - 16:15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  <c r="BF73" s="20" t="n"/>
      <c r="BG73" s="20" t="n"/>
      <c r="BH73" s="20" t="n"/>
      <c r="BI73" s="20" t="n"/>
      <c r="BJ73" s="20" t="n"/>
      <c r="BK73" s="20" t="n"/>
      <c r="BL73" s="20" t="n"/>
      <c r="BM73" s="20" t="n"/>
      <c r="BN73" s="20" t="n"/>
      <c r="BO73" s="20" t="n"/>
      <c r="BP73" s="20" t="n"/>
      <c r="BQ73" s="20" t="n"/>
      <c r="BR73" s="20" t="n"/>
      <c r="BS73" s="20" t="n"/>
      <c r="BT73" s="20" t="n"/>
      <c r="BU73" s="20" t="n"/>
      <c r="BV73" s="20" t="n"/>
      <c r="BW73" s="20" t="n"/>
      <c r="BX73" s="20" t="n"/>
      <c r="BY73" s="20" t="n"/>
      <c r="BZ73" s="20" t="n"/>
      <c r="CA73" s="20" t="n"/>
      <c r="CB73" s="20" t="n"/>
      <c r="CC73" s="20" t="n"/>
      <c r="CD73" s="20" t="n"/>
      <c r="CE73" s="20" t="n"/>
      <c r="CF73" s="20" t="n"/>
      <c r="CG73" s="20" t="n"/>
      <c r="CH73" s="20" t="n"/>
      <c r="CI73" s="20" t="n"/>
      <c r="CJ73" s="20" t="n"/>
      <c r="CK73" s="20" t="n"/>
      <c r="CL73" s="20" t="n"/>
      <c r="CM73" s="20" t="n"/>
      <c r="CN73" s="20" t="n"/>
      <c r="CO73" s="20" t="n"/>
      <c r="CP73" s="20" t="n"/>
      <c r="CQ73" s="20" t="n"/>
      <c r="CR73" s="20" t="n"/>
      <c r="CS73" s="20" t="n"/>
      <c r="CT73" s="20" t="n"/>
      <c r="CU73" s="20" t="n"/>
      <c r="CV73" s="20" t="n"/>
      <c r="CW73" s="20" t="n"/>
      <c r="CX73" s="20" t="n"/>
      <c r="CY73" s="20" t="n"/>
      <c r="CZ73" s="20" t="n"/>
      <c r="DA73" s="20" t="n"/>
      <c r="DB73" s="20" t="n"/>
      <c r="DC73" s="20" t="n"/>
      <c r="DD73" s="20" t="n"/>
      <c r="DE73" s="20" t="n"/>
      <c r="DF73" s="20" t="n"/>
      <c r="DG73" s="20" t="n"/>
      <c r="DH73" s="20" t="n"/>
      <c r="DI73" s="20" t="n"/>
      <c r="DJ73" s="20" t="n"/>
      <c r="DK73" s="20" t="n"/>
      <c r="DL73" s="20" t="n"/>
      <c r="DM73" s="20" t="n"/>
      <c r="DN73" s="20" t="n"/>
      <c r="DO73" s="20" t="n"/>
      <c r="DP73" s="20" t="n"/>
      <c r="DQ73" s="20" t="n"/>
      <c r="DR73" s="20" t="n"/>
      <c r="DS73" s="3">
        <f>SUM(C73:L73)*Inicio!$W$4</f>
        <v/>
      </c>
      <c r="DT73" s="3">
        <f>SUM(M73:V73)*Inicio!$W$5</f>
        <v/>
      </c>
      <c r="DU73" s="3">
        <f>SUM(W73:AF73)*Inicio!$W$6</f>
        <v/>
      </c>
      <c r="DV73" s="3">
        <f>SUM(AG73:AP73)*Inicio!$W$7</f>
        <v/>
      </c>
      <c r="DW73" s="3">
        <f>SUM(AQ73:AZ73)*Inicio!$W$8</f>
        <v/>
      </c>
      <c r="DX73" s="3">
        <f>SUM(BA73:BJ73)*Inicio!$W$9</f>
        <v/>
      </c>
      <c r="DY73" s="3">
        <f>SUM(BK73:BT73)*Inicio!$W$10</f>
        <v/>
      </c>
      <c r="DZ73" s="3">
        <f>SUM(BU73:CD73)*Inicio!$W$11</f>
        <v/>
      </c>
      <c r="EA73" s="3">
        <f>SUM(CE73:CN73)*Inicio!$W$12</f>
        <v/>
      </c>
      <c r="EB73" s="3">
        <f>SUM(CO73:CX73)*Inicio!$W$13</f>
        <v/>
      </c>
      <c r="EC73" s="3">
        <f>SUM(CY73:DH73)*Inicio!$W$11</f>
        <v/>
      </c>
      <c r="ED73" s="3">
        <f>SUM(DI73:DR73)*Inicio!$W$12</f>
        <v/>
      </c>
      <c r="EE73" s="3">
        <f>SUM(C73:DR73)</f>
        <v/>
      </c>
      <c r="EF73" s="3">
        <f>SUM(EE70:EE73)</f>
        <v/>
      </c>
      <c r="EG73" s="3">
        <f>SUM(DS73:ED73)</f>
        <v/>
      </c>
      <c r="EH73" s="3">
        <f>SUM(EG70:EG73)</f>
        <v/>
      </c>
    </row>
    <row r="74" ht="20.25" customHeight="1">
      <c r="B74" s="28" t="inlineStr">
        <is>
          <t>16:15 - 16:30</t>
        </is>
      </c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  <c r="AO74" s="21" t="n"/>
      <c r="AP74" s="21" t="n"/>
      <c r="AQ74" s="21" t="n"/>
      <c r="AR74" s="21" t="n"/>
      <c r="AS74" s="21" t="n"/>
      <c r="AT74" s="21" t="n"/>
      <c r="AU74" s="21" t="n"/>
      <c r="AV74" s="21" t="n"/>
      <c r="AW74" s="21" t="n"/>
      <c r="AX74" s="21" t="n"/>
      <c r="AY74" s="21" t="n"/>
      <c r="AZ74" s="21" t="n"/>
      <c r="BA74" s="21" t="n"/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21" t="n"/>
      <c r="BL74" s="21" t="n"/>
      <c r="BM74" s="21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 t="n"/>
      <c r="CA74" s="21" t="n"/>
      <c r="CB74" s="21" t="n"/>
      <c r="CC74" s="21" t="n"/>
      <c r="CD74" s="21" t="n"/>
      <c r="CE74" s="21" t="n"/>
      <c r="CF74" s="21" t="n"/>
      <c r="CG74" s="21" t="n"/>
      <c r="CH74" s="21" t="n"/>
      <c r="CI74" s="21" t="n"/>
      <c r="CJ74" s="21" t="n"/>
      <c r="CK74" s="21" t="n"/>
      <c r="CL74" s="21" t="n"/>
      <c r="CM74" s="21" t="n"/>
      <c r="CN74" s="21" t="n"/>
      <c r="CO74" s="21" t="n"/>
      <c r="CP74" s="21" t="n"/>
      <c r="CQ74" s="21" t="n"/>
      <c r="CR74" s="21" t="n"/>
      <c r="CS74" s="21" t="n"/>
      <c r="CT74" s="21" t="n"/>
      <c r="CU74" s="21" t="n"/>
      <c r="CV74" s="21" t="n"/>
      <c r="CW74" s="21" t="n"/>
      <c r="CX74" s="21" t="n"/>
      <c r="CY74" s="21" t="n"/>
      <c r="CZ74" s="21" t="n"/>
      <c r="DA74" s="21" t="n"/>
      <c r="DB74" s="21" t="n"/>
      <c r="DC74" s="21" t="n"/>
      <c r="DD74" s="21" t="n"/>
      <c r="DE74" s="21" t="n"/>
      <c r="DF74" s="21" t="n"/>
      <c r="DG74" s="21" t="n"/>
      <c r="DH74" s="21" t="n"/>
      <c r="DI74" s="21" t="n"/>
      <c r="DJ74" s="21" t="n"/>
      <c r="DK74" s="21" t="n"/>
      <c r="DL74" s="21" t="n"/>
      <c r="DM74" s="21" t="n"/>
      <c r="DN74" s="21" t="n"/>
      <c r="DO74" s="21" t="n"/>
      <c r="DP74" s="21" t="n"/>
      <c r="DQ74" s="21" t="n"/>
      <c r="DR74" s="21" t="n"/>
      <c r="DS74" s="4">
        <f>SUM(C74:L74)*Inicio!$W$4</f>
        <v/>
      </c>
      <c r="DT74" s="4">
        <f>SUM(M74:V74)*Inicio!$W$5</f>
        <v/>
      </c>
      <c r="DU74" s="4">
        <f>SUM(W74:AF74)*Inicio!$W$6</f>
        <v/>
      </c>
      <c r="DV74" s="4">
        <f>SUM(AG74:AP74)*Inicio!$W$7</f>
        <v/>
      </c>
      <c r="DW74" s="4">
        <f>SUM(AQ74:AZ74)*Inicio!$W$8</f>
        <v/>
      </c>
      <c r="DX74" s="4">
        <f>SUM(BA74:BJ74)*Inicio!$W$9</f>
        <v/>
      </c>
      <c r="DY74" s="4">
        <f>SUM(BK74:BT74)*Inicio!$W$10</f>
        <v/>
      </c>
      <c r="DZ74" s="4">
        <f>SUM(BU74:CD74)*Inicio!$W$11</f>
        <v/>
      </c>
      <c r="EA74" s="4">
        <f>SUM(CE74:CN74)*Inicio!$W$12</f>
        <v/>
      </c>
      <c r="EB74" s="4">
        <f>SUM(CO74:CX74)*Inicio!$W$13</f>
        <v/>
      </c>
      <c r="EC74" s="4">
        <f>SUM(CY74:DH74)*Inicio!$W$11</f>
        <v/>
      </c>
      <c r="ED74" s="4">
        <f>SUM(DI74:DR74)*Inicio!$W$12</f>
        <v/>
      </c>
      <c r="EE74" s="4">
        <f>SUM(C74:DR74)</f>
        <v/>
      </c>
      <c r="EF74" s="4">
        <f>SUM(EE71:EE74)</f>
        <v/>
      </c>
      <c r="EG74" s="4">
        <f>SUM(DS74:ED74)</f>
        <v/>
      </c>
      <c r="EH74" s="4">
        <f>SUM(EG71:EG74)</f>
        <v/>
      </c>
    </row>
    <row r="75" ht="20.25" customHeight="1">
      <c r="B75" s="28" t="inlineStr">
        <is>
          <t>16:30 - 16:45</t>
        </is>
      </c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21" t="n"/>
      <c r="AW75" s="21" t="n"/>
      <c r="AX75" s="21" t="n"/>
      <c r="AY75" s="21" t="n"/>
      <c r="AZ75" s="21" t="n"/>
      <c r="BA75" s="21" t="n"/>
      <c r="BB75" s="21" t="n"/>
      <c r="BC75" s="21" t="n"/>
      <c r="BD75" s="21" t="n"/>
      <c r="BE75" s="21" t="n"/>
      <c r="BF75" s="21" t="n"/>
      <c r="BG75" s="21" t="n"/>
      <c r="BH75" s="21" t="n"/>
      <c r="BI75" s="21" t="n"/>
      <c r="BJ75" s="21" t="n"/>
      <c r="BK75" s="21" t="n"/>
      <c r="BL75" s="21" t="n"/>
      <c r="BM75" s="21" t="n"/>
      <c r="BN75" s="21" t="n"/>
      <c r="BO75" s="21" t="n"/>
      <c r="BP75" s="21" t="n"/>
      <c r="BQ75" s="21" t="n"/>
      <c r="BR75" s="21" t="n"/>
      <c r="BS75" s="21" t="n"/>
      <c r="BT75" s="21" t="n"/>
      <c r="BU75" s="21" t="n"/>
      <c r="BV75" s="21" t="n"/>
      <c r="BW75" s="21" t="n"/>
      <c r="BX75" s="21" t="n"/>
      <c r="BY75" s="21" t="n"/>
      <c r="BZ75" s="21" t="n"/>
      <c r="CA75" s="21" t="n"/>
      <c r="CB75" s="21" t="n"/>
      <c r="CC75" s="21" t="n"/>
      <c r="CD75" s="21" t="n"/>
      <c r="CE75" s="21" t="n"/>
      <c r="CF75" s="21" t="n"/>
      <c r="CG75" s="21" t="n"/>
      <c r="CH75" s="21" t="n"/>
      <c r="CI75" s="21" t="n"/>
      <c r="CJ75" s="21" t="n"/>
      <c r="CK75" s="21" t="n"/>
      <c r="CL75" s="21" t="n"/>
      <c r="CM75" s="21" t="n"/>
      <c r="CN75" s="21" t="n"/>
      <c r="CO75" s="21" t="n"/>
      <c r="CP75" s="21" t="n"/>
      <c r="CQ75" s="21" t="n"/>
      <c r="CR75" s="21" t="n"/>
      <c r="CS75" s="21" t="n"/>
      <c r="CT75" s="21" t="n"/>
      <c r="CU75" s="21" t="n"/>
      <c r="CV75" s="21" t="n"/>
      <c r="CW75" s="21" t="n"/>
      <c r="CX75" s="21" t="n"/>
      <c r="CY75" s="21" t="n"/>
      <c r="CZ75" s="21" t="n"/>
      <c r="DA75" s="21" t="n"/>
      <c r="DB75" s="21" t="n"/>
      <c r="DC75" s="21" t="n"/>
      <c r="DD75" s="21" t="n"/>
      <c r="DE75" s="21" t="n"/>
      <c r="DF75" s="21" t="n"/>
      <c r="DG75" s="21" t="n"/>
      <c r="DH75" s="21" t="n"/>
      <c r="DI75" s="21" t="n"/>
      <c r="DJ75" s="21" t="n"/>
      <c r="DK75" s="21" t="n"/>
      <c r="DL75" s="21" t="n"/>
      <c r="DM75" s="21" t="n"/>
      <c r="DN75" s="21" t="n"/>
      <c r="DO75" s="21" t="n"/>
      <c r="DP75" s="21" t="n"/>
      <c r="DQ75" s="21" t="n"/>
      <c r="DR75" s="21" t="n"/>
      <c r="DS75" s="4">
        <f>SUM(C75:L75)*Inicio!$W$4</f>
        <v/>
      </c>
      <c r="DT75" s="4">
        <f>SUM(M75:V75)*Inicio!$W$5</f>
        <v/>
      </c>
      <c r="DU75" s="4">
        <f>SUM(W75:AF75)*Inicio!$W$6</f>
        <v/>
      </c>
      <c r="DV75" s="4">
        <f>SUM(AG75:AP75)*Inicio!$W$7</f>
        <v/>
      </c>
      <c r="DW75" s="4">
        <f>SUM(AQ75:AZ75)*Inicio!$W$8</f>
        <v/>
      </c>
      <c r="DX75" s="4">
        <f>SUM(BA75:BJ75)*Inicio!$W$9</f>
        <v/>
      </c>
      <c r="DY75" s="4">
        <f>SUM(BK75:BT75)*Inicio!$W$10</f>
        <v/>
      </c>
      <c r="DZ75" s="4">
        <f>SUM(BU75:CD75)*Inicio!$W$11</f>
        <v/>
      </c>
      <c r="EA75" s="4">
        <f>SUM(CE75:CN75)*Inicio!$W$12</f>
        <v/>
      </c>
      <c r="EB75" s="4">
        <f>SUM(CO75:CX75)*Inicio!$W$13</f>
        <v/>
      </c>
      <c r="EC75" s="4">
        <f>SUM(CY75:DH75)*Inicio!$W$11</f>
        <v/>
      </c>
      <c r="ED75" s="4">
        <f>SUM(DI75:DR75)*Inicio!$W$12</f>
        <v/>
      </c>
      <c r="EE75" s="4">
        <f>SUM(C75:DR75)</f>
        <v/>
      </c>
      <c r="EF75" s="4">
        <f>SUM(EE72:EE75)</f>
        <v/>
      </c>
      <c r="EG75" s="4">
        <f>SUM(DS75:ED75)</f>
        <v/>
      </c>
      <c r="EH75" s="4">
        <f>SUM(EG72:EG75)</f>
        <v/>
      </c>
    </row>
    <row r="76" ht="20.25" customHeight="1">
      <c r="B76" s="26" t="inlineStr">
        <is>
          <t>16:45 - 17:00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/>
      <c r="AV76" s="22" t="n"/>
      <c r="AW76" s="22" t="n"/>
      <c r="AX76" s="22" t="n"/>
      <c r="AY76" s="22" t="n"/>
      <c r="AZ76" s="22" t="n"/>
      <c r="BA76" s="22" t="n"/>
      <c r="BB76" s="22" t="n"/>
      <c r="BC76" s="22" t="n"/>
      <c r="BD76" s="22" t="n"/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/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5">
        <f>SUM(C76:L76)*Inicio!$W$4</f>
        <v/>
      </c>
      <c r="DT76" s="5">
        <f>SUM(M76:V76)*Inicio!$W$5</f>
        <v/>
      </c>
      <c r="DU76" s="5">
        <f>SUM(W76:AF76)*Inicio!$W$6</f>
        <v/>
      </c>
      <c r="DV76" s="5">
        <f>SUM(AG76:AP76)*Inicio!$W$7</f>
        <v/>
      </c>
      <c r="DW76" s="5">
        <f>SUM(AQ76:AZ76)*Inicio!$W$8</f>
        <v/>
      </c>
      <c r="DX76" s="5">
        <f>SUM(BA76:BJ76)*Inicio!$W$9</f>
        <v/>
      </c>
      <c r="DY76" s="5">
        <f>SUM(BK76:BT76)*Inicio!$W$10</f>
        <v/>
      </c>
      <c r="DZ76" s="5">
        <f>SUM(BU76:CD76)*Inicio!$W$11</f>
        <v/>
      </c>
      <c r="EA76" s="5">
        <f>SUM(CE76:CN76)*Inicio!$W$12</f>
        <v/>
      </c>
      <c r="EB76" s="5">
        <f>SUM(CO76:CX76)*Inicio!$W$13</f>
        <v/>
      </c>
      <c r="EC76" s="5">
        <f>SUM(CY76:DH76)*Inicio!$W$11</f>
        <v/>
      </c>
      <c r="ED76" s="5">
        <f>SUM(DI76:DR76)*Inicio!$W$12</f>
        <v/>
      </c>
      <c r="EE76" s="5">
        <f>SUM(C76:DR76)</f>
        <v/>
      </c>
      <c r="EF76" s="5">
        <f>SUM(EE73:EE76)</f>
        <v/>
      </c>
      <c r="EG76" s="5">
        <f>SUM(DS76:ED76)</f>
        <v/>
      </c>
      <c r="EH76" s="5">
        <f>SUM(EG73:EG76)</f>
        <v/>
      </c>
    </row>
    <row r="77" ht="20.25" customHeight="1">
      <c r="B77" s="27" t="inlineStr">
        <is>
          <t>17:00 - 17:15</t>
        </is>
      </c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  <c r="AV77" s="20" t="n"/>
      <c r="AW77" s="20" t="n"/>
      <c r="AX77" s="20" t="n"/>
      <c r="AY77" s="20" t="n"/>
      <c r="AZ77" s="20" t="n"/>
      <c r="BA77" s="20" t="n"/>
      <c r="BB77" s="20" t="n"/>
      <c r="BC77" s="20" t="n"/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20" t="n"/>
      <c r="BN77" s="20" t="n"/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20" t="n"/>
      <c r="BZ77" s="20" t="n"/>
      <c r="CA77" s="20" t="n"/>
      <c r="CB77" s="20" t="n"/>
      <c r="CC77" s="20" t="n"/>
      <c r="CD77" s="20" t="n"/>
      <c r="CE77" s="20" t="n"/>
      <c r="CF77" s="20" t="n"/>
      <c r="CG77" s="20" t="n"/>
      <c r="CH77" s="20" t="n"/>
      <c r="CI77" s="20" t="n"/>
      <c r="CJ77" s="20" t="n"/>
      <c r="CK77" s="20" t="n"/>
      <c r="CL77" s="20" t="n"/>
      <c r="CM77" s="20" t="n"/>
      <c r="CN77" s="20" t="n"/>
      <c r="CO77" s="20" t="n"/>
      <c r="CP77" s="20" t="n"/>
      <c r="CQ77" s="20" t="n"/>
      <c r="CR77" s="20" t="n"/>
      <c r="CS77" s="20" t="n"/>
      <c r="CT77" s="20" t="n"/>
      <c r="CU77" s="20" t="n"/>
      <c r="CV77" s="20" t="n"/>
      <c r="CW77" s="20" t="n"/>
      <c r="CX77" s="20" t="n"/>
      <c r="CY77" s="20" t="n"/>
      <c r="CZ77" s="20" t="n"/>
      <c r="DA77" s="20" t="n"/>
      <c r="DB77" s="20" t="n"/>
      <c r="DC77" s="20" t="n"/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20" t="n"/>
      <c r="DN77" s="20" t="n"/>
      <c r="DO77" s="20" t="n"/>
      <c r="DP77" s="20" t="n"/>
      <c r="DQ77" s="20" t="n"/>
      <c r="DR77" s="20" t="n"/>
      <c r="DS77" s="3">
        <f>SUM(C77:L77)*Inicio!$W$4</f>
        <v/>
      </c>
      <c r="DT77" s="3">
        <f>SUM(M77:V77)*Inicio!$W$5</f>
        <v/>
      </c>
      <c r="DU77" s="3">
        <f>SUM(W77:AF77)*Inicio!$W$6</f>
        <v/>
      </c>
      <c r="DV77" s="3">
        <f>SUM(AG77:AP77)*Inicio!$W$7</f>
        <v/>
      </c>
      <c r="DW77" s="3">
        <f>SUM(AQ77:AZ77)*Inicio!$W$8</f>
        <v/>
      </c>
      <c r="DX77" s="3">
        <f>SUM(BA77:BJ77)*Inicio!$W$9</f>
        <v/>
      </c>
      <c r="DY77" s="3">
        <f>SUM(BK77:BT77)*Inicio!$W$10</f>
        <v/>
      </c>
      <c r="DZ77" s="3">
        <f>SUM(BU77:CD77)*Inicio!$W$11</f>
        <v/>
      </c>
      <c r="EA77" s="3">
        <f>SUM(CE77:CN77)*Inicio!$W$12</f>
        <v/>
      </c>
      <c r="EB77" s="3">
        <f>SUM(CO77:CX77)*Inicio!$W$13</f>
        <v/>
      </c>
      <c r="EC77" s="3">
        <f>SUM(CY77:DH77)*Inicio!$W$11</f>
        <v/>
      </c>
      <c r="ED77" s="3">
        <f>SUM(DI77:DR77)*Inicio!$W$12</f>
        <v/>
      </c>
      <c r="EE77" s="3">
        <f>SUM(C77:DR77)</f>
        <v/>
      </c>
      <c r="EF77" s="3">
        <f>SUM(EE74:EE77)</f>
        <v/>
      </c>
      <c r="EG77" s="3">
        <f>SUM(DS77:ED77)</f>
        <v/>
      </c>
      <c r="EH77" s="3">
        <f>SUM(EG74:EG77)</f>
        <v/>
      </c>
    </row>
    <row r="78" ht="20.25" customHeight="1">
      <c r="B78" s="28" t="inlineStr">
        <is>
          <t>17:15 - 17:30</t>
        </is>
      </c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  <c r="AO78" s="21" t="n"/>
      <c r="AP78" s="21" t="n"/>
      <c r="AQ78" s="21" t="n"/>
      <c r="AR78" s="21" t="n"/>
      <c r="AS78" s="21" t="n"/>
      <c r="AT78" s="21" t="n"/>
      <c r="AU78" s="21" t="n"/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1" t="n"/>
      <c r="BG78" s="21" t="n"/>
      <c r="BH78" s="21" t="n"/>
      <c r="BI78" s="21" t="n"/>
      <c r="BJ78" s="21" t="n"/>
      <c r="BK78" s="21" t="n"/>
      <c r="BL78" s="21" t="n"/>
      <c r="BM78" s="21" t="n"/>
      <c r="BN78" s="21" t="n"/>
      <c r="BO78" s="21" t="n"/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  <c r="CA78" s="21" t="n"/>
      <c r="CB78" s="21" t="n"/>
      <c r="CC78" s="21" t="n"/>
      <c r="CD78" s="21" t="n"/>
      <c r="CE78" s="21" t="n"/>
      <c r="CF78" s="21" t="n"/>
      <c r="CG78" s="21" t="n"/>
      <c r="CH78" s="21" t="n"/>
      <c r="CI78" s="21" t="n"/>
      <c r="CJ78" s="21" t="n"/>
      <c r="CK78" s="21" t="n"/>
      <c r="CL78" s="21" t="n"/>
      <c r="CM78" s="21" t="n"/>
      <c r="CN78" s="21" t="n"/>
      <c r="CO78" s="21" t="n"/>
      <c r="CP78" s="21" t="n"/>
      <c r="CQ78" s="21" t="n"/>
      <c r="CR78" s="21" t="n"/>
      <c r="CS78" s="21" t="n"/>
      <c r="CT78" s="21" t="n"/>
      <c r="CU78" s="21" t="n"/>
      <c r="CV78" s="21" t="n"/>
      <c r="CW78" s="21" t="n"/>
      <c r="CX78" s="21" t="n"/>
      <c r="CY78" s="21" t="n"/>
      <c r="CZ78" s="21" t="n"/>
      <c r="DA78" s="21" t="n"/>
      <c r="DB78" s="21" t="n"/>
      <c r="DC78" s="21" t="n"/>
      <c r="DD78" s="21" t="n"/>
      <c r="DE78" s="21" t="n"/>
      <c r="DF78" s="21" t="n"/>
      <c r="DG78" s="21" t="n"/>
      <c r="DH78" s="21" t="n"/>
      <c r="DI78" s="21" t="n"/>
      <c r="DJ78" s="21" t="n"/>
      <c r="DK78" s="21" t="n"/>
      <c r="DL78" s="21" t="n"/>
      <c r="DM78" s="21" t="n"/>
      <c r="DN78" s="21" t="n"/>
      <c r="DO78" s="21" t="n"/>
      <c r="DP78" s="21" t="n"/>
      <c r="DQ78" s="21" t="n"/>
      <c r="DR78" s="21" t="n"/>
      <c r="DS78" s="4">
        <f>SUM(C78:L78)*Inicio!$W$4</f>
        <v/>
      </c>
      <c r="DT78" s="4">
        <f>SUM(M78:V78)*Inicio!$W$5</f>
        <v/>
      </c>
      <c r="DU78" s="4">
        <f>SUM(W78:AF78)*Inicio!$W$6</f>
        <v/>
      </c>
      <c r="DV78" s="4">
        <f>SUM(AG78:AP78)*Inicio!$W$7</f>
        <v/>
      </c>
      <c r="DW78" s="4">
        <f>SUM(AQ78:AZ78)*Inicio!$W$8</f>
        <v/>
      </c>
      <c r="DX78" s="4">
        <f>SUM(BA78:BJ78)*Inicio!$W$9</f>
        <v/>
      </c>
      <c r="DY78" s="4">
        <f>SUM(BK78:BT78)*Inicio!$W$10</f>
        <v/>
      </c>
      <c r="DZ78" s="4">
        <f>SUM(BU78:CD78)*Inicio!$W$11</f>
        <v/>
      </c>
      <c r="EA78" s="4">
        <f>SUM(CE78:CN78)*Inicio!$W$12</f>
        <v/>
      </c>
      <c r="EB78" s="4">
        <f>SUM(CO78:CX78)*Inicio!$W$13</f>
        <v/>
      </c>
      <c r="EC78" s="4">
        <f>SUM(CY78:DH78)*Inicio!$W$11</f>
        <v/>
      </c>
      <c r="ED78" s="4">
        <f>SUM(DI78:DR78)*Inicio!$W$12</f>
        <v/>
      </c>
      <c r="EE78" s="4">
        <f>SUM(C78:DR78)</f>
        <v/>
      </c>
      <c r="EF78" s="4">
        <f>SUM(EE75:EE78)</f>
        <v/>
      </c>
      <c r="EG78" s="4">
        <f>SUM(DS78:ED78)</f>
        <v/>
      </c>
      <c r="EH78" s="4">
        <f>SUM(EG75:EG78)</f>
        <v/>
      </c>
    </row>
    <row r="79" ht="20.25" customHeight="1">
      <c r="B79" s="28" t="inlineStr">
        <is>
          <t>17:30 - 17:45</t>
        </is>
      </c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O79" s="21" t="n"/>
      <c r="AP79" s="21" t="n"/>
      <c r="AQ79" s="21" t="n"/>
      <c r="AR79" s="21" t="n"/>
      <c r="AS79" s="21" t="n"/>
      <c r="AT79" s="21" t="n"/>
      <c r="AU79" s="21" t="n"/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1" t="n"/>
      <c r="BG79" s="21" t="n"/>
      <c r="BH79" s="21" t="n"/>
      <c r="BI79" s="21" t="n"/>
      <c r="BJ79" s="21" t="n"/>
      <c r="BK79" s="21" t="n"/>
      <c r="BL79" s="21" t="n"/>
      <c r="BM79" s="21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  <c r="CA79" s="21" t="n"/>
      <c r="CB79" s="21" t="n"/>
      <c r="CC79" s="21" t="n"/>
      <c r="CD79" s="21" t="n"/>
      <c r="CE79" s="21" t="n"/>
      <c r="CF79" s="21" t="n"/>
      <c r="CG79" s="21" t="n"/>
      <c r="CH79" s="21" t="n"/>
      <c r="CI79" s="21" t="n"/>
      <c r="CJ79" s="21" t="n"/>
      <c r="CK79" s="21" t="n"/>
      <c r="CL79" s="21" t="n"/>
      <c r="CM79" s="21" t="n"/>
      <c r="CN79" s="21" t="n"/>
      <c r="CO79" s="21" t="n"/>
      <c r="CP79" s="21" t="n"/>
      <c r="CQ79" s="21" t="n"/>
      <c r="CR79" s="21" t="n"/>
      <c r="CS79" s="21" t="n"/>
      <c r="CT79" s="21" t="n"/>
      <c r="CU79" s="21" t="n"/>
      <c r="CV79" s="21" t="n"/>
      <c r="CW79" s="21" t="n"/>
      <c r="CX79" s="21" t="n"/>
      <c r="CY79" s="21" t="n"/>
      <c r="CZ79" s="21" t="n"/>
      <c r="DA79" s="21" t="n"/>
      <c r="DB79" s="21" t="n"/>
      <c r="DC79" s="21" t="n"/>
      <c r="DD79" s="21" t="n"/>
      <c r="DE79" s="21" t="n"/>
      <c r="DF79" s="21" t="n"/>
      <c r="DG79" s="21" t="n"/>
      <c r="DH79" s="21" t="n"/>
      <c r="DI79" s="21" t="n"/>
      <c r="DJ79" s="21" t="n"/>
      <c r="DK79" s="21" t="n"/>
      <c r="DL79" s="21" t="n"/>
      <c r="DM79" s="21" t="n"/>
      <c r="DN79" s="21" t="n"/>
      <c r="DO79" s="21" t="n"/>
      <c r="DP79" s="21" t="n"/>
      <c r="DQ79" s="21" t="n"/>
      <c r="DR79" s="21" t="n"/>
      <c r="DS79" s="4">
        <f>SUM(C79:L79)*Inicio!$W$4</f>
        <v/>
      </c>
      <c r="DT79" s="4">
        <f>SUM(M79:V79)*Inicio!$W$5</f>
        <v/>
      </c>
      <c r="DU79" s="4">
        <f>SUM(W79:AF79)*Inicio!$W$6</f>
        <v/>
      </c>
      <c r="DV79" s="4">
        <f>SUM(AG79:AP79)*Inicio!$W$7</f>
        <v/>
      </c>
      <c r="DW79" s="4">
        <f>SUM(AQ79:AZ79)*Inicio!$W$8</f>
        <v/>
      </c>
      <c r="DX79" s="4">
        <f>SUM(BA79:BJ79)*Inicio!$W$9</f>
        <v/>
      </c>
      <c r="DY79" s="4">
        <f>SUM(BK79:BT79)*Inicio!$W$10</f>
        <v/>
      </c>
      <c r="DZ79" s="4">
        <f>SUM(BU79:CD79)*Inicio!$W$11</f>
        <v/>
      </c>
      <c r="EA79" s="4">
        <f>SUM(CE79:CN79)*Inicio!$W$12</f>
        <v/>
      </c>
      <c r="EB79" s="4">
        <f>SUM(CO79:CX79)*Inicio!$W$13</f>
        <v/>
      </c>
      <c r="EC79" s="4">
        <f>SUM(CY79:DH79)*Inicio!$W$11</f>
        <v/>
      </c>
      <c r="ED79" s="4">
        <f>SUM(DI79:DR79)*Inicio!$W$12</f>
        <v/>
      </c>
      <c r="EE79" s="4">
        <f>SUM(C79:DR79)</f>
        <v/>
      </c>
      <c r="EF79" s="4">
        <f>SUM(EE76:EE79)</f>
        <v/>
      </c>
      <c r="EG79" s="4">
        <f>SUM(DS79:ED79)</f>
        <v/>
      </c>
      <c r="EH79" s="4">
        <f>SUM(EG76:EG79)</f>
        <v/>
      </c>
    </row>
    <row r="80" ht="20.25" customHeight="1">
      <c r="B80" s="26" t="inlineStr">
        <is>
          <t>17:45 - 18:00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/>
      <c r="AV80" s="22" t="n"/>
      <c r="AW80" s="22" t="n"/>
      <c r="AX80" s="22" t="n"/>
      <c r="AY80" s="22" t="n"/>
      <c r="AZ80" s="22" t="n"/>
      <c r="BA80" s="22" t="n"/>
      <c r="BB80" s="22" t="n"/>
      <c r="BC80" s="22" t="n"/>
      <c r="BD80" s="22" t="n"/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/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5">
        <f>SUM(C80:L80)*Inicio!$W$4</f>
        <v/>
      </c>
      <c r="DT80" s="5">
        <f>SUM(M80:V80)*Inicio!$W$5</f>
        <v/>
      </c>
      <c r="DU80" s="5">
        <f>SUM(W80:AF80)*Inicio!$W$6</f>
        <v/>
      </c>
      <c r="DV80" s="5">
        <f>SUM(AG80:AP80)*Inicio!$W$7</f>
        <v/>
      </c>
      <c r="DW80" s="5">
        <f>SUM(AQ80:AZ80)*Inicio!$W$8</f>
        <v/>
      </c>
      <c r="DX80" s="5">
        <f>SUM(BA80:BJ80)*Inicio!$W$9</f>
        <v/>
      </c>
      <c r="DY80" s="5">
        <f>SUM(BK80:BT80)*Inicio!$W$10</f>
        <v/>
      </c>
      <c r="DZ80" s="5">
        <f>SUM(BU80:CD80)*Inicio!$W$11</f>
        <v/>
      </c>
      <c r="EA80" s="5">
        <f>SUM(CE80:CN80)*Inicio!$W$12</f>
        <v/>
      </c>
      <c r="EB80" s="5">
        <f>SUM(CO80:CX80)*Inicio!$W$13</f>
        <v/>
      </c>
      <c r="EC80" s="5">
        <f>SUM(CY80:DH80)*Inicio!$W$11</f>
        <v/>
      </c>
      <c r="ED80" s="5">
        <f>SUM(DI80:DR80)*Inicio!$W$12</f>
        <v/>
      </c>
      <c r="EE80" s="5">
        <f>SUM(C80:DR80)</f>
        <v/>
      </c>
      <c r="EF80" s="5">
        <f>SUM(EE77:EE80)</f>
        <v/>
      </c>
      <c r="EG80" s="5">
        <f>SUM(DS80:ED80)</f>
        <v/>
      </c>
      <c r="EH80" s="5">
        <f>SUM(EG77:EG80)</f>
        <v/>
      </c>
    </row>
    <row r="81" ht="20.25" customHeight="1">
      <c r="B81" s="27" t="inlineStr">
        <is>
          <t>18:00 - 18:15</t>
        </is>
      </c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  <c r="AV81" s="20" t="n"/>
      <c r="AW81" s="20" t="n"/>
      <c r="AX81" s="20" t="n"/>
      <c r="AY81" s="20" t="n"/>
      <c r="AZ81" s="20" t="n"/>
      <c r="BA81" s="20" t="n"/>
      <c r="BB81" s="20" t="n"/>
      <c r="BC81" s="20" t="n"/>
      <c r="BD81" s="20" t="n"/>
      <c r="BE81" s="20" t="n"/>
      <c r="BF81" s="20" t="n"/>
      <c r="BG81" s="20" t="n"/>
      <c r="BH81" s="20" t="n"/>
      <c r="BI81" s="20" t="n"/>
      <c r="BJ81" s="20" t="n"/>
      <c r="BK81" s="20" t="n"/>
      <c r="BL81" s="20" t="n"/>
      <c r="BM81" s="20" t="n"/>
      <c r="BN81" s="20" t="n"/>
      <c r="BO81" s="20" t="n"/>
      <c r="BP81" s="20" t="n"/>
      <c r="BQ81" s="20" t="n"/>
      <c r="BR81" s="20" t="n"/>
      <c r="BS81" s="20" t="n"/>
      <c r="BT81" s="20" t="n"/>
      <c r="BU81" s="20" t="n"/>
      <c r="BV81" s="20" t="n"/>
      <c r="BW81" s="20" t="n"/>
      <c r="BX81" s="20" t="n"/>
      <c r="BY81" s="20" t="n"/>
      <c r="BZ81" s="20" t="n"/>
      <c r="CA81" s="20" t="n"/>
      <c r="CB81" s="20" t="n"/>
      <c r="CC81" s="20" t="n"/>
      <c r="CD81" s="20" t="n"/>
      <c r="CE81" s="20" t="n"/>
      <c r="CF81" s="20" t="n"/>
      <c r="CG81" s="20" t="n"/>
      <c r="CH81" s="20" t="n"/>
      <c r="CI81" s="20" t="n"/>
      <c r="CJ81" s="20" t="n"/>
      <c r="CK81" s="20" t="n"/>
      <c r="CL81" s="20" t="n"/>
      <c r="CM81" s="20" t="n"/>
      <c r="CN81" s="20" t="n"/>
      <c r="CO81" s="20" t="n"/>
      <c r="CP81" s="20" t="n"/>
      <c r="CQ81" s="20" t="n"/>
      <c r="CR81" s="20" t="n"/>
      <c r="CS81" s="20" t="n"/>
      <c r="CT81" s="20" t="n"/>
      <c r="CU81" s="20" t="n"/>
      <c r="CV81" s="20" t="n"/>
      <c r="CW81" s="20" t="n"/>
      <c r="CX81" s="20" t="n"/>
      <c r="CY81" s="20" t="n"/>
      <c r="CZ81" s="20" t="n"/>
      <c r="DA81" s="20" t="n"/>
      <c r="DB81" s="20" t="n"/>
      <c r="DC81" s="20" t="n"/>
      <c r="DD81" s="20" t="n"/>
      <c r="DE81" s="20" t="n"/>
      <c r="DF81" s="20" t="n"/>
      <c r="DG81" s="20" t="n"/>
      <c r="DH81" s="20" t="n"/>
      <c r="DI81" s="20" t="n"/>
      <c r="DJ81" s="20" t="n"/>
      <c r="DK81" s="20" t="n"/>
      <c r="DL81" s="20" t="n"/>
      <c r="DM81" s="20" t="n"/>
      <c r="DN81" s="20" t="n"/>
      <c r="DO81" s="20" t="n"/>
      <c r="DP81" s="20" t="n"/>
      <c r="DQ81" s="20" t="n"/>
      <c r="DR81" s="20" t="n"/>
      <c r="DS81" s="3">
        <f>SUM(C81:L81)*Inicio!$W$4</f>
        <v/>
      </c>
      <c r="DT81" s="3">
        <f>SUM(M81:V81)*Inicio!$W$5</f>
        <v/>
      </c>
      <c r="DU81" s="3">
        <f>SUM(W81:AF81)*Inicio!$W$6</f>
        <v/>
      </c>
      <c r="DV81" s="3">
        <f>SUM(AG81:AP81)*Inicio!$W$7</f>
        <v/>
      </c>
      <c r="DW81" s="3">
        <f>SUM(AQ81:AZ81)*Inicio!$W$8</f>
        <v/>
      </c>
      <c r="DX81" s="3">
        <f>SUM(BA81:BJ81)*Inicio!$W$9</f>
        <v/>
      </c>
      <c r="DY81" s="3">
        <f>SUM(BK81:BT81)*Inicio!$W$10</f>
        <v/>
      </c>
      <c r="DZ81" s="3">
        <f>SUM(BU81:CD81)*Inicio!$W$11</f>
        <v/>
      </c>
      <c r="EA81" s="3">
        <f>SUM(CE81:CN81)*Inicio!$W$12</f>
        <v/>
      </c>
      <c r="EB81" s="3">
        <f>SUM(CO81:CX81)*Inicio!$W$13</f>
        <v/>
      </c>
      <c r="EC81" s="3">
        <f>SUM(CY81:DH81)*Inicio!$W$11</f>
        <v/>
      </c>
      <c r="ED81" s="3">
        <f>SUM(DI81:DR81)*Inicio!$W$12</f>
        <v/>
      </c>
      <c r="EE81" s="3">
        <f>SUM(C81:DR81)</f>
        <v/>
      </c>
      <c r="EF81" s="3">
        <f>SUM(EE78:EE81)</f>
        <v/>
      </c>
      <c r="EG81" s="3">
        <f>SUM(DS81:ED81)</f>
        <v/>
      </c>
      <c r="EH81" s="3">
        <f>SUM(EG78:EG81)</f>
        <v/>
      </c>
    </row>
    <row r="82" ht="20.25" customHeight="1">
      <c r="B82" s="28" t="inlineStr">
        <is>
          <t>18:15 - 18:30</t>
        </is>
      </c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  <c r="AO82" s="21" t="n"/>
      <c r="AP82" s="21" t="n"/>
      <c r="AQ82" s="21" t="n"/>
      <c r="AR82" s="21" t="n"/>
      <c r="AS82" s="21" t="n"/>
      <c r="AT82" s="21" t="n"/>
      <c r="AU82" s="21" t="n"/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1" t="n"/>
      <c r="BG82" s="21" t="n"/>
      <c r="BH82" s="21" t="n"/>
      <c r="BI82" s="21" t="n"/>
      <c r="BJ82" s="21" t="n"/>
      <c r="BK82" s="21" t="n"/>
      <c r="BL82" s="21" t="n"/>
      <c r="BM82" s="21" t="n"/>
      <c r="BN82" s="21" t="n"/>
      <c r="BO82" s="21" t="n"/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  <c r="CA82" s="21" t="n"/>
      <c r="CB82" s="21" t="n"/>
      <c r="CC82" s="21" t="n"/>
      <c r="CD82" s="21" t="n"/>
      <c r="CE82" s="21" t="n"/>
      <c r="CF82" s="21" t="n"/>
      <c r="CG82" s="21" t="n"/>
      <c r="CH82" s="21" t="n"/>
      <c r="CI82" s="21" t="n"/>
      <c r="CJ82" s="21" t="n"/>
      <c r="CK82" s="21" t="n"/>
      <c r="CL82" s="21" t="n"/>
      <c r="CM82" s="21" t="n"/>
      <c r="CN82" s="21" t="n"/>
      <c r="CO82" s="21" t="n"/>
      <c r="CP82" s="21" t="n"/>
      <c r="CQ82" s="21" t="n"/>
      <c r="CR82" s="21" t="n"/>
      <c r="CS82" s="21" t="n"/>
      <c r="CT82" s="21" t="n"/>
      <c r="CU82" s="21" t="n"/>
      <c r="CV82" s="21" t="n"/>
      <c r="CW82" s="21" t="n"/>
      <c r="CX82" s="21" t="n"/>
      <c r="CY82" s="21" t="n"/>
      <c r="CZ82" s="21" t="n"/>
      <c r="DA82" s="21" t="n"/>
      <c r="DB82" s="21" t="n"/>
      <c r="DC82" s="21" t="n"/>
      <c r="DD82" s="21" t="n"/>
      <c r="DE82" s="21" t="n"/>
      <c r="DF82" s="21" t="n"/>
      <c r="DG82" s="21" t="n"/>
      <c r="DH82" s="21" t="n"/>
      <c r="DI82" s="21" t="n"/>
      <c r="DJ82" s="21" t="n"/>
      <c r="DK82" s="21" t="n"/>
      <c r="DL82" s="21" t="n"/>
      <c r="DM82" s="21" t="n"/>
      <c r="DN82" s="21" t="n"/>
      <c r="DO82" s="21" t="n"/>
      <c r="DP82" s="21" t="n"/>
      <c r="DQ82" s="21" t="n"/>
      <c r="DR82" s="21" t="n"/>
      <c r="DS82" s="4">
        <f>SUM(C82:L82)*Inicio!$W$4</f>
        <v/>
      </c>
      <c r="DT82" s="4">
        <f>SUM(M82:V82)*Inicio!$W$5</f>
        <v/>
      </c>
      <c r="DU82" s="4">
        <f>SUM(W82:AF82)*Inicio!$W$6</f>
        <v/>
      </c>
      <c r="DV82" s="4">
        <f>SUM(AG82:AP82)*Inicio!$W$7</f>
        <v/>
      </c>
      <c r="DW82" s="4">
        <f>SUM(AQ82:AZ82)*Inicio!$W$8</f>
        <v/>
      </c>
      <c r="DX82" s="4">
        <f>SUM(BA82:BJ82)*Inicio!$W$9</f>
        <v/>
      </c>
      <c r="DY82" s="4">
        <f>SUM(BK82:BT82)*Inicio!$W$10</f>
        <v/>
      </c>
      <c r="DZ82" s="4">
        <f>SUM(BU82:CD82)*Inicio!$W$11</f>
        <v/>
      </c>
      <c r="EA82" s="4">
        <f>SUM(CE82:CN82)*Inicio!$W$12</f>
        <v/>
      </c>
      <c r="EB82" s="4">
        <f>SUM(CO82:CX82)*Inicio!$W$13</f>
        <v/>
      </c>
      <c r="EC82" s="4">
        <f>SUM(CY82:DH82)*Inicio!$W$11</f>
        <v/>
      </c>
      <c r="ED82" s="4">
        <f>SUM(DI82:DR82)*Inicio!$W$12</f>
        <v/>
      </c>
      <c r="EE82" s="4">
        <f>SUM(C82:DR82)</f>
        <v/>
      </c>
      <c r="EF82" s="4">
        <f>SUM(EE79:EE82)</f>
        <v/>
      </c>
      <c r="EG82" s="4">
        <f>SUM(DS82:ED82)</f>
        <v/>
      </c>
      <c r="EH82" s="4">
        <f>SUM(EG79:EG82)</f>
        <v/>
      </c>
    </row>
    <row r="83" ht="20.25" customHeight="1">
      <c r="B83" s="28" t="inlineStr">
        <is>
          <t>18:30 - 18:45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  <c r="AO83" s="21" t="n"/>
      <c r="AP83" s="21" t="n"/>
      <c r="AQ83" s="21" t="n"/>
      <c r="AR83" s="21" t="n"/>
      <c r="AS83" s="21" t="n"/>
      <c r="AT83" s="21" t="n"/>
      <c r="AU83" s="21" t="n"/>
      <c r="AV83" s="21" t="n"/>
      <c r="AW83" s="21" t="n"/>
      <c r="AX83" s="21" t="n"/>
      <c r="AY83" s="21" t="n"/>
      <c r="AZ83" s="21" t="n"/>
      <c r="BA83" s="21" t="n"/>
      <c r="BB83" s="21" t="n"/>
      <c r="BC83" s="21" t="n"/>
      <c r="BD83" s="21" t="n"/>
      <c r="BE83" s="21" t="n"/>
      <c r="BF83" s="21" t="n"/>
      <c r="BG83" s="21" t="n"/>
      <c r="BH83" s="21" t="n"/>
      <c r="BI83" s="21" t="n"/>
      <c r="BJ83" s="21" t="n"/>
      <c r="BK83" s="21" t="n"/>
      <c r="BL83" s="21" t="n"/>
      <c r="BM83" s="21" t="n"/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  <c r="CA83" s="21" t="n"/>
      <c r="CB83" s="21" t="n"/>
      <c r="CC83" s="21" t="n"/>
      <c r="CD83" s="21" t="n"/>
      <c r="CE83" s="21" t="n"/>
      <c r="CF83" s="21" t="n"/>
      <c r="CG83" s="21" t="n"/>
      <c r="CH83" s="21" t="n"/>
      <c r="CI83" s="21" t="n"/>
      <c r="CJ83" s="21" t="n"/>
      <c r="CK83" s="21" t="n"/>
      <c r="CL83" s="21" t="n"/>
      <c r="CM83" s="21" t="n"/>
      <c r="CN83" s="21" t="n"/>
      <c r="CO83" s="21" t="n"/>
      <c r="CP83" s="21" t="n"/>
      <c r="CQ83" s="21" t="n"/>
      <c r="CR83" s="21" t="n"/>
      <c r="CS83" s="21" t="n"/>
      <c r="CT83" s="21" t="n"/>
      <c r="CU83" s="21" t="n"/>
      <c r="CV83" s="21" t="n"/>
      <c r="CW83" s="21" t="n"/>
      <c r="CX83" s="21" t="n"/>
      <c r="CY83" s="21" t="n"/>
      <c r="CZ83" s="21" t="n"/>
      <c r="DA83" s="21" t="n"/>
      <c r="DB83" s="21" t="n"/>
      <c r="DC83" s="21" t="n"/>
      <c r="DD83" s="21" t="n"/>
      <c r="DE83" s="21" t="n"/>
      <c r="DF83" s="21" t="n"/>
      <c r="DG83" s="21" t="n"/>
      <c r="DH83" s="21" t="n"/>
      <c r="DI83" s="21" t="n"/>
      <c r="DJ83" s="21" t="n"/>
      <c r="DK83" s="21" t="n"/>
      <c r="DL83" s="21" t="n"/>
      <c r="DM83" s="21" t="n"/>
      <c r="DN83" s="21" t="n"/>
      <c r="DO83" s="21" t="n"/>
      <c r="DP83" s="21" t="n"/>
      <c r="DQ83" s="21" t="n"/>
      <c r="DR83" s="21" t="n"/>
      <c r="DS83" s="4">
        <f>SUM(C83:L83)*Inicio!$W$4</f>
        <v/>
      </c>
      <c r="DT83" s="4">
        <f>SUM(M83:V83)*Inicio!$W$5</f>
        <v/>
      </c>
      <c r="DU83" s="4">
        <f>SUM(W83:AF83)*Inicio!$W$6</f>
        <v/>
      </c>
      <c r="DV83" s="4">
        <f>SUM(AG83:AP83)*Inicio!$W$7</f>
        <v/>
      </c>
      <c r="DW83" s="4">
        <f>SUM(AQ83:AZ83)*Inicio!$W$8</f>
        <v/>
      </c>
      <c r="DX83" s="4">
        <f>SUM(BA83:BJ83)*Inicio!$W$9</f>
        <v/>
      </c>
      <c r="DY83" s="4">
        <f>SUM(BK83:BT83)*Inicio!$W$10</f>
        <v/>
      </c>
      <c r="DZ83" s="4">
        <f>SUM(BU83:CD83)*Inicio!$W$11</f>
        <v/>
      </c>
      <c r="EA83" s="4">
        <f>SUM(CE83:CN83)*Inicio!$W$12</f>
        <v/>
      </c>
      <c r="EB83" s="4">
        <f>SUM(CO83:CX83)*Inicio!$W$13</f>
        <v/>
      </c>
      <c r="EC83" s="4">
        <f>SUM(CY83:DH83)*Inicio!$W$11</f>
        <v/>
      </c>
      <c r="ED83" s="4">
        <f>SUM(DI83:DR83)*Inicio!$W$12</f>
        <v/>
      </c>
      <c r="EE83" s="4">
        <f>SUM(C83:DR83)</f>
        <v/>
      </c>
      <c r="EF83" s="4">
        <f>SUM(EE80:EE83)</f>
        <v/>
      </c>
      <c r="EG83" s="4">
        <f>SUM(DS83:ED83)</f>
        <v/>
      </c>
      <c r="EH83" s="4">
        <f>SUM(EG80:EG83)</f>
        <v/>
      </c>
    </row>
    <row r="84" ht="20.25" customHeight="1">
      <c r="B84" s="26" t="inlineStr">
        <is>
          <t>18:45 - 19:00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/>
      <c r="AV84" s="22" t="n"/>
      <c r="AW84" s="22" t="n"/>
      <c r="AX84" s="22" t="n"/>
      <c r="AY84" s="22" t="n"/>
      <c r="AZ84" s="22" t="n"/>
      <c r="BA84" s="22" t="n"/>
      <c r="BB84" s="22" t="n"/>
      <c r="BC84" s="22" t="n"/>
      <c r="BD84" s="22" t="n"/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/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5">
        <f>SUM(C84:L84)*Inicio!$W$4</f>
        <v/>
      </c>
      <c r="DT84" s="5">
        <f>SUM(M84:V84)*Inicio!$W$5</f>
        <v/>
      </c>
      <c r="DU84" s="5">
        <f>SUM(W84:AF84)*Inicio!$W$6</f>
        <v/>
      </c>
      <c r="DV84" s="5">
        <f>SUM(AG84:AP84)*Inicio!$W$7</f>
        <v/>
      </c>
      <c r="DW84" s="5">
        <f>SUM(AQ84:AZ84)*Inicio!$W$8</f>
        <v/>
      </c>
      <c r="DX84" s="5">
        <f>SUM(BA84:BJ84)*Inicio!$W$9</f>
        <v/>
      </c>
      <c r="DY84" s="5">
        <f>SUM(BK84:BT84)*Inicio!$W$10</f>
        <v/>
      </c>
      <c r="DZ84" s="5">
        <f>SUM(BU84:CD84)*Inicio!$W$11</f>
        <v/>
      </c>
      <c r="EA84" s="5">
        <f>SUM(CE84:CN84)*Inicio!$W$12</f>
        <v/>
      </c>
      <c r="EB84" s="5">
        <f>SUM(CO84:CX84)*Inicio!$W$13</f>
        <v/>
      </c>
      <c r="EC84" s="5">
        <f>SUM(CY84:DH84)*Inicio!$W$11</f>
        <v/>
      </c>
      <c r="ED84" s="5">
        <f>SUM(DI84:DR84)*Inicio!$W$12</f>
        <v/>
      </c>
      <c r="EE84" s="5">
        <f>SUM(C84:DR84)</f>
        <v/>
      </c>
      <c r="EF84" s="5">
        <f>SUM(EE81:EE84)</f>
        <v/>
      </c>
      <c r="EG84" s="5">
        <f>SUM(DS84:ED84)</f>
        <v/>
      </c>
      <c r="EH84" s="5">
        <f>SUM(EG81:EG84)</f>
        <v/>
      </c>
    </row>
    <row r="85" ht="20.25" customHeight="1">
      <c r="B85" s="27" t="inlineStr">
        <is>
          <t>19:00 - 19:15</t>
        </is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  <c r="AV85" s="20" t="n"/>
      <c r="AW85" s="20" t="n"/>
      <c r="AX85" s="20" t="n"/>
      <c r="AY85" s="20" t="n"/>
      <c r="AZ85" s="20" t="n"/>
      <c r="BA85" s="20" t="n"/>
      <c r="BB85" s="20" t="n"/>
      <c r="BC85" s="20" t="n"/>
      <c r="BD85" s="20" t="n"/>
      <c r="BE85" s="20" t="n"/>
      <c r="BF85" s="20" t="n"/>
      <c r="BG85" s="20" t="n"/>
      <c r="BH85" s="20" t="n"/>
      <c r="BI85" s="20" t="n"/>
      <c r="BJ85" s="20" t="n"/>
      <c r="BK85" s="20" t="n"/>
      <c r="BL85" s="20" t="n"/>
      <c r="BM85" s="20" t="n"/>
      <c r="BN85" s="20" t="n"/>
      <c r="BO85" s="20" t="n"/>
      <c r="BP85" s="20" t="n"/>
      <c r="BQ85" s="20" t="n"/>
      <c r="BR85" s="20" t="n"/>
      <c r="BS85" s="20" t="n"/>
      <c r="BT85" s="20" t="n"/>
      <c r="BU85" s="20" t="n"/>
      <c r="BV85" s="20" t="n"/>
      <c r="BW85" s="20" t="n"/>
      <c r="BX85" s="20" t="n"/>
      <c r="BY85" s="20" t="n"/>
      <c r="BZ85" s="20" t="n"/>
      <c r="CA85" s="20" t="n"/>
      <c r="CB85" s="20" t="n"/>
      <c r="CC85" s="20" t="n"/>
      <c r="CD85" s="20" t="n"/>
      <c r="CE85" s="20" t="n"/>
      <c r="CF85" s="20" t="n"/>
      <c r="CG85" s="20" t="n"/>
      <c r="CH85" s="20" t="n"/>
      <c r="CI85" s="20" t="n"/>
      <c r="CJ85" s="20" t="n"/>
      <c r="CK85" s="20" t="n"/>
      <c r="CL85" s="20" t="n"/>
      <c r="CM85" s="20" t="n"/>
      <c r="CN85" s="20" t="n"/>
      <c r="CO85" s="20" t="n"/>
      <c r="CP85" s="20" t="n"/>
      <c r="CQ85" s="20" t="n"/>
      <c r="CR85" s="20" t="n"/>
      <c r="CS85" s="20" t="n"/>
      <c r="CT85" s="20" t="n"/>
      <c r="CU85" s="20" t="n"/>
      <c r="CV85" s="20" t="n"/>
      <c r="CW85" s="20" t="n"/>
      <c r="CX85" s="20" t="n"/>
      <c r="CY85" s="20" t="n"/>
      <c r="CZ85" s="20" t="n"/>
      <c r="DA85" s="20" t="n"/>
      <c r="DB85" s="20" t="n"/>
      <c r="DC85" s="20" t="n"/>
      <c r="DD85" s="20" t="n"/>
      <c r="DE85" s="20" t="n"/>
      <c r="DF85" s="20" t="n"/>
      <c r="DG85" s="20" t="n"/>
      <c r="DH85" s="20" t="n"/>
      <c r="DI85" s="20" t="n"/>
      <c r="DJ85" s="20" t="n"/>
      <c r="DK85" s="20" t="n"/>
      <c r="DL85" s="20" t="n"/>
      <c r="DM85" s="20" t="n"/>
      <c r="DN85" s="20" t="n"/>
      <c r="DO85" s="20" t="n"/>
      <c r="DP85" s="20" t="n"/>
      <c r="DQ85" s="20" t="n"/>
      <c r="DR85" s="20" t="n"/>
      <c r="DS85" s="3">
        <f>SUM(C85:L85)*Inicio!$W$4</f>
        <v/>
      </c>
      <c r="DT85" s="3">
        <f>SUM(M85:V85)*Inicio!$W$5</f>
        <v/>
      </c>
      <c r="DU85" s="3">
        <f>SUM(W85:AF85)*Inicio!$W$6</f>
        <v/>
      </c>
      <c r="DV85" s="3">
        <f>SUM(AG85:AP85)*Inicio!$W$7</f>
        <v/>
      </c>
      <c r="DW85" s="3">
        <f>SUM(AQ85:AZ85)*Inicio!$W$8</f>
        <v/>
      </c>
      <c r="DX85" s="3">
        <f>SUM(BA85:BJ85)*Inicio!$W$9</f>
        <v/>
      </c>
      <c r="DY85" s="3">
        <f>SUM(BK85:BT85)*Inicio!$W$10</f>
        <v/>
      </c>
      <c r="DZ85" s="3">
        <f>SUM(BU85:CD85)*Inicio!$W$11</f>
        <v/>
      </c>
      <c r="EA85" s="3">
        <f>SUM(CE85:CN85)*Inicio!$W$12</f>
        <v/>
      </c>
      <c r="EB85" s="3">
        <f>SUM(CO85:CX85)*Inicio!$W$13</f>
        <v/>
      </c>
      <c r="EC85" s="3">
        <f>SUM(CY85:DH85)*Inicio!$W$11</f>
        <v/>
      </c>
      <c r="ED85" s="3">
        <f>SUM(DI85:DR85)*Inicio!$W$12</f>
        <v/>
      </c>
      <c r="EE85" s="3">
        <f>SUM(C85:DR85)</f>
        <v/>
      </c>
      <c r="EF85" s="3">
        <f>SUM(EE82:EE85)</f>
        <v/>
      </c>
      <c r="EG85" s="3">
        <f>SUM(DS85:ED85)</f>
        <v/>
      </c>
      <c r="EH85" s="3">
        <f>SUM(EG82:EG85)</f>
        <v/>
      </c>
    </row>
    <row r="86" ht="20.25" customHeight="1">
      <c r="B86" s="28" t="inlineStr">
        <is>
          <t>19:15 - 19:30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  <c r="AO86" s="21" t="n"/>
      <c r="AP86" s="21" t="n"/>
      <c r="AQ86" s="21" t="n"/>
      <c r="AR86" s="21" t="n"/>
      <c r="AS86" s="21" t="n"/>
      <c r="AT86" s="21" t="n"/>
      <c r="AU86" s="21" t="n"/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1" t="n"/>
      <c r="BG86" s="21" t="n"/>
      <c r="BH86" s="21" t="n"/>
      <c r="BI86" s="21" t="n"/>
      <c r="BJ86" s="21" t="n"/>
      <c r="BK86" s="21" t="n"/>
      <c r="BL86" s="21" t="n"/>
      <c r="BM86" s="21" t="n"/>
      <c r="BN86" s="21" t="n"/>
      <c r="BO86" s="21" t="n"/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  <c r="CA86" s="21" t="n"/>
      <c r="CB86" s="21" t="n"/>
      <c r="CC86" s="21" t="n"/>
      <c r="CD86" s="21" t="n"/>
      <c r="CE86" s="21" t="n"/>
      <c r="CF86" s="21" t="n"/>
      <c r="CG86" s="21" t="n"/>
      <c r="CH86" s="21" t="n"/>
      <c r="CI86" s="21" t="n"/>
      <c r="CJ86" s="21" t="n"/>
      <c r="CK86" s="21" t="n"/>
      <c r="CL86" s="21" t="n"/>
      <c r="CM86" s="21" t="n"/>
      <c r="CN86" s="21" t="n"/>
      <c r="CO86" s="21" t="n"/>
      <c r="CP86" s="21" t="n"/>
      <c r="CQ86" s="21" t="n"/>
      <c r="CR86" s="21" t="n"/>
      <c r="CS86" s="21" t="n"/>
      <c r="CT86" s="21" t="n"/>
      <c r="CU86" s="21" t="n"/>
      <c r="CV86" s="21" t="n"/>
      <c r="CW86" s="21" t="n"/>
      <c r="CX86" s="21" t="n"/>
      <c r="CY86" s="21" t="n"/>
      <c r="CZ86" s="21" t="n"/>
      <c r="DA86" s="21" t="n"/>
      <c r="DB86" s="21" t="n"/>
      <c r="DC86" s="21" t="n"/>
      <c r="DD86" s="21" t="n"/>
      <c r="DE86" s="21" t="n"/>
      <c r="DF86" s="21" t="n"/>
      <c r="DG86" s="21" t="n"/>
      <c r="DH86" s="21" t="n"/>
      <c r="DI86" s="21" t="n"/>
      <c r="DJ86" s="21" t="n"/>
      <c r="DK86" s="21" t="n"/>
      <c r="DL86" s="21" t="n"/>
      <c r="DM86" s="21" t="n"/>
      <c r="DN86" s="21" t="n"/>
      <c r="DO86" s="21" t="n"/>
      <c r="DP86" s="21" t="n"/>
      <c r="DQ86" s="21" t="n"/>
      <c r="DR86" s="21" t="n"/>
      <c r="DS86" s="4">
        <f>SUM(C86:L86)*Inicio!$W$4</f>
        <v/>
      </c>
      <c r="DT86" s="4">
        <f>SUM(M86:V86)*Inicio!$W$5</f>
        <v/>
      </c>
      <c r="DU86" s="4">
        <f>SUM(W86:AF86)*Inicio!$W$6</f>
        <v/>
      </c>
      <c r="DV86" s="4">
        <f>SUM(AG86:AP86)*Inicio!$W$7</f>
        <v/>
      </c>
      <c r="DW86" s="4">
        <f>SUM(AQ86:AZ86)*Inicio!$W$8</f>
        <v/>
      </c>
      <c r="DX86" s="4">
        <f>SUM(BA86:BJ86)*Inicio!$W$9</f>
        <v/>
      </c>
      <c r="DY86" s="4">
        <f>SUM(BK86:BT86)*Inicio!$W$10</f>
        <v/>
      </c>
      <c r="DZ86" s="4">
        <f>SUM(BU86:CD86)*Inicio!$W$11</f>
        <v/>
      </c>
      <c r="EA86" s="4">
        <f>SUM(CE86:CN86)*Inicio!$W$12</f>
        <v/>
      </c>
      <c r="EB86" s="4">
        <f>SUM(CO86:CX86)*Inicio!$W$13</f>
        <v/>
      </c>
      <c r="EC86" s="4">
        <f>SUM(CY86:DH86)*Inicio!$W$11</f>
        <v/>
      </c>
      <c r="ED86" s="4">
        <f>SUM(DI86:DR86)*Inicio!$W$12</f>
        <v/>
      </c>
      <c r="EE86" s="4">
        <f>SUM(C86:DR86)</f>
        <v/>
      </c>
      <c r="EF86" s="4">
        <f>SUM(EE83:EE86)</f>
        <v/>
      </c>
      <c r="EG86" s="4">
        <f>SUM(DS86:ED86)</f>
        <v/>
      </c>
      <c r="EH86" s="4">
        <f>SUM(EG83:EG86)</f>
        <v/>
      </c>
    </row>
    <row r="87" ht="20.25" customHeight="1">
      <c r="B87" s="28" t="inlineStr">
        <is>
          <t>19:30 - 19:45</t>
        </is>
      </c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  <c r="AO87" s="21" t="n"/>
      <c r="AP87" s="21" t="n"/>
      <c r="AQ87" s="21" t="n"/>
      <c r="AR87" s="21" t="n"/>
      <c r="AS87" s="21" t="n"/>
      <c r="AT87" s="21" t="n"/>
      <c r="AU87" s="21" t="n"/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1" t="n"/>
      <c r="BG87" s="21" t="n"/>
      <c r="BH87" s="21" t="n"/>
      <c r="BI87" s="21" t="n"/>
      <c r="BJ87" s="21" t="n"/>
      <c r="BK87" s="21" t="n"/>
      <c r="BL87" s="21" t="n"/>
      <c r="BM87" s="21" t="n"/>
      <c r="BN87" s="21" t="n"/>
      <c r="BO87" s="21" t="n"/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  <c r="CA87" s="21" t="n"/>
      <c r="CB87" s="21" t="n"/>
      <c r="CC87" s="21" t="n"/>
      <c r="CD87" s="21" t="n"/>
      <c r="CE87" s="21" t="n"/>
      <c r="CF87" s="21" t="n"/>
      <c r="CG87" s="21" t="n"/>
      <c r="CH87" s="21" t="n"/>
      <c r="CI87" s="21" t="n"/>
      <c r="CJ87" s="21" t="n"/>
      <c r="CK87" s="21" t="n"/>
      <c r="CL87" s="21" t="n"/>
      <c r="CM87" s="21" t="n"/>
      <c r="CN87" s="21" t="n"/>
      <c r="CO87" s="21" t="n"/>
      <c r="CP87" s="21" t="n"/>
      <c r="CQ87" s="21" t="n"/>
      <c r="CR87" s="21" t="n"/>
      <c r="CS87" s="21" t="n"/>
      <c r="CT87" s="21" t="n"/>
      <c r="CU87" s="21" t="n"/>
      <c r="CV87" s="21" t="n"/>
      <c r="CW87" s="21" t="n"/>
      <c r="CX87" s="21" t="n"/>
      <c r="CY87" s="21" t="n"/>
      <c r="CZ87" s="21" t="n"/>
      <c r="DA87" s="21" t="n"/>
      <c r="DB87" s="21" t="n"/>
      <c r="DC87" s="21" t="n"/>
      <c r="DD87" s="21" t="n"/>
      <c r="DE87" s="21" t="n"/>
      <c r="DF87" s="21" t="n"/>
      <c r="DG87" s="21" t="n"/>
      <c r="DH87" s="21" t="n"/>
      <c r="DI87" s="21" t="n"/>
      <c r="DJ87" s="21" t="n"/>
      <c r="DK87" s="21" t="n"/>
      <c r="DL87" s="21" t="n"/>
      <c r="DM87" s="21" t="n"/>
      <c r="DN87" s="21" t="n"/>
      <c r="DO87" s="21" t="n"/>
      <c r="DP87" s="21" t="n"/>
      <c r="DQ87" s="21" t="n"/>
      <c r="DR87" s="21" t="n"/>
      <c r="DS87" s="4">
        <f>SUM(C87:L87)*Inicio!$W$4</f>
        <v/>
      </c>
      <c r="DT87" s="4">
        <f>SUM(M87:V87)*Inicio!$W$5</f>
        <v/>
      </c>
      <c r="DU87" s="4">
        <f>SUM(W87:AF87)*Inicio!$W$6</f>
        <v/>
      </c>
      <c r="DV87" s="4">
        <f>SUM(AG87:AP87)*Inicio!$W$7</f>
        <v/>
      </c>
      <c r="DW87" s="4">
        <f>SUM(AQ87:AZ87)*Inicio!$W$8</f>
        <v/>
      </c>
      <c r="DX87" s="4">
        <f>SUM(BA87:BJ87)*Inicio!$W$9</f>
        <v/>
      </c>
      <c r="DY87" s="4">
        <f>SUM(BK87:BT87)*Inicio!$W$10</f>
        <v/>
      </c>
      <c r="DZ87" s="4">
        <f>SUM(BU87:CD87)*Inicio!$W$11</f>
        <v/>
      </c>
      <c r="EA87" s="4">
        <f>SUM(CE87:CN87)*Inicio!$W$12</f>
        <v/>
      </c>
      <c r="EB87" s="4">
        <f>SUM(CO87:CX87)*Inicio!$W$13</f>
        <v/>
      </c>
      <c r="EC87" s="4">
        <f>SUM(CY87:DH87)*Inicio!$W$11</f>
        <v/>
      </c>
      <c r="ED87" s="4">
        <f>SUM(DI87:DR87)*Inicio!$W$12</f>
        <v/>
      </c>
      <c r="EE87" s="4">
        <f>SUM(C87:DR87)</f>
        <v/>
      </c>
      <c r="EF87" s="4">
        <f>SUM(EE84:EE87)</f>
        <v/>
      </c>
      <c r="EG87" s="4">
        <f>SUM(DS87:ED87)</f>
        <v/>
      </c>
      <c r="EH87" s="4">
        <f>SUM(EG84:EG87)</f>
        <v/>
      </c>
    </row>
    <row r="88" ht="20.25" customHeight="1">
      <c r="B88" s="26" t="inlineStr">
        <is>
          <t>19:45 - 20:00</t>
        </is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/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5">
        <f>SUM(C88:L88)*Inicio!$W$4</f>
        <v/>
      </c>
      <c r="DT88" s="5">
        <f>SUM(M88:V88)*Inicio!$W$5</f>
        <v/>
      </c>
      <c r="DU88" s="5">
        <f>SUM(W88:AF88)*Inicio!$W$6</f>
        <v/>
      </c>
      <c r="DV88" s="5">
        <f>SUM(AG88:AP88)*Inicio!$W$7</f>
        <v/>
      </c>
      <c r="DW88" s="5">
        <f>SUM(AQ88:AZ88)*Inicio!$W$8</f>
        <v/>
      </c>
      <c r="DX88" s="5">
        <f>SUM(BA88:BJ88)*Inicio!$W$9</f>
        <v/>
      </c>
      <c r="DY88" s="5">
        <f>SUM(BK88:BT88)*Inicio!$W$10</f>
        <v/>
      </c>
      <c r="DZ88" s="5">
        <f>SUM(BU88:CD88)*Inicio!$W$11</f>
        <v/>
      </c>
      <c r="EA88" s="5">
        <f>SUM(CE88:CN88)*Inicio!$W$12</f>
        <v/>
      </c>
      <c r="EB88" s="5">
        <f>SUM(CO88:CX88)*Inicio!$W$13</f>
        <v/>
      </c>
      <c r="EC88" s="5">
        <f>SUM(CY88:DH88)*Inicio!$W$11</f>
        <v/>
      </c>
      <c r="ED88" s="5">
        <f>SUM(DI88:DR88)*Inicio!$W$12</f>
        <v/>
      </c>
      <c r="EE88" s="5">
        <f>SUM(C88:DR88)</f>
        <v/>
      </c>
      <c r="EF88" s="5">
        <f>SUM(EE85:EE88)</f>
        <v/>
      </c>
      <c r="EG88" s="5">
        <f>SUM(DS88:ED88)</f>
        <v/>
      </c>
      <c r="EH88" s="5">
        <f>SUM(EG85:EG88)</f>
        <v/>
      </c>
    </row>
    <row r="89" ht="20.25" customHeight="1">
      <c r="B89" s="27" t="inlineStr">
        <is>
          <t>20:00 - 20:15</t>
        </is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  <c r="AV89" s="20" t="n"/>
      <c r="AW89" s="20" t="n"/>
      <c r="AX89" s="20" t="n"/>
      <c r="AY89" s="20" t="n"/>
      <c r="AZ89" s="20" t="n"/>
      <c r="BA89" s="20" t="n"/>
      <c r="BB89" s="20" t="n"/>
      <c r="BC89" s="20" t="n"/>
      <c r="BD89" s="20" t="n"/>
      <c r="BE89" s="20" t="n"/>
      <c r="BF89" s="20" t="n"/>
      <c r="BG89" s="20" t="n"/>
      <c r="BH89" s="20" t="n"/>
      <c r="BI89" s="20" t="n"/>
      <c r="BJ89" s="20" t="n"/>
      <c r="BK89" s="20" t="n"/>
      <c r="BL89" s="20" t="n"/>
      <c r="BM89" s="20" t="n"/>
      <c r="BN89" s="20" t="n"/>
      <c r="BO89" s="20" t="n"/>
      <c r="BP89" s="20" t="n"/>
      <c r="BQ89" s="20" t="n"/>
      <c r="BR89" s="20" t="n"/>
      <c r="BS89" s="20" t="n"/>
      <c r="BT89" s="20" t="n"/>
      <c r="BU89" s="20" t="n"/>
      <c r="BV89" s="20" t="n"/>
      <c r="BW89" s="20" t="n"/>
      <c r="BX89" s="20" t="n"/>
      <c r="BY89" s="20" t="n"/>
      <c r="BZ89" s="20" t="n"/>
      <c r="CA89" s="20" t="n"/>
      <c r="CB89" s="20" t="n"/>
      <c r="CC89" s="20" t="n"/>
      <c r="CD89" s="20" t="n"/>
      <c r="CE89" s="20" t="n"/>
      <c r="CF89" s="20" t="n"/>
      <c r="CG89" s="20" t="n"/>
      <c r="CH89" s="20" t="n"/>
      <c r="CI89" s="20" t="n"/>
      <c r="CJ89" s="20" t="n"/>
      <c r="CK89" s="20" t="n"/>
      <c r="CL89" s="20" t="n"/>
      <c r="CM89" s="20" t="n"/>
      <c r="CN89" s="20" t="n"/>
      <c r="CO89" s="20" t="n"/>
      <c r="CP89" s="20" t="n"/>
      <c r="CQ89" s="20" t="n"/>
      <c r="CR89" s="20" t="n"/>
      <c r="CS89" s="20" t="n"/>
      <c r="CT89" s="20" t="n"/>
      <c r="CU89" s="20" t="n"/>
      <c r="CV89" s="20" t="n"/>
      <c r="CW89" s="20" t="n"/>
      <c r="CX89" s="20" t="n"/>
      <c r="CY89" s="20" t="n"/>
      <c r="CZ89" s="20" t="n"/>
      <c r="DA89" s="20" t="n"/>
      <c r="DB89" s="20" t="n"/>
      <c r="DC89" s="20" t="n"/>
      <c r="DD89" s="20" t="n"/>
      <c r="DE89" s="20" t="n"/>
      <c r="DF89" s="20" t="n"/>
      <c r="DG89" s="20" t="n"/>
      <c r="DH89" s="20" t="n"/>
      <c r="DI89" s="20" t="n"/>
      <c r="DJ89" s="20" t="n"/>
      <c r="DK89" s="20" t="n"/>
      <c r="DL89" s="20" t="n"/>
      <c r="DM89" s="20" t="n"/>
      <c r="DN89" s="20" t="n"/>
      <c r="DO89" s="20" t="n"/>
      <c r="DP89" s="20" t="n"/>
      <c r="DQ89" s="20" t="n"/>
      <c r="DR89" s="20" t="n"/>
      <c r="DS89" s="3">
        <f>SUM(C89:L89)*Inicio!$W$4</f>
        <v/>
      </c>
      <c r="DT89" s="3">
        <f>SUM(M89:V89)*Inicio!$W$5</f>
        <v/>
      </c>
      <c r="DU89" s="3">
        <f>SUM(W89:AF89)*Inicio!$W$6</f>
        <v/>
      </c>
      <c r="DV89" s="3">
        <f>SUM(AG89:AP89)*Inicio!$W$7</f>
        <v/>
      </c>
      <c r="DW89" s="3">
        <f>SUM(AQ89:AZ89)*Inicio!$W$8</f>
        <v/>
      </c>
      <c r="DX89" s="3">
        <f>SUM(BA89:BJ89)*Inicio!$W$9</f>
        <v/>
      </c>
      <c r="DY89" s="3">
        <f>SUM(BK89:BT89)*Inicio!$W$10</f>
        <v/>
      </c>
      <c r="DZ89" s="3">
        <f>SUM(BU89:CD89)*Inicio!$W$11</f>
        <v/>
      </c>
      <c r="EA89" s="3">
        <f>SUM(CE89:CN89)*Inicio!$W$12</f>
        <v/>
      </c>
      <c r="EB89" s="3">
        <f>SUM(CO89:CX89)*Inicio!$W$13</f>
        <v/>
      </c>
      <c r="EC89" s="3">
        <f>SUM(CY89:DH89)*Inicio!$W$11</f>
        <v/>
      </c>
      <c r="ED89" s="3">
        <f>SUM(DI89:DR89)*Inicio!$W$12</f>
        <v/>
      </c>
      <c r="EE89" s="3">
        <f>SUM(C89:DR89)</f>
        <v/>
      </c>
      <c r="EF89" s="3">
        <f>SUM(EE86:EE89)</f>
        <v/>
      </c>
      <c r="EG89" s="3">
        <f>SUM(DS89:ED89)</f>
        <v/>
      </c>
      <c r="EH89" s="3">
        <f>SUM(EG86:EG89)</f>
        <v/>
      </c>
    </row>
    <row r="90" ht="20.25" customHeight="1">
      <c r="B90" s="28" t="inlineStr">
        <is>
          <t>20:15 - 20:30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  <c r="AO90" s="21" t="n"/>
      <c r="AP90" s="21" t="n"/>
      <c r="AQ90" s="21" t="n"/>
      <c r="AR90" s="21" t="n"/>
      <c r="AS90" s="21" t="n"/>
      <c r="AT90" s="21" t="n"/>
      <c r="AU90" s="21" t="n"/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1" t="n"/>
      <c r="BG90" s="21" t="n"/>
      <c r="BH90" s="21" t="n"/>
      <c r="BI90" s="21" t="n"/>
      <c r="BJ90" s="21" t="n"/>
      <c r="BK90" s="21" t="n"/>
      <c r="BL90" s="21" t="n"/>
      <c r="BM90" s="21" t="n"/>
      <c r="BN90" s="21" t="n"/>
      <c r="BO90" s="21" t="n"/>
      <c r="BP90" s="21" t="n"/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  <c r="CA90" s="21" t="n"/>
      <c r="CB90" s="21" t="n"/>
      <c r="CC90" s="21" t="n"/>
      <c r="CD90" s="21" t="n"/>
      <c r="CE90" s="21" t="n"/>
      <c r="CF90" s="21" t="n"/>
      <c r="CG90" s="21" t="n"/>
      <c r="CH90" s="21" t="n"/>
      <c r="CI90" s="21" t="n"/>
      <c r="CJ90" s="21" t="n"/>
      <c r="CK90" s="21" t="n"/>
      <c r="CL90" s="21" t="n"/>
      <c r="CM90" s="21" t="n"/>
      <c r="CN90" s="21" t="n"/>
      <c r="CO90" s="21" t="n"/>
      <c r="CP90" s="21" t="n"/>
      <c r="CQ90" s="21" t="n"/>
      <c r="CR90" s="21" t="n"/>
      <c r="CS90" s="21" t="n"/>
      <c r="CT90" s="21" t="n"/>
      <c r="CU90" s="21" t="n"/>
      <c r="CV90" s="21" t="n"/>
      <c r="CW90" s="21" t="n"/>
      <c r="CX90" s="21" t="n"/>
      <c r="CY90" s="21" t="n"/>
      <c r="CZ90" s="21" t="n"/>
      <c r="DA90" s="21" t="n"/>
      <c r="DB90" s="21" t="n"/>
      <c r="DC90" s="21" t="n"/>
      <c r="DD90" s="21" t="n"/>
      <c r="DE90" s="21" t="n"/>
      <c r="DF90" s="21" t="n"/>
      <c r="DG90" s="21" t="n"/>
      <c r="DH90" s="21" t="n"/>
      <c r="DI90" s="21" t="n"/>
      <c r="DJ90" s="21" t="n"/>
      <c r="DK90" s="21" t="n"/>
      <c r="DL90" s="21" t="n"/>
      <c r="DM90" s="21" t="n"/>
      <c r="DN90" s="21" t="n"/>
      <c r="DO90" s="21" t="n"/>
      <c r="DP90" s="21" t="n"/>
      <c r="DQ90" s="21" t="n"/>
      <c r="DR90" s="21" t="n"/>
      <c r="DS90" s="4">
        <f>SUM(C90:L90)*Inicio!$W$4</f>
        <v/>
      </c>
      <c r="DT90" s="4">
        <f>SUM(M90:V90)*Inicio!$W$5</f>
        <v/>
      </c>
      <c r="DU90" s="4">
        <f>SUM(W90:AF90)*Inicio!$W$6</f>
        <v/>
      </c>
      <c r="DV90" s="4">
        <f>SUM(AG90:AP90)*Inicio!$W$7</f>
        <v/>
      </c>
      <c r="DW90" s="4">
        <f>SUM(AQ90:AZ90)*Inicio!$W$8</f>
        <v/>
      </c>
      <c r="DX90" s="4">
        <f>SUM(BA90:BJ90)*Inicio!$W$9</f>
        <v/>
      </c>
      <c r="DY90" s="4">
        <f>SUM(BK90:BT90)*Inicio!$W$10</f>
        <v/>
      </c>
      <c r="DZ90" s="4">
        <f>SUM(BU90:CD90)*Inicio!$W$11</f>
        <v/>
      </c>
      <c r="EA90" s="4">
        <f>SUM(CE90:CN90)*Inicio!$W$12</f>
        <v/>
      </c>
      <c r="EB90" s="4">
        <f>SUM(CO90:CX90)*Inicio!$W$13</f>
        <v/>
      </c>
      <c r="EC90" s="4">
        <f>SUM(CY90:DH90)*Inicio!$W$11</f>
        <v/>
      </c>
      <c r="ED90" s="4">
        <f>SUM(DI90:DR90)*Inicio!$W$12</f>
        <v/>
      </c>
      <c r="EE90" s="4">
        <f>SUM(C90:DR90)</f>
        <v/>
      </c>
      <c r="EF90" s="4">
        <f>SUM(EE87:EE90)</f>
        <v/>
      </c>
      <c r="EG90" s="4">
        <f>SUM(DS90:ED90)</f>
        <v/>
      </c>
      <c r="EH90" s="4">
        <f>SUM(EG87:EG90)</f>
        <v/>
      </c>
    </row>
    <row r="91" ht="20.25" customHeight="1">
      <c r="B91" s="28" t="inlineStr">
        <is>
          <t>20:30 - 20:45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  <c r="AO91" s="21" t="n"/>
      <c r="AP91" s="21" t="n"/>
      <c r="AQ91" s="21" t="n"/>
      <c r="AR91" s="21" t="n"/>
      <c r="AS91" s="21" t="n"/>
      <c r="AT91" s="21" t="n"/>
      <c r="AU91" s="21" t="n"/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1" t="n"/>
      <c r="BG91" s="21" t="n"/>
      <c r="BH91" s="21" t="n"/>
      <c r="BI91" s="21" t="n"/>
      <c r="BJ91" s="21" t="n"/>
      <c r="BK91" s="21" t="n"/>
      <c r="BL91" s="21" t="n"/>
      <c r="BM91" s="21" t="n"/>
      <c r="BN91" s="21" t="n"/>
      <c r="BO91" s="21" t="n"/>
      <c r="BP91" s="21" t="n"/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  <c r="CA91" s="21" t="n"/>
      <c r="CB91" s="21" t="n"/>
      <c r="CC91" s="21" t="n"/>
      <c r="CD91" s="21" t="n"/>
      <c r="CE91" s="21" t="n"/>
      <c r="CF91" s="21" t="n"/>
      <c r="CG91" s="21" t="n"/>
      <c r="CH91" s="21" t="n"/>
      <c r="CI91" s="21" t="n"/>
      <c r="CJ91" s="21" t="n"/>
      <c r="CK91" s="21" t="n"/>
      <c r="CL91" s="21" t="n"/>
      <c r="CM91" s="21" t="n"/>
      <c r="CN91" s="21" t="n"/>
      <c r="CO91" s="21" t="n"/>
      <c r="CP91" s="21" t="n"/>
      <c r="CQ91" s="21" t="n"/>
      <c r="CR91" s="21" t="n"/>
      <c r="CS91" s="21" t="n"/>
      <c r="CT91" s="21" t="n"/>
      <c r="CU91" s="21" t="n"/>
      <c r="CV91" s="21" t="n"/>
      <c r="CW91" s="21" t="n"/>
      <c r="CX91" s="21" t="n"/>
      <c r="CY91" s="21" t="n"/>
      <c r="CZ91" s="21" t="n"/>
      <c r="DA91" s="21" t="n"/>
      <c r="DB91" s="21" t="n"/>
      <c r="DC91" s="21" t="n"/>
      <c r="DD91" s="21" t="n"/>
      <c r="DE91" s="21" t="n"/>
      <c r="DF91" s="21" t="n"/>
      <c r="DG91" s="21" t="n"/>
      <c r="DH91" s="21" t="n"/>
      <c r="DI91" s="21" t="n"/>
      <c r="DJ91" s="21" t="n"/>
      <c r="DK91" s="21" t="n"/>
      <c r="DL91" s="21" t="n"/>
      <c r="DM91" s="21" t="n"/>
      <c r="DN91" s="21" t="n"/>
      <c r="DO91" s="21" t="n"/>
      <c r="DP91" s="21" t="n"/>
      <c r="DQ91" s="21" t="n"/>
      <c r="DR91" s="21" t="n"/>
      <c r="DS91" s="4">
        <f>SUM(C91:L91)*Inicio!$W$4</f>
        <v/>
      </c>
      <c r="DT91" s="4">
        <f>SUM(M91:V91)*Inicio!$W$5</f>
        <v/>
      </c>
      <c r="DU91" s="4">
        <f>SUM(W91:AF91)*Inicio!$W$6</f>
        <v/>
      </c>
      <c r="DV91" s="4">
        <f>SUM(AG91:AP91)*Inicio!$W$7</f>
        <v/>
      </c>
      <c r="DW91" s="4">
        <f>SUM(AQ91:AZ91)*Inicio!$W$8</f>
        <v/>
      </c>
      <c r="DX91" s="4">
        <f>SUM(BA91:BJ91)*Inicio!$W$9</f>
        <v/>
      </c>
      <c r="DY91" s="4">
        <f>SUM(BK91:BT91)*Inicio!$W$10</f>
        <v/>
      </c>
      <c r="DZ91" s="4">
        <f>SUM(BU91:CD91)*Inicio!$W$11</f>
        <v/>
      </c>
      <c r="EA91" s="4">
        <f>SUM(CE91:CN91)*Inicio!$W$12</f>
        <v/>
      </c>
      <c r="EB91" s="4">
        <f>SUM(CO91:CX91)*Inicio!$W$13</f>
        <v/>
      </c>
      <c r="EC91" s="4">
        <f>SUM(CY91:DH91)*Inicio!$W$11</f>
        <v/>
      </c>
      <c r="ED91" s="4">
        <f>SUM(DI91:DR91)*Inicio!$W$12</f>
        <v/>
      </c>
      <c r="EE91" s="4">
        <f>SUM(C91:DR91)</f>
        <v/>
      </c>
      <c r="EF91" s="4">
        <f>SUM(EE88:EE91)</f>
        <v/>
      </c>
      <c r="EG91" s="4">
        <f>SUM(DS91:ED91)</f>
        <v/>
      </c>
      <c r="EH91" s="4">
        <f>SUM(EG88:EG91)</f>
        <v/>
      </c>
    </row>
    <row r="92" ht="20.25" customHeight="1">
      <c r="B92" s="26" t="inlineStr">
        <is>
          <t>20:45 - 21:00</t>
        </is>
      </c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/>
      <c r="AV92" s="22" t="n"/>
      <c r="AW92" s="22" t="n"/>
      <c r="AX92" s="22" t="n"/>
      <c r="AY92" s="22" t="n"/>
      <c r="AZ92" s="22" t="n"/>
      <c r="BA92" s="22" t="n"/>
      <c r="BB92" s="22" t="n"/>
      <c r="BC92" s="22" t="n"/>
      <c r="BD92" s="22" t="n"/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/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5">
        <f>SUM(C92:L92)*Inicio!$W$4</f>
        <v/>
      </c>
      <c r="DT92" s="5">
        <f>SUM(M92:V92)*Inicio!$W$5</f>
        <v/>
      </c>
      <c r="DU92" s="5">
        <f>SUM(W92:AF92)*Inicio!$W$6</f>
        <v/>
      </c>
      <c r="DV92" s="5">
        <f>SUM(AG92:AP92)*Inicio!$W$7</f>
        <v/>
      </c>
      <c r="DW92" s="5">
        <f>SUM(AQ92:AZ92)*Inicio!$W$8</f>
        <v/>
      </c>
      <c r="DX92" s="5">
        <f>SUM(BA92:BJ92)*Inicio!$W$9</f>
        <v/>
      </c>
      <c r="DY92" s="5">
        <f>SUM(BK92:BT92)*Inicio!$W$10</f>
        <v/>
      </c>
      <c r="DZ92" s="5">
        <f>SUM(BU92:CD92)*Inicio!$W$11</f>
        <v/>
      </c>
      <c r="EA92" s="5">
        <f>SUM(CE92:CN92)*Inicio!$W$12</f>
        <v/>
      </c>
      <c r="EB92" s="5">
        <f>SUM(CO92:CX92)*Inicio!$W$13</f>
        <v/>
      </c>
      <c r="EC92" s="5">
        <f>SUM(CY92:DH92)*Inicio!$W$11</f>
        <v/>
      </c>
      <c r="ED92" s="5">
        <f>SUM(DI92:DR92)*Inicio!$W$12</f>
        <v/>
      </c>
      <c r="EE92" s="5">
        <f>SUM(C92:DR92)</f>
        <v/>
      </c>
      <c r="EF92" s="5">
        <f>SUM(EE89:EE92)</f>
        <v/>
      </c>
      <c r="EG92" s="5">
        <f>SUM(DS92:ED92)</f>
        <v/>
      </c>
      <c r="EH92" s="5">
        <f>SUM(EG89:EG92)</f>
        <v/>
      </c>
    </row>
    <row r="93" ht="20.25" customHeight="1">
      <c r="B93" s="27" t="inlineStr">
        <is>
          <t>21:00 - 21:15</t>
        </is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  <c r="AV93" s="20" t="n"/>
      <c r="AW93" s="20" t="n"/>
      <c r="AX93" s="20" t="n"/>
      <c r="AY93" s="20" t="n"/>
      <c r="AZ93" s="20" t="n"/>
      <c r="BA93" s="20" t="n"/>
      <c r="BB93" s="20" t="n"/>
      <c r="BC93" s="20" t="n"/>
      <c r="BD93" s="20" t="n"/>
      <c r="BE93" s="20" t="n"/>
      <c r="BF93" s="20" t="n"/>
      <c r="BG93" s="20" t="n"/>
      <c r="BH93" s="20" t="n"/>
      <c r="BI93" s="20" t="n"/>
      <c r="BJ93" s="20" t="n"/>
      <c r="BK93" s="20" t="n"/>
      <c r="BL93" s="20" t="n"/>
      <c r="BM93" s="20" t="n"/>
      <c r="BN93" s="20" t="n"/>
      <c r="BO93" s="20" t="n"/>
      <c r="BP93" s="20" t="n"/>
      <c r="BQ93" s="20" t="n"/>
      <c r="BR93" s="20" t="n"/>
      <c r="BS93" s="20" t="n"/>
      <c r="BT93" s="20" t="n"/>
      <c r="BU93" s="20" t="n"/>
      <c r="BV93" s="20" t="n"/>
      <c r="BW93" s="20" t="n"/>
      <c r="BX93" s="20" t="n"/>
      <c r="BY93" s="20" t="n"/>
      <c r="BZ93" s="20" t="n"/>
      <c r="CA93" s="20" t="n"/>
      <c r="CB93" s="20" t="n"/>
      <c r="CC93" s="20" t="n"/>
      <c r="CD93" s="20" t="n"/>
      <c r="CE93" s="20" t="n"/>
      <c r="CF93" s="20" t="n"/>
      <c r="CG93" s="20" t="n"/>
      <c r="CH93" s="20" t="n"/>
      <c r="CI93" s="20" t="n"/>
      <c r="CJ93" s="20" t="n"/>
      <c r="CK93" s="20" t="n"/>
      <c r="CL93" s="20" t="n"/>
      <c r="CM93" s="20" t="n"/>
      <c r="CN93" s="20" t="n"/>
      <c r="CO93" s="20" t="n"/>
      <c r="CP93" s="20" t="n"/>
      <c r="CQ93" s="20" t="n"/>
      <c r="CR93" s="20" t="n"/>
      <c r="CS93" s="20" t="n"/>
      <c r="CT93" s="20" t="n"/>
      <c r="CU93" s="20" t="n"/>
      <c r="CV93" s="20" t="n"/>
      <c r="CW93" s="20" t="n"/>
      <c r="CX93" s="20" t="n"/>
      <c r="CY93" s="20" t="n"/>
      <c r="CZ93" s="20" t="n"/>
      <c r="DA93" s="20" t="n"/>
      <c r="DB93" s="20" t="n"/>
      <c r="DC93" s="20" t="n"/>
      <c r="DD93" s="20" t="n"/>
      <c r="DE93" s="20" t="n"/>
      <c r="DF93" s="20" t="n"/>
      <c r="DG93" s="20" t="n"/>
      <c r="DH93" s="20" t="n"/>
      <c r="DI93" s="20" t="n"/>
      <c r="DJ93" s="20" t="n"/>
      <c r="DK93" s="20" t="n"/>
      <c r="DL93" s="20" t="n"/>
      <c r="DM93" s="20" t="n"/>
      <c r="DN93" s="20" t="n"/>
      <c r="DO93" s="20" t="n"/>
      <c r="DP93" s="20" t="n"/>
      <c r="DQ93" s="20" t="n"/>
      <c r="DR93" s="20" t="n"/>
      <c r="DS93" s="3">
        <f>SUM(C93:L93)*Inicio!$W$4</f>
        <v/>
      </c>
      <c r="DT93" s="3">
        <f>SUM(M93:V93)*Inicio!$W$5</f>
        <v/>
      </c>
      <c r="DU93" s="3">
        <f>SUM(W93:AF93)*Inicio!$W$6</f>
        <v/>
      </c>
      <c r="DV93" s="3">
        <f>SUM(AG93:AP93)*Inicio!$W$7</f>
        <v/>
      </c>
      <c r="DW93" s="3">
        <f>SUM(AQ93:AZ93)*Inicio!$W$8</f>
        <v/>
      </c>
      <c r="DX93" s="3">
        <f>SUM(BA93:BJ93)*Inicio!$W$9</f>
        <v/>
      </c>
      <c r="DY93" s="3">
        <f>SUM(BK93:BT93)*Inicio!$W$10</f>
        <v/>
      </c>
      <c r="DZ93" s="3">
        <f>SUM(BU93:CD93)*Inicio!$W$11</f>
        <v/>
      </c>
      <c r="EA93" s="3">
        <f>SUM(CE93:CN93)*Inicio!$W$12</f>
        <v/>
      </c>
      <c r="EB93" s="3">
        <f>SUM(CO93:CX93)*Inicio!$W$13</f>
        <v/>
      </c>
      <c r="EC93" s="3">
        <f>SUM(CY93:DH93)*Inicio!$W$11</f>
        <v/>
      </c>
      <c r="ED93" s="3">
        <f>SUM(DI93:DR93)*Inicio!$W$12</f>
        <v/>
      </c>
      <c r="EE93" s="3">
        <f>SUM(C93:DR93)</f>
        <v/>
      </c>
      <c r="EF93" s="3">
        <f>SUM(EE90:EE93)</f>
        <v/>
      </c>
      <c r="EG93" s="3">
        <f>SUM(DS93:ED93)</f>
        <v/>
      </c>
      <c r="EH93" s="3">
        <f>SUM(EG90:EG93)</f>
        <v/>
      </c>
    </row>
    <row r="94" ht="20.25" customHeight="1">
      <c r="B94" s="28" t="inlineStr">
        <is>
          <t>21:15 - 21:30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  <c r="AO94" s="21" t="n"/>
      <c r="AP94" s="21" t="n"/>
      <c r="AQ94" s="21" t="n"/>
      <c r="AR94" s="21" t="n"/>
      <c r="AS94" s="21" t="n"/>
      <c r="AT94" s="21" t="n"/>
      <c r="AU94" s="21" t="n"/>
      <c r="AV94" s="21" t="n"/>
      <c r="AW94" s="21" t="n"/>
      <c r="AX94" s="21" t="n"/>
      <c r="AY94" s="21" t="n"/>
      <c r="AZ94" s="21" t="n"/>
      <c r="BA94" s="21" t="n"/>
      <c r="BB94" s="21" t="n"/>
      <c r="BC94" s="21" t="n"/>
      <c r="BD94" s="21" t="n"/>
      <c r="BE94" s="21" t="n"/>
      <c r="BF94" s="21" t="n"/>
      <c r="BG94" s="21" t="n"/>
      <c r="BH94" s="21" t="n"/>
      <c r="BI94" s="21" t="n"/>
      <c r="BJ94" s="21" t="n"/>
      <c r="BK94" s="21" t="n"/>
      <c r="BL94" s="21" t="n"/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  <c r="CA94" s="21" t="n"/>
      <c r="CB94" s="21" t="n"/>
      <c r="CC94" s="21" t="n"/>
      <c r="CD94" s="21" t="n"/>
      <c r="CE94" s="21" t="n"/>
      <c r="CF94" s="21" t="n"/>
      <c r="CG94" s="21" t="n"/>
      <c r="CH94" s="21" t="n"/>
      <c r="CI94" s="21" t="n"/>
      <c r="CJ94" s="21" t="n"/>
      <c r="CK94" s="21" t="n"/>
      <c r="CL94" s="21" t="n"/>
      <c r="CM94" s="21" t="n"/>
      <c r="CN94" s="21" t="n"/>
      <c r="CO94" s="21" t="n"/>
      <c r="CP94" s="21" t="n"/>
      <c r="CQ94" s="21" t="n"/>
      <c r="CR94" s="21" t="n"/>
      <c r="CS94" s="21" t="n"/>
      <c r="CT94" s="21" t="n"/>
      <c r="CU94" s="21" t="n"/>
      <c r="CV94" s="21" t="n"/>
      <c r="CW94" s="21" t="n"/>
      <c r="CX94" s="21" t="n"/>
      <c r="CY94" s="21" t="n"/>
      <c r="CZ94" s="21" t="n"/>
      <c r="DA94" s="21" t="n"/>
      <c r="DB94" s="21" t="n"/>
      <c r="DC94" s="21" t="n"/>
      <c r="DD94" s="21" t="n"/>
      <c r="DE94" s="21" t="n"/>
      <c r="DF94" s="21" t="n"/>
      <c r="DG94" s="21" t="n"/>
      <c r="DH94" s="21" t="n"/>
      <c r="DI94" s="21" t="n"/>
      <c r="DJ94" s="21" t="n"/>
      <c r="DK94" s="21" t="n"/>
      <c r="DL94" s="21" t="n"/>
      <c r="DM94" s="21" t="n"/>
      <c r="DN94" s="21" t="n"/>
      <c r="DO94" s="21" t="n"/>
      <c r="DP94" s="21" t="n"/>
      <c r="DQ94" s="21" t="n"/>
      <c r="DR94" s="21" t="n"/>
      <c r="DS94" s="4">
        <f>SUM(C94:L94)*Inicio!$W$4</f>
        <v/>
      </c>
      <c r="DT94" s="4">
        <f>SUM(M94:V94)*Inicio!$W$5</f>
        <v/>
      </c>
      <c r="DU94" s="4">
        <f>SUM(W94:AF94)*Inicio!$W$6</f>
        <v/>
      </c>
      <c r="DV94" s="4">
        <f>SUM(AG94:AP94)*Inicio!$W$7</f>
        <v/>
      </c>
      <c r="DW94" s="4">
        <f>SUM(AQ94:AZ94)*Inicio!$W$8</f>
        <v/>
      </c>
      <c r="DX94" s="4">
        <f>SUM(BA94:BJ94)*Inicio!$W$9</f>
        <v/>
      </c>
      <c r="DY94" s="4">
        <f>SUM(BK94:BT94)*Inicio!$W$10</f>
        <v/>
      </c>
      <c r="DZ94" s="4">
        <f>SUM(BU94:CD94)*Inicio!$W$11</f>
        <v/>
      </c>
      <c r="EA94" s="4">
        <f>SUM(CE94:CN94)*Inicio!$W$12</f>
        <v/>
      </c>
      <c r="EB94" s="4">
        <f>SUM(CO94:CX94)*Inicio!$W$13</f>
        <v/>
      </c>
      <c r="EC94" s="4">
        <f>SUM(CY94:DH94)*Inicio!$W$11</f>
        <v/>
      </c>
      <c r="ED94" s="4">
        <f>SUM(DI94:DR94)*Inicio!$W$12</f>
        <v/>
      </c>
      <c r="EE94" s="4">
        <f>SUM(C94:DR94)</f>
        <v/>
      </c>
      <c r="EF94" s="4">
        <f>SUM(EE91:EE94)</f>
        <v/>
      </c>
      <c r="EG94" s="4">
        <f>SUM(DS94:ED94)</f>
        <v/>
      </c>
      <c r="EH94" s="4">
        <f>SUM(EG91:EG94)</f>
        <v/>
      </c>
    </row>
    <row r="95" ht="20.25" customHeight="1">
      <c r="B95" s="28" t="inlineStr">
        <is>
          <t>21:30 - 21:45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  <c r="AO95" s="21" t="n"/>
      <c r="AP95" s="21" t="n"/>
      <c r="AQ95" s="21" t="n"/>
      <c r="AR95" s="21" t="n"/>
      <c r="AS95" s="21" t="n"/>
      <c r="AT95" s="21" t="n"/>
      <c r="AU95" s="21" t="n"/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1" t="n"/>
      <c r="BG95" s="21" t="n"/>
      <c r="BH95" s="21" t="n"/>
      <c r="BI95" s="21" t="n"/>
      <c r="BJ95" s="21" t="n"/>
      <c r="BK95" s="21" t="n"/>
      <c r="BL95" s="21" t="n"/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  <c r="CA95" s="21" t="n"/>
      <c r="CB95" s="21" t="n"/>
      <c r="CC95" s="21" t="n"/>
      <c r="CD95" s="21" t="n"/>
      <c r="CE95" s="21" t="n"/>
      <c r="CF95" s="21" t="n"/>
      <c r="CG95" s="21" t="n"/>
      <c r="CH95" s="21" t="n"/>
      <c r="CI95" s="21" t="n"/>
      <c r="CJ95" s="21" t="n"/>
      <c r="CK95" s="21" t="n"/>
      <c r="CL95" s="21" t="n"/>
      <c r="CM95" s="21" t="n"/>
      <c r="CN95" s="21" t="n"/>
      <c r="CO95" s="21" t="n"/>
      <c r="CP95" s="21" t="n"/>
      <c r="CQ95" s="21" t="n"/>
      <c r="CR95" s="21" t="n"/>
      <c r="CS95" s="21" t="n"/>
      <c r="CT95" s="21" t="n"/>
      <c r="CU95" s="21" t="n"/>
      <c r="CV95" s="21" t="n"/>
      <c r="CW95" s="21" t="n"/>
      <c r="CX95" s="21" t="n"/>
      <c r="CY95" s="21" t="n"/>
      <c r="CZ95" s="21" t="n"/>
      <c r="DA95" s="21" t="n"/>
      <c r="DB95" s="21" t="n"/>
      <c r="DC95" s="21" t="n"/>
      <c r="DD95" s="21" t="n"/>
      <c r="DE95" s="21" t="n"/>
      <c r="DF95" s="21" t="n"/>
      <c r="DG95" s="21" t="n"/>
      <c r="DH95" s="21" t="n"/>
      <c r="DI95" s="21" t="n"/>
      <c r="DJ95" s="21" t="n"/>
      <c r="DK95" s="21" t="n"/>
      <c r="DL95" s="21" t="n"/>
      <c r="DM95" s="21" t="n"/>
      <c r="DN95" s="21" t="n"/>
      <c r="DO95" s="21" t="n"/>
      <c r="DP95" s="21" t="n"/>
      <c r="DQ95" s="21" t="n"/>
      <c r="DR95" s="21" t="n"/>
      <c r="DS95" s="4">
        <f>SUM(C95:L95)*Inicio!$W$4</f>
        <v/>
      </c>
      <c r="DT95" s="4">
        <f>SUM(M95:V95)*Inicio!$W$5</f>
        <v/>
      </c>
      <c r="DU95" s="4">
        <f>SUM(W95:AF95)*Inicio!$W$6</f>
        <v/>
      </c>
      <c r="DV95" s="4">
        <f>SUM(AG95:AP95)*Inicio!$W$7</f>
        <v/>
      </c>
      <c r="DW95" s="4">
        <f>SUM(AQ95:AZ95)*Inicio!$W$8</f>
        <v/>
      </c>
      <c r="DX95" s="4">
        <f>SUM(BA95:BJ95)*Inicio!$W$9</f>
        <v/>
      </c>
      <c r="DY95" s="4">
        <f>SUM(BK95:BT95)*Inicio!$W$10</f>
        <v/>
      </c>
      <c r="DZ95" s="4">
        <f>SUM(BU95:CD95)*Inicio!$W$11</f>
        <v/>
      </c>
      <c r="EA95" s="4">
        <f>SUM(CE95:CN95)*Inicio!$W$12</f>
        <v/>
      </c>
      <c r="EB95" s="4">
        <f>SUM(CO95:CX95)*Inicio!$W$13</f>
        <v/>
      </c>
      <c r="EC95" s="4">
        <f>SUM(CY95:DH95)*Inicio!$W$11</f>
        <v/>
      </c>
      <c r="ED95" s="4">
        <f>SUM(DI95:DR95)*Inicio!$W$12</f>
        <v/>
      </c>
      <c r="EE95" s="4">
        <f>SUM(C95:DR95)</f>
        <v/>
      </c>
      <c r="EF95" s="4">
        <f>SUM(EE92:EE95)</f>
        <v/>
      </c>
      <c r="EG95" s="4">
        <f>SUM(DS95:ED95)</f>
        <v/>
      </c>
      <c r="EH95" s="4">
        <f>SUM(EG92:EG95)</f>
        <v/>
      </c>
    </row>
    <row r="96" ht="20.25" customHeight="1">
      <c r="B96" s="26" t="inlineStr">
        <is>
          <t>21:45 - 22:00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/>
      <c r="AV96" s="22" t="n"/>
      <c r="AW96" s="22" t="n"/>
      <c r="AX96" s="22" t="n"/>
      <c r="AY96" s="22" t="n"/>
      <c r="AZ96" s="22" t="n"/>
      <c r="BA96" s="22" t="n"/>
      <c r="BB96" s="22" t="n"/>
      <c r="BC96" s="22" t="n"/>
      <c r="BD96" s="22" t="n"/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/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5">
        <f>SUM(C96:L96)*Inicio!$W$4</f>
        <v/>
      </c>
      <c r="DT96" s="5">
        <f>SUM(M96:V96)*Inicio!$W$5</f>
        <v/>
      </c>
      <c r="DU96" s="5">
        <f>SUM(W96:AF96)*Inicio!$W$6</f>
        <v/>
      </c>
      <c r="DV96" s="5">
        <f>SUM(AG96:AP96)*Inicio!$W$7</f>
        <v/>
      </c>
      <c r="DW96" s="5">
        <f>SUM(AQ96:AZ96)*Inicio!$W$8</f>
        <v/>
      </c>
      <c r="DX96" s="5">
        <f>SUM(BA96:BJ96)*Inicio!$W$9</f>
        <v/>
      </c>
      <c r="DY96" s="5">
        <f>SUM(BK96:BT96)*Inicio!$W$10</f>
        <v/>
      </c>
      <c r="DZ96" s="5">
        <f>SUM(BU96:CD96)*Inicio!$W$11</f>
        <v/>
      </c>
      <c r="EA96" s="5">
        <f>SUM(CE96:CN96)*Inicio!$W$12</f>
        <v/>
      </c>
      <c r="EB96" s="5">
        <f>SUM(CO96:CX96)*Inicio!$W$13</f>
        <v/>
      </c>
      <c r="EC96" s="5">
        <f>SUM(CY96:DH96)*Inicio!$W$11</f>
        <v/>
      </c>
      <c r="ED96" s="5">
        <f>SUM(DI96:DR96)*Inicio!$W$12</f>
        <v/>
      </c>
      <c r="EE96" s="5">
        <f>SUM(C96:DR96)</f>
        <v/>
      </c>
      <c r="EF96" s="5">
        <f>SUM(EE93:EE96)</f>
        <v/>
      </c>
      <c r="EG96" s="5">
        <f>SUM(DS96:ED96)</f>
        <v/>
      </c>
      <c r="EH96" s="5">
        <f>SUM(EG93:EG96)</f>
        <v/>
      </c>
    </row>
    <row r="97" ht="20.25" customHeight="1">
      <c r="B97" s="27" t="inlineStr">
        <is>
          <t>22:00 - 22:15</t>
        </is>
      </c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  <c r="AV97" s="20" t="n"/>
      <c r="AW97" s="20" t="n"/>
      <c r="AX97" s="20" t="n"/>
      <c r="AY97" s="20" t="n"/>
      <c r="AZ97" s="20" t="n"/>
      <c r="BA97" s="20" t="n"/>
      <c r="BB97" s="20" t="n"/>
      <c r="BC97" s="20" t="n"/>
      <c r="BD97" s="20" t="n"/>
      <c r="BE97" s="20" t="n"/>
      <c r="BF97" s="20" t="n"/>
      <c r="BG97" s="20" t="n"/>
      <c r="BH97" s="20" t="n"/>
      <c r="BI97" s="20" t="n"/>
      <c r="BJ97" s="20" t="n"/>
      <c r="BK97" s="20" t="n"/>
      <c r="BL97" s="20" t="n"/>
      <c r="BM97" s="20" t="n"/>
      <c r="BN97" s="20" t="n"/>
      <c r="BO97" s="20" t="n"/>
      <c r="BP97" s="20" t="n"/>
      <c r="BQ97" s="20" t="n"/>
      <c r="BR97" s="20" t="n"/>
      <c r="BS97" s="20" t="n"/>
      <c r="BT97" s="20" t="n"/>
      <c r="BU97" s="20" t="n"/>
      <c r="BV97" s="20" t="n"/>
      <c r="BW97" s="20" t="n"/>
      <c r="BX97" s="20" t="n"/>
      <c r="BY97" s="20" t="n"/>
      <c r="BZ97" s="20" t="n"/>
      <c r="CA97" s="20" t="n"/>
      <c r="CB97" s="20" t="n"/>
      <c r="CC97" s="20" t="n"/>
      <c r="CD97" s="20" t="n"/>
      <c r="CE97" s="20" t="n"/>
      <c r="CF97" s="20" t="n"/>
      <c r="CG97" s="20" t="n"/>
      <c r="CH97" s="20" t="n"/>
      <c r="CI97" s="20" t="n"/>
      <c r="CJ97" s="20" t="n"/>
      <c r="CK97" s="20" t="n"/>
      <c r="CL97" s="20" t="n"/>
      <c r="CM97" s="20" t="n"/>
      <c r="CN97" s="20" t="n"/>
      <c r="CO97" s="20" t="n"/>
      <c r="CP97" s="20" t="n"/>
      <c r="CQ97" s="20" t="n"/>
      <c r="CR97" s="20" t="n"/>
      <c r="CS97" s="20" t="n"/>
      <c r="CT97" s="20" t="n"/>
      <c r="CU97" s="20" t="n"/>
      <c r="CV97" s="20" t="n"/>
      <c r="CW97" s="20" t="n"/>
      <c r="CX97" s="20" t="n"/>
      <c r="CY97" s="20" t="n"/>
      <c r="CZ97" s="20" t="n"/>
      <c r="DA97" s="20" t="n"/>
      <c r="DB97" s="20" t="n"/>
      <c r="DC97" s="20" t="n"/>
      <c r="DD97" s="20" t="n"/>
      <c r="DE97" s="20" t="n"/>
      <c r="DF97" s="20" t="n"/>
      <c r="DG97" s="20" t="n"/>
      <c r="DH97" s="20" t="n"/>
      <c r="DI97" s="20" t="n"/>
      <c r="DJ97" s="20" t="n"/>
      <c r="DK97" s="20" t="n"/>
      <c r="DL97" s="20" t="n"/>
      <c r="DM97" s="20" t="n"/>
      <c r="DN97" s="20" t="n"/>
      <c r="DO97" s="20" t="n"/>
      <c r="DP97" s="20" t="n"/>
      <c r="DQ97" s="20" t="n"/>
      <c r="DR97" s="20" t="n"/>
      <c r="DS97" s="3">
        <f>SUM(C97:L97)*Inicio!$W$4</f>
        <v/>
      </c>
      <c r="DT97" s="3">
        <f>SUM(M97:V97)*Inicio!$W$5</f>
        <v/>
      </c>
      <c r="DU97" s="3">
        <f>SUM(W97:AF97)*Inicio!$W$6</f>
        <v/>
      </c>
      <c r="DV97" s="3">
        <f>SUM(AG97:AP97)*Inicio!$W$7</f>
        <v/>
      </c>
      <c r="DW97" s="3">
        <f>SUM(AQ97:AZ97)*Inicio!$W$8</f>
        <v/>
      </c>
      <c r="DX97" s="3">
        <f>SUM(BA97:BJ97)*Inicio!$W$9</f>
        <v/>
      </c>
      <c r="DY97" s="3">
        <f>SUM(BK97:BT97)*Inicio!$W$10</f>
        <v/>
      </c>
      <c r="DZ97" s="3">
        <f>SUM(BU97:CD97)*Inicio!$W$11</f>
        <v/>
      </c>
      <c r="EA97" s="3">
        <f>SUM(CE97:CN97)*Inicio!$W$12</f>
        <v/>
      </c>
      <c r="EB97" s="3">
        <f>SUM(CO97:CX97)*Inicio!$W$13</f>
        <v/>
      </c>
      <c r="EC97" s="3">
        <f>SUM(CY97:DH97)*Inicio!$W$11</f>
        <v/>
      </c>
      <c r="ED97" s="3">
        <f>SUM(DI97:DR97)*Inicio!$W$12</f>
        <v/>
      </c>
      <c r="EE97" s="3">
        <f>SUM(C97:DR97)</f>
        <v/>
      </c>
      <c r="EF97" s="3">
        <f>SUM(EE94:EE97)</f>
        <v/>
      </c>
      <c r="EG97" s="3">
        <f>SUM(DS97:ED97)</f>
        <v/>
      </c>
      <c r="EH97" s="3">
        <f>SUM(EG94:EG97)</f>
        <v/>
      </c>
    </row>
    <row r="98" ht="20.25" customHeight="1">
      <c r="B98" s="28" t="inlineStr">
        <is>
          <t>22:15 - 22:30</t>
        </is>
      </c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  <c r="AO98" s="21" t="n"/>
      <c r="AP98" s="21" t="n"/>
      <c r="AQ98" s="21" t="n"/>
      <c r="AR98" s="21" t="n"/>
      <c r="AS98" s="21" t="n"/>
      <c r="AT98" s="21" t="n"/>
      <c r="AU98" s="21" t="n"/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  <c r="BF98" s="21" t="n"/>
      <c r="BG98" s="21" t="n"/>
      <c r="BH98" s="21" t="n"/>
      <c r="BI98" s="21" t="n"/>
      <c r="BJ98" s="21" t="n"/>
      <c r="BK98" s="21" t="n"/>
      <c r="BL98" s="21" t="n"/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  <c r="CA98" s="21" t="n"/>
      <c r="CB98" s="21" t="n"/>
      <c r="CC98" s="21" t="n"/>
      <c r="CD98" s="21" t="n"/>
      <c r="CE98" s="21" t="n"/>
      <c r="CF98" s="21" t="n"/>
      <c r="CG98" s="21" t="n"/>
      <c r="CH98" s="21" t="n"/>
      <c r="CI98" s="21" t="n"/>
      <c r="CJ98" s="21" t="n"/>
      <c r="CK98" s="21" t="n"/>
      <c r="CL98" s="21" t="n"/>
      <c r="CM98" s="21" t="n"/>
      <c r="CN98" s="21" t="n"/>
      <c r="CO98" s="21" t="n"/>
      <c r="CP98" s="21" t="n"/>
      <c r="CQ98" s="21" t="n"/>
      <c r="CR98" s="21" t="n"/>
      <c r="CS98" s="21" t="n"/>
      <c r="CT98" s="21" t="n"/>
      <c r="CU98" s="21" t="n"/>
      <c r="CV98" s="21" t="n"/>
      <c r="CW98" s="21" t="n"/>
      <c r="CX98" s="21" t="n"/>
      <c r="CY98" s="21" t="n"/>
      <c r="CZ98" s="21" t="n"/>
      <c r="DA98" s="21" t="n"/>
      <c r="DB98" s="21" t="n"/>
      <c r="DC98" s="21" t="n"/>
      <c r="DD98" s="21" t="n"/>
      <c r="DE98" s="21" t="n"/>
      <c r="DF98" s="21" t="n"/>
      <c r="DG98" s="21" t="n"/>
      <c r="DH98" s="21" t="n"/>
      <c r="DI98" s="21" t="n"/>
      <c r="DJ98" s="21" t="n"/>
      <c r="DK98" s="21" t="n"/>
      <c r="DL98" s="21" t="n"/>
      <c r="DM98" s="21" t="n"/>
      <c r="DN98" s="21" t="n"/>
      <c r="DO98" s="21" t="n"/>
      <c r="DP98" s="21" t="n"/>
      <c r="DQ98" s="21" t="n"/>
      <c r="DR98" s="21" t="n"/>
      <c r="DS98" s="4">
        <f>SUM(C98:L98)*Inicio!$W$4</f>
        <v/>
      </c>
      <c r="DT98" s="4">
        <f>SUM(M98:V98)*Inicio!$W$5</f>
        <v/>
      </c>
      <c r="DU98" s="4">
        <f>SUM(W98:AF98)*Inicio!$W$6</f>
        <v/>
      </c>
      <c r="DV98" s="4">
        <f>SUM(AG98:AP98)*Inicio!$W$7</f>
        <v/>
      </c>
      <c r="DW98" s="4">
        <f>SUM(AQ98:AZ98)*Inicio!$W$8</f>
        <v/>
      </c>
      <c r="DX98" s="4">
        <f>SUM(BA98:BJ98)*Inicio!$W$9</f>
        <v/>
      </c>
      <c r="DY98" s="4">
        <f>SUM(BK98:BT98)*Inicio!$W$10</f>
        <v/>
      </c>
      <c r="DZ98" s="4">
        <f>SUM(BU98:CD98)*Inicio!$W$11</f>
        <v/>
      </c>
      <c r="EA98" s="4">
        <f>SUM(CE98:CN98)*Inicio!$W$12</f>
        <v/>
      </c>
      <c r="EB98" s="4">
        <f>SUM(CO98:CX98)*Inicio!$W$13</f>
        <v/>
      </c>
      <c r="EC98" s="4">
        <f>SUM(CY98:DH98)*Inicio!$W$11</f>
        <v/>
      </c>
      <c r="ED98" s="4">
        <f>SUM(DI98:DR98)*Inicio!$W$12</f>
        <v/>
      </c>
      <c r="EE98" s="4">
        <f>SUM(C98:DR98)</f>
        <v/>
      </c>
      <c r="EF98" s="4">
        <f>SUM(EE95:EE98)</f>
        <v/>
      </c>
      <c r="EG98" s="4">
        <f>SUM(DS98:ED98)</f>
        <v/>
      </c>
      <c r="EH98" s="4">
        <f>SUM(EG95:EG98)</f>
        <v/>
      </c>
    </row>
    <row r="99" ht="20.25" customHeight="1">
      <c r="B99" s="28" t="inlineStr">
        <is>
          <t>22:30 - 22:45</t>
        </is>
      </c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  <c r="BF99" s="21" t="n"/>
      <c r="BG99" s="21" t="n"/>
      <c r="BH99" s="21" t="n"/>
      <c r="BI99" s="21" t="n"/>
      <c r="BJ99" s="21" t="n"/>
      <c r="BK99" s="21" t="n"/>
      <c r="BL99" s="21" t="n"/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  <c r="CA99" s="21" t="n"/>
      <c r="CB99" s="21" t="n"/>
      <c r="CC99" s="21" t="n"/>
      <c r="CD99" s="21" t="n"/>
      <c r="CE99" s="21" t="n"/>
      <c r="CF99" s="21" t="n"/>
      <c r="CG99" s="21" t="n"/>
      <c r="CH99" s="21" t="n"/>
      <c r="CI99" s="21" t="n"/>
      <c r="CJ99" s="21" t="n"/>
      <c r="CK99" s="21" t="n"/>
      <c r="CL99" s="21" t="n"/>
      <c r="CM99" s="21" t="n"/>
      <c r="CN99" s="21" t="n"/>
      <c r="CO99" s="21" t="n"/>
      <c r="CP99" s="21" t="n"/>
      <c r="CQ99" s="21" t="n"/>
      <c r="CR99" s="21" t="n"/>
      <c r="CS99" s="21" t="n"/>
      <c r="CT99" s="21" t="n"/>
      <c r="CU99" s="21" t="n"/>
      <c r="CV99" s="21" t="n"/>
      <c r="CW99" s="21" t="n"/>
      <c r="CX99" s="21" t="n"/>
      <c r="CY99" s="21" t="n"/>
      <c r="CZ99" s="21" t="n"/>
      <c r="DA99" s="21" t="n"/>
      <c r="DB99" s="21" t="n"/>
      <c r="DC99" s="21" t="n"/>
      <c r="DD99" s="21" t="n"/>
      <c r="DE99" s="21" t="n"/>
      <c r="DF99" s="21" t="n"/>
      <c r="DG99" s="21" t="n"/>
      <c r="DH99" s="21" t="n"/>
      <c r="DI99" s="21" t="n"/>
      <c r="DJ99" s="21" t="n"/>
      <c r="DK99" s="21" t="n"/>
      <c r="DL99" s="21" t="n"/>
      <c r="DM99" s="21" t="n"/>
      <c r="DN99" s="21" t="n"/>
      <c r="DO99" s="21" t="n"/>
      <c r="DP99" s="21" t="n"/>
      <c r="DQ99" s="21" t="n"/>
      <c r="DR99" s="21" t="n"/>
      <c r="DS99" s="4">
        <f>SUM(C99:L99)*Inicio!$W$4</f>
        <v/>
      </c>
      <c r="DT99" s="4">
        <f>SUM(M99:V99)*Inicio!$W$5</f>
        <v/>
      </c>
      <c r="DU99" s="4">
        <f>SUM(W99:AF99)*Inicio!$W$6</f>
        <v/>
      </c>
      <c r="DV99" s="4">
        <f>SUM(AG99:AP99)*Inicio!$W$7</f>
        <v/>
      </c>
      <c r="DW99" s="4">
        <f>SUM(AQ99:AZ99)*Inicio!$W$8</f>
        <v/>
      </c>
      <c r="DX99" s="4">
        <f>SUM(BA99:BJ99)*Inicio!$W$9</f>
        <v/>
      </c>
      <c r="DY99" s="4">
        <f>SUM(BK99:BT99)*Inicio!$W$10</f>
        <v/>
      </c>
      <c r="DZ99" s="4">
        <f>SUM(BU99:CD99)*Inicio!$W$11</f>
        <v/>
      </c>
      <c r="EA99" s="4">
        <f>SUM(CE99:CN99)*Inicio!$W$12</f>
        <v/>
      </c>
      <c r="EB99" s="4">
        <f>SUM(CO99:CX99)*Inicio!$W$13</f>
        <v/>
      </c>
      <c r="EC99" s="4">
        <f>SUM(CY99:DH99)*Inicio!$W$11</f>
        <v/>
      </c>
      <c r="ED99" s="4">
        <f>SUM(DI99:DR99)*Inicio!$W$12</f>
        <v/>
      </c>
      <c r="EE99" s="4">
        <f>SUM(C99:DR99)</f>
        <v/>
      </c>
      <c r="EF99" s="4">
        <f>SUM(EE96:EE99)</f>
        <v/>
      </c>
      <c r="EG99" s="4">
        <f>SUM(DS99:ED99)</f>
        <v/>
      </c>
      <c r="EH99" s="4">
        <f>SUM(EG96:EG99)</f>
        <v/>
      </c>
    </row>
    <row r="100" ht="20.25" customHeight="1">
      <c r="B100" s="26" t="inlineStr">
        <is>
          <t>22:45 - 23:00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/>
      <c r="AV100" s="22" t="n"/>
      <c r="AW100" s="22" t="n"/>
      <c r="AX100" s="22" t="n"/>
      <c r="AY100" s="22" t="n"/>
      <c r="AZ100" s="22" t="n"/>
      <c r="BA100" s="22" t="n"/>
      <c r="BB100" s="22" t="n"/>
      <c r="BC100" s="22" t="n"/>
      <c r="BD100" s="22" t="n"/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/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5">
        <f>SUM(C100:L100)*Inicio!$W$4</f>
        <v/>
      </c>
      <c r="DT100" s="5">
        <f>SUM(M100:V100)*Inicio!$W$5</f>
        <v/>
      </c>
      <c r="DU100" s="5">
        <f>SUM(W100:AF100)*Inicio!$W$6</f>
        <v/>
      </c>
      <c r="DV100" s="5">
        <f>SUM(AG100:AP100)*Inicio!$W$7</f>
        <v/>
      </c>
      <c r="DW100" s="5">
        <f>SUM(AQ100:AZ100)*Inicio!$W$8</f>
        <v/>
      </c>
      <c r="DX100" s="5">
        <f>SUM(BA100:BJ100)*Inicio!$W$9</f>
        <v/>
      </c>
      <c r="DY100" s="5">
        <f>SUM(BK100:BT100)*Inicio!$W$10</f>
        <v/>
      </c>
      <c r="DZ100" s="5">
        <f>SUM(BU100:CD100)*Inicio!$W$11</f>
        <v/>
      </c>
      <c r="EA100" s="5">
        <f>SUM(CE100:CN100)*Inicio!$W$12</f>
        <v/>
      </c>
      <c r="EB100" s="5">
        <f>SUM(CO100:CX100)*Inicio!$W$13</f>
        <v/>
      </c>
      <c r="EC100" s="5">
        <f>SUM(CY100:DH100)*Inicio!$W$11</f>
        <v/>
      </c>
      <c r="ED100" s="5">
        <f>SUM(DI100:DR100)*Inicio!$W$12</f>
        <v/>
      </c>
      <c r="EE100" s="5">
        <f>SUM(C100:DR100)</f>
        <v/>
      </c>
      <c r="EF100" s="5">
        <f>SUM(EE97:EE100)</f>
        <v/>
      </c>
      <c r="EG100" s="5">
        <f>SUM(DS100:ED100)</f>
        <v/>
      </c>
      <c r="EH100" s="5">
        <f>SUM(EG97:EG100)</f>
        <v/>
      </c>
    </row>
    <row r="101" ht="20.25" customHeight="1">
      <c r="B101" s="23" t="inlineStr">
        <is>
          <t>23:00 - 23:15</t>
        </is>
      </c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  <c r="AV101" s="20" t="n"/>
      <c r="AW101" s="20" t="n"/>
      <c r="AX101" s="20" t="n"/>
      <c r="AY101" s="20" t="n"/>
      <c r="AZ101" s="20" t="n"/>
      <c r="BA101" s="20" t="n"/>
      <c r="BB101" s="20" t="n"/>
      <c r="BC101" s="20" t="n"/>
      <c r="BD101" s="20" t="n"/>
      <c r="BE101" s="20" t="n"/>
      <c r="BF101" s="20" t="n"/>
      <c r="BG101" s="20" t="n"/>
      <c r="BH101" s="20" t="n"/>
      <c r="BI101" s="20" t="n"/>
      <c r="BJ101" s="20" t="n"/>
      <c r="BK101" s="20" t="n"/>
      <c r="BL101" s="20" t="n"/>
      <c r="BM101" s="20" t="n"/>
      <c r="BN101" s="20" t="n"/>
      <c r="BO101" s="20" t="n"/>
      <c r="BP101" s="20" t="n"/>
      <c r="BQ101" s="20" t="n"/>
      <c r="BR101" s="20" t="n"/>
      <c r="BS101" s="20" t="n"/>
      <c r="BT101" s="20" t="n"/>
      <c r="BU101" s="20" t="n"/>
      <c r="BV101" s="20" t="n"/>
      <c r="BW101" s="20" t="n"/>
      <c r="BX101" s="20" t="n"/>
      <c r="BY101" s="20" t="n"/>
      <c r="BZ101" s="20" t="n"/>
      <c r="CA101" s="20" t="n"/>
      <c r="CB101" s="20" t="n"/>
      <c r="CC101" s="20" t="n"/>
      <c r="CD101" s="20" t="n"/>
      <c r="CE101" s="20" t="n"/>
      <c r="CF101" s="20" t="n"/>
      <c r="CG101" s="20" t="n"/>
      <c r="CH101" s="20" t="n"/>
      <c r="CI101" s="20" t="n"/>
      <c r="CJ101" s="20" t="n"/>
      <c r="CK101" s="20" t="n"/>
      <c r="CL101" s="20" t="n"/>
      <c r="CM101" s="20" t="n"/>
      <c r="CN101" s="20" t="n"/>
      <c r="CO101" s="20" t="n"/>
      <c r="CP101" s="20" t="n"/>
      <c r="CQ101" s="20" t="n"/>
      <c r="CR101" s="20" t="n"/>
      <c r="CS101" s="20" t="n"/>
      <c r="CT101" s="20" t="n"/>
      <c r="CU101" s="20" t="n"/>
      <c r="CV101" s="20" t="n"/>
      <c r="CW101" s="20" t="n"/>
      <c r="CX101" s="20" t="n"/>
      <c r="CY101" s="20" t="n"/>
      <c r="CZ101" s="20" t="n"/>
      <c r="DA101" s="20" t="n"/>
      <c r="DB101" s="20" t="n"/>
      <c r="DC101" s="20" t="n"/>
      <c r="DD101" s="20" t="n"/>
      <c r="DE101" s="20" t="n"/>
      <c r="DF101" s="20" t="n"/>
      <c r="DG101" s="20" t="n"/>
      <c r="DH101" s="20" t="n"/>
      <c r="DI101" s="20" t="n"/>
      <c r="DJ101" s="20" t="n"/>
      <c r="DK101" s="20" t="n"/>
      <c r="DL101" s="20" t="n"/>
      <c r="DM101" s="20" t="n"/>
      <c r="DN101" s="20" t="n"/>
      <c r="DO101" s="20" t="n"/>
      <c r="DP101" s="20" t="n"/>
      <c r="DQ101" s="20" t="n"/>
      <c r="DR101" s="20" t="n"/>
      <c r="DS101" s="4">
        <f>SUM(C101:L101)*Inicio!$W$4</f>
        <v/>
      </c>
      <c r="DT101" s="4">
        <f>SUM(M101:V101)*Inicio!$W$5</f>
        <v/>
      </c>
      <c r="DU101" s="4">
        <f>SUM(W101:AF101)*Inicio!$W$6</f>
        <v/>
      </c>
      <c r="DV101" s="4">
        <f>SUM(AG101:AP101)*Inicio!$W$7</f>
        <v/>
      </c>
      <c r="DW101" s="4">
        <f>SUM(AQ101:AZ101)*Inicio!$W$8</f>
        <v/>
      </c>
      <c r="DX101" s="4">
        <f>SUM(BA101:BJ101)*Inicio!$W$9</f>
        <v/>
      </c>
      <c r="DY101" s="4">
        <f>SUM(BK101:BT101)*Inicio!$W$10</f>
        <v/>
      </c>
      <c r="DZ101" s="4">
        <f>SUM(BU101:CD101)*Inicio!$W$11</f>
        <v/>
      </c>
      <c r="EA101" s="4">
        <f>SUM(CE101:CN101)*Inicio!$W$12</f>
        <v/>
      </c>
      <c r="EB101" s="4">
        <f>SUM(CO101:CX101)*Inicio!$W$13</f>
        <v/>
      </c>
      <c r="EC101" s="4">
        <f>SUM(CY101:DH101)*Inicio!$W$11</f>
        <v/>
      </c>
      <c r="ED101" s="4">
        <f>SUM(DI101:DR101)*Inicio!$W$12</f>
        <v/>
      </c>
      <c r="EE101" s="4">
        <f>SUM(C101:DR101)</f>
        <v/>
      </c>
      <c r="EF101" s="4">
        <f>SUM(EE98:EE101)</f>
        <v/>
      </c>
      <c r="EG101" s="4">
        <f>SUM(DS101:ED101)</f>
        <v/>
      </c>
      <c r="EH101" s="4">
        <f>SUM(EG98:EG101)</f>
        <v/>
      </c>
    </row>
    <row r="102" ht="20.25" customHeight="1">
      <c r="B102" s="24" t="inlineStr">
        <is>
          <t>23:15 - 23:30</t>
        </is>
      </c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  <c r="BF102" s="21" t="n"/>
      <c r="BG102" s="21" t="n"/>
      <c r="BH102" s="21" t="n"/>
      <c r="BI102" s="21" t="n"/>
      <c r="BJ102" s="21" t="n"/>
      <c r="BK102" s="21" t="n"/>
      <c r="BL102" s="21" t="n"/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  <c r="CA102" s="21" t="n"/>
      <c r="CB102" s="21" t="n"/>
      <c r="CC102" s="21" t="n"/>
      <c r="CD102" s="21" t="n"/>
      <c r="CE102" s="21" t="n"/>
      <c r="CF102" s="21" t="n"/>
      <c r="CG102" s="21" t="n"/>
      <c r="CH102" s="21" t="n"/>
      <c r="CI102" s="21" t="n"/>
      <c r="CJ102" s="21" t="n"/>
      <c r="CK102" s="21" t="n"/>
      <c r="CL102" s="21" t="n"/>
      <c r="CM102" s="21" t="n"/>
      <c r="CN102" s="21" t="n"/>
      <c r="CO102" s="21" t="n"/>
      <c r="CP102" s="21" t="n"/>
      <c r="CQ102" s="21" t="n"/>
      <c r="CR102" s="21" t="n"/>
      <c r="CS102" s="21" t="n"/>
      <c r="CT102" s="21" t="n"/>
      <c r="CU102" s="21" t="n"/>
      <c r="CV102" s="21" t="n"/>
      <c r="CW102" s="21" t="n"/>
      <c r="CX102" s="21" t="n"/>
      <c r="CY102" s="21" t="n"/>
      <c r="CZ102" s="21" t="n"/>
      <c r="DA102" s="21" t="n"/>
      <c r="DB102" s="21" t="n"/>
      <c r="DC102" s="21" t="n"/>
      <c r="DD102" s="21" t="n"/>
      <c r="DE102" s="21" t="n"/>
      <c r="DF102" s="21" t="n"/>
      <c r="DG102" s="21" t="n"/>
      <c r="DH102" s="21" t="n"/>
      <c r="DI102" s="21" t="n"/>
      <c r="DJ102" s="21" t="n"/>
      <c r="DK102" s="21" t="n"/>
      <c r="DL102" s="21" t="n"/>
      <c r="DM102" s="21" t="n"/>
      <c r="DN102" s="21" t="n"/>
      <c r="DO102" s="21" t="n"/>
      <c r="DP102" s="21" t="n"/>
      <c r="DQ102" s="21" t="n"/>
      <c r="DR102" s="21" t="n"/>
      <c r="DS102" s="4">
        <f>SUM(C102:L102)*Inicio!$W$4</f>
        <v/>
      </c>
      <c r="DT102" s="4">
        <f>SUM(M102:V102)*Inicio!$W$5</f>
        <v/>
      </c>
      <c r="DU102" s="4">
        <f>SUM(W102:AF102)*Inicio!$W$6</f>
        <v/>
      </c>
      <c r="DV102" s="4">
        <f>SUM(AG102:AP102)*Inicio!$W$7</f>
        <v/>
      </c>
      <c r="DW102" s="4">
        <f>SUM(AQ102:AZ102)*Inicio!$W$8</f>
        <v/>
      </c>
      <c r="DX102" s="4">
        <f>SUM(BA102:BJ102)*Inicio!$W$9</f>
        <v/>
      </c>
      <c r="DY102" s="4">
        <f>SUM(BK102:BT102)*Inicio!$W$10</f>
        <v/>
      </c>
      <c r="DZ102" s="4">
        <f>SUM(BU102:CD102)*Inicio!$W$11</f>
        <v/>
      </c>
      <c r="EA102" s="4">
        <f>SUM(CE102:CN102)*Inicio!$W$12</f>
        <v/>
      </c>
      <c r="EB102" s="4">
        <f>SUM(CO102:CX102)*Inicio!$W$13</f>
        <v/>
      </c>
      <c r="EC102" s="4">
        <f>SUM(CY102:DH102)*Inicio!$W$11</f>
        <v/>
      </c>
      <c r="ED102" s="4">
        <f>SUM(DI102:DR102)*Inicio!$W$12</f>
        <v/>
      </c>
      <c r="EE102" s="4">
        <f>SUM(C102:DR102)</f>
        <v/>
      </c>
      <c r="EF102" s="4">
        <f>SUM(EE99:EE102)</f>
        <v/>
      </c>
      <c r="EG102" s="4">
        <f>SUM(DS102:ED102)</f>
        <v/>
      </c>
      <c r="EH102" s="4">
        <f>SUM(EG99:EG102)</f>
        <v/>
      </c>
    </row>
    <row r="103" ht="20.25" customHeight="1">
      <c r="B103" s="24" t="inlineStr">
        <is>
          <t>23:30 - 23:45</t>
        </is>
      </c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  <c r="AO103" s="21" t="n"/>
      <c r="AP103" s="21" t="n"/>
      <c r="AQ103" s="21" t="n"/>
      <c r="AR103" s="21" t="n"/>
      <c r="AS103" s="21" t="n"/>
      <c r="AT103" s="21" t="n"/>
      <c r="AU103" s="21" t="n"/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  <c r="BF103" s="21" t="n"/>
      <c r="BG103" s="21" t="n"/>
      <c r="BH103" s="21" t="n"/>
      <c r="BI103" s="21" t="n"/>
      <c r="BJ103" s="21" t="n"/>
      <c r="BK103" s="21" t="n"/>
      <c r="BL103" s="21" t="n"/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  <c r="CA103" s="21" t="n"/>
      <c r="CB103" s="21" t="n"/>
      <c r="CC103" s="21" t="n"/>
      <c r="CD103" s="21" t="n"/>
      <c r="CE103" s="21" t="n"/>
      <c r="CF103" s="21" t="n"/>
      <c r="CG103" s="21" t="n"/>
      <c r="CH103" s="21" t="n"/>
      <c r="CI103" s="21" t="n"/>
      <c r="CJ103" s="21" t="n"/>
      <c r="CK103" s="21" t="n"/>
      <c r="CL103" s="21" t="n"/>
      <c r="CM103" s="21" t="n"/>
      <c r="CN103" s="21" t="n"/>
      <c r="CO103" s="21" t="n"/>
      <c r="CP103" s="21" t="n"/>
      <c r="CQ103" s="21" t="n"/>
      <c r="CR103" s="21" t="n"/>
      <c r="CS103" s="21" t="n"/>
      <c r="CT103" s="21" t="n"/>
      <c r="CU103" s="21" t="n"/>
      <c r="CV103" s="21" t="n"/>
      <c r="CW103" s="21" t="n"/>
      <c r="CX103" s="21" t="n"/>
      <c r="CY103" s="21" t="n"/>
      <c r="CZ103" s="21" t="n"/>
      <c r="DA103" s="21" t="n"/>
      <c r="DB103" s="21" t="n"/>
      <c r="DC103" s="21" t="n"/>
      <c r="DD103" s="21" t="n"/>
      <c r="DE103" s="21" t="n"/>
      <c r="DF103" s="21" t="n"/>
      <c r="DG103" s="21" t="n"/>
      <c r="DH103" s="21" t="n"/>
      <c r="DI103" s="21" t="n"/>
      <c r="DJ103" s="21" t="n"/>
      <c r="DK103" s="21" t="n"/>
      <c r="DL103" s="21" t="n"/>
      <c r="DM103" s="21" t="n"/>
      <c r="DN103" s="21" t="n"/>
      <c r="DO103" s="21" t="n"/>
      <c r="DP103" s="21" t="n"/>
      <c r="DQ103" s="21" t="n"/>
      <c r="DR103" s="21" t="n"/>
      <c r="DS103" s="4">
        <f>SUM(C103:L103)*Inicio!$W$4</f>
        <v/>
      </c>
      <c r="DT103" s="4">
        <f>SUM(M103:V103)*Inicio!$W$5</f>
        <v/>
      </c>
      <c r="DU103" s="4">
        <f>SUM(W103:AF103)*Inicio!$W$6</f>
        <v/>
      </c>
      <c r="DV103" s="4">
        <f>SUM(AG103:AP103)*Inicio!$W$7</f>
        <v/>
      </c>
      <c r="DW103" s="4">
        <f>SUM(AQ103:AZ103)*Inicio!$W$8</f>
        <v/>
      </c>
      <c r="DX103" s="4">
        <f>SUM(BA103:BJ103)*Inicio!$W$9</f>
        <v/>
      </c>
      <c r="DY103" s="4">
        <f>SUM(BK103:BT103)*Inicio!$W$10</f>
        <v/>
      </c>
      <c r="DZ103" s="4">
        <f>SUM(BU103:CD103)*Inicio!$W$11</f>
        <v/>
      </c>
      <c r="EA103" s="4">
        <f>SUM(CE103:CN103)*Inicio!$W$12</f>
        <v/>
      </c>
      <c r="EB103" s="4">
        <f>SUM(CO103:CX103)*Inicio!$W$13</f>
        <v/>
      </c>
      <c r="EC103" s="4">
        <f>SUM(CY103:DH103)*Inicio!$W$11</f>
        <v/>
      </c>
      <c r="ED103" s="4">
        <f>SUM(DI103:DR103)*Inicio!$W$12</f>
        <v/>
      </c>
      <c r="EE103" s="4">
        <f>SUM(C103:DR103)</f>
        <v/>
      </c>
      <c r="EF103" s="4">
        <f>SUM(EE100:EE103)</f>
        <v/>
      </c>
      <c r="EG103" s="4">
        <f>SUM(DS103:ED103)</f>
        <v/>
      </c>
      <c r="EH103" s="4">
        <f>SUM(EG100:EG103)</f>
        <v/>
      </c>
    </row>
    <row r="104" ht="20.25" customHeight="1">
      <c r="B104" s="25" t="inlineStr">
        <is>
          <t>23:45 - 24:00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/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5">
        <f>SUM(C104:L104)*Inicio!$W$4</f>
        <v/>
      </c>
      <c r="DT104" s="5">
        <f>SUM(M104:V104)*Inicio!$W$5</f>
        <v/>
      </c>
      <c r="DU104" s="5">
        <f>SUM(W104:AF104)*Inicio!$W$6</f>
        <v/>
      </c>
      <c r="DV104" s="5">
        <f>SUM(AG104:AP104)*Inicio!$W$7</f>
        <v/>
      </c>
      <c r="DW104" s="5">
        <f>SUM(AQ104:AZ104)*Inicio!$W$8</f>
        <v/>
      </c>
      <c r="DX104" s="5">
        <f>SUM(BA104:BJ104)*Inicio!$W$9</f>
        <v/>
      </c>
      <c r="DY104" s="5">
        <f>SUM(BK104:BT104)*Inicio!$W$10</f>
        <v/>
      </c>
      <c r="DZ104" s="5">
        <f>SUM(BU104:CD104)*Inicio!$W$11</f>
        <v/>
      </c>
      <c r="EA104" s="5">
        <f>SUM(CE104:CN104)*Inicio!$W$12</f>
        <v/>
      </c>
      <c r="EB104" s="5">
        <f>SUM(CO104:CX104)*Inicio!$W$13</f>
        <v/>
      </c>
      <c r="EC104" s="5">
        <f>SUM(CY104:DH104)*Inicio!$W$11</f>
        <v/>
      </c>
      <c r="ED104" s="5">
        <f>SUM(DI104:DR104)*Inicio!$W$12</f>
        <v/>
      </c>
      <c r="EE104" s="5">
        <f>SUM(C104:DR104)</f>
        <v/>
      </c>
      <c r="EF104" s="5">
        <f>SUM(EE101:EE104)</f>
        <v/>
      </c>
      <c r="EG104" s="5">
        <f>SUM(DS104:ED104)</f>
        <v/>
      </c>
      <c r="EH104" s="5">
        <f>SUM(EG101:EG104)</f>
        <v/>
      </c>
    </row>
    <row r="105" ht="20.25" customHeight="1">
      <c r="B105" s="6" t="inlineStr">
        <is>
          <t>Madrugada</t>
        </is>
      </c>
      <c r="C105" s="7">
        <f>SUM(C9:C32)</f>
        <v/>
      </c>
      <c r="D105" s="7">
        <f>SUM(D9:D32)</f>
        <v/>
      </c>
      <c r="E105" s="7">
        <f>SUM(E9:E32)</f>
        <v/>
      </c>
      <c r="F105" s="7">
        <f>SUM(F9:F32)</f>
        <v/>
      </c>
      <c r="G105" s="7">
        <f>SUM(G9:G32)</f>
        <v/>
      </c>
      <c r="H105" s="7">
        <f>SUM(H9:H32)</f>
        <v/>
      </c>
      <c r="I105" s="7">
        <f>SUM(I9:I32)</f>
        <v/>
      </c>
      <c r="J105" s="7">
        <f>SUM(J9:J32)</f>
        <v/>
      </c>
      <c r="K105" s="7">
        <f>SUM(K9:K32)</f>
        <v/>
      </c>
      <c r="L105" s="7">
        <f>SUM(L9:L32)</f>
        <v/>
      </c>
      <c r="M105" s="7">
        <f>SUM(M9:M32)</f>
        <v/>
      </c>
      <c r="N105" s="7">
        <f>SUM(N9:N32)</f>
        <v/>
      </c>
      <c r="O105" s="7">
        <f>SUM(O9:O32)</f>
        <v/>
      </c>
      <c r="P105" s="7">
        <f>SUM(P9:P32)</f>
        <v/>
      </c>
      <c r="Q105" s="7">
        <f>SUM(Q9:Q32)</f>
        <v/>
      </c>
      <c r="R105" s="7">
        <f>SUM(R9:R32)</f>
        <v/>
      </c>
      <c r="S105" s="7">
        <f>SUM(S9:S32)</f>
        <v/>
      </c>
      <c r="T105" s="7">
        <f>SUM(T9:T32)</f>
        <v/>
      </c>
      <c r="U105" s="7">
        <f>SUM(U9:U32)</f>
        <v/>
      </c>
      <c r="V105" s="7">
        <f>SUM(V9:V32)</f>
        <v/>
      </c>
      <c r="W105" s="7">
        <f>SUM(W9:W32)</f>
        <v/>
      </c>
      <c r="X105" s="7">
        <f>SUM(X9:X32)</f>
        <v/>
      </c>
      <c r="Y105" s="7">
        <f>SUM(Y9:Y32)</f>
        <v/>
      </c>
      <c r="Z105" s="7">
        <f>SUM(Z9:Z32)</f>
        <v/>
      </c>
      <c r="AA105" s="7">
        <f>SUM(AA9:AA32)</f>
        <v/>
      </c>
      <c r="AB105" s="7">
        <f>SUM(AB9:AB32)</f>
        <v/>
      </c>
      <c r="AC105" s="7">
        <f>SUM(AC9:AC32)</f>
        <v/>
      </c>
      <c r="AD105" s="7">
        <f>SUM(AD9:AD32)</f>
        <v/>
      </c>
      <c r="AE105" s="7">
        <f>SUM(AE9:AE32)</f>
        <v/>
      </c>
      <c r="AF105" s="7">
        <f>SUM(AF9:AF32)</f>
        <v/>
      </c>
      <c r="AG105" s="7">
        <f>SUM(AG9:AG32)</f>
        <v/>
      </c>
      <c r="AH105" s="7">
        <f>SUM(AH9:AH32)</f>
        <v/>
      </c>
      <c r="AI105" s="7">
        <f>SUM(AI9:AI32)</f>
        <v/>
      </c>
      <c r="AJ105" s="7">
        <f>SUM(AJ9:AJ32)</f>
        <v/>
      </c>
      <c r="AK105" s="7">
        <f>SUM(AK9:AK32)</f>
        <v/>
      </c>
      <c r="AL105" s="7">
        <f>SUM(AL9:AL32)</f>
        <v/>
      </c>
      <c r="AM105" s="7">
        <f>SUM(AM9:AM32)</f>
        <v/>
      </c>
      <c r="AN105" s="7">
        <f>SUM(AN9:AN32)</f>
        <v/>
      </c>
      <c r="AO105" s="7">
        <f>SUM(AO9:AO32)</f>
        <v/>
      </c>
      <c r="AP105" s="7">
        <f>SUM(AP9:AP32)</f>
        <v/>
      </c>
      <c r="AQ105" s="7">
        <f>SUM(AQ9:AQ32)</f>
        <v/>
      </c>
      <c r="AR105" s="7">
        <f>SUM(AR9:AR32)</f>
        <v/>
      </c>
      <c r="AS105" s="7">
        <f>SUM(AS9:AS32)</f>
        <v/>
      </c>
      <c r="AT105" s="7">
        <f>SUM(AT9:AT32)</f>
        <v/>
      </c>
      <c r="AU105" s="7">
        <f>SUM(AU9:AU32)</f>
        <v/>
      </c>
      <c r="AV105" s="7">
        <f>SUM(AV9:AV32)</f>
        <v/>
      </c>
      <c r="AW105" s="7">
        <f>SUM(AW9:AW32)</f>
        <v/>
      </c>
      <c r="AX105" s="7">
        <f>SUM(AX9:AX32)</f>
        <v/>
      </c>
      <c r="AY105" s="7">
        <f>SUM(AY9:AY32)</f>
        <v/>
      </c>
      <c r="AZ105" s="7">
        <f>SUM(AZ9:AZ32)</f>
        <v/>
      </c>
      <c r="BA105" s="7">
        <f>SUM(BA9:BA32)</f>
        <v/>
      </c>
      <c r="BB105" s="7">
        <f>SUM(BB9:BB32)</f>
        <v/>
      </c>
      <c r="BC105" s="7">
        <f>SUM(BC9:BC32)</f>
        <v/>
      </c>
      <c r="BD105" s="7">
        <f>SUM(BD9:BD32)</f>
        <v/>
      </c>
      <c r="BE105" s="7">
        <f>SUM(BE9:BE32)</f>
        <v/>
      </c>
      <c r="BF105" s="7">
        <f>SUM(BF9:BF32)</f>
        <v/>
      </c>
      <c r="BG105" s="7">
        <f>SUM(BG9:BG32)</f>
        <v/>
      </c>
      <c r="BH105" s="7">
        <f>SUM(BH9:BH32)</f>
        <v/>
      </c>
      <c r="BI105" s="7">
        <f>SUM(BI9:BI32)</f>
        <v/>
      </c>
      <c r="BJ105" s="7">
        <f>SUM(BJ9:BJ32)</f>
        <v/>
      </c>
      <c r="BK105" s="7">
        <f>SUM(BK9:BK32)</f>
        <v/>
      </c>
      <c r="BL105" s="7">
        <f>SUM(BL9:BL32)</f>
        <v/>
      </c>
      <c r="BM105" s="7">
        <f>SUM(BM9:BM32)</f>
        <v/>
      </c>
      <c r="BN105" s="7">
        <f>SUM(BN9:BN32)</f>
        <v/>
      </c>
      <c r="BO105" s="7">
        <f>SUM(BO9:BO32)</f>
        <v/>
      </c>
      <c r="BP105" s="7">
        <f>SUM(BP9:BP32)</f>
        <v/>
      </c>
      <c r="BQ105" s="7">
        <f>SUM(BQ9:BQ32)</f>
        <v/>
      </c>
      <c r="BR105" s="7">
        <f>SUM(BR9:BR32)</f>
        <v/>
      </c>
      <c r="BS105" s="7">
        <f>SUM(BS9:BS32)</f>
        <v/>
      </c>
      <c r="BT105" s="7">
        <f>SUM(BT9:BT32)</f>
        <v/>
      </c>
      <c r="BU105" s="7">
        <f>SUM(BU9:BU32)</f>
        <v/>
      </c>
      <c r="BV105" s="7">
        <f>SUM(BV9:BV32)</f>
        <v/>
      </c>
      <c r="BW105" s="7">
        <f>SUM(BW9:BW32)</f>
        <v/>
      </c>
      <c r="BX105" s="7">
        <f>SUM(BX9:BX32)</f>
        <v/>
      </c>
      <c r="BY105" s="7">
        <f>SUM(BY9:BY32)</f>
        <v/>
      </c>
      <c r="BZ105" s="7">
        <f>SUM(BZ9:BZ32)</f>
        <v/>
      </c>
      <c r="CA105" s="7">
        <f>SUM(CA9:CA32)</f>
        <v/>
      </c>
      <c r="CB105" s="7">
        <f>SUM(CB9:CB32)</f>
        <v/>
      </c>
      <c r="CC105" s="7">
        <f>SUM(CC9:CC32)</f>
        <v/>
      </c>
      <c r="CD105" s="7">
        <f>SUM(CD9:CD32)</f>
        <v/>
      </c>
      <c r="CE105" s="7">
        <f>SUM(CE9:CE32)</f>
        <v/>
      </c>
      <c r="CF105" s="7">
        <f>SUM(CF9:CF32)</f>
        <v/>
      </c>
      <c r="CG105" s="7">
        <f>SUM(CG9:CG32)</f>
        <v/>
      </c>
      <c r="CH105" s="7">
        <f>SUM(CH9:CH32)</f>
        <v/>
      </c>
      <c r="CI105" s="7">
        <f>SUM(CI9:CI32)</f>
        <v/>
      </c>
      <c r="CJ105" s="7">
        <f>SUM(CJ9:CJ32)</f>
        <v/>
      </c>
      <c r="CK105" s="7">
        <f>SUM(CK9:CK32)</f>
        <v/>
      </c>
      <c r="CL105" s="7">
        <f>SUM(CL9:CL32)</f>
        <v/>
      </c>
      <c r="CM105" s="7">
        <f>SUM(CM9:CM32)</f>
        <v/>
      </c>
      <c r="CN105" s="7">
        <f>SUM(CN9:CN32)</f>
        <v/>
      </c>
      <c r="CO105" s="7">
        <f>SUM(CO9:CO32)</f>
        <v/>
      </c>
      <c r="CP105" s="7">
        <f>SUM(CP9:CP32)</f>
        <v/>
      </c>
      <c r="CQ105" s="7">
        <f>SUM(CQ9:CQ32)</f>
        <v/>
      </c>
      <c r="CR105" s="7">
        <f>SUM(CR9:CR32)</f>
        <v/>
      </c>
      <c r="CS105" s="7">
        <f>SUM(CS9:CS32)</f>
        <v/>
      </c>
      <c r="CT105" s="7">
        <f>SUM(CT9:CT32)</f>
        <v/>
      </c>
      <c r="CU105" s="7">
        <f>SUM(CU9:CU32)</f>
        <v/>
      </c>
      <c r="CV105" s="7">
        <f>SUM(CV9:CV32)</f>
        <v/>
      </c>
      <c r="CW105" s="7">
        <f>SUM(CW9:CW32)</f>
        <v/>
      </c>
      <c r="CX105" s="7">
        <f>SUM(CX9:CX32)</f>
        <v/>
      </c>
      <c r="CY105" s="7">
        <f>SUM(CY9:CY32)</f>
        <v/>
      </c>
      <c r="CZ105" s="7">
        <f>SUM(CZ9:CZ32)</f>
        <v/>
      </c>
      <c r="DA105" s="7">
        <f>SUM(DA9:DA32)</f>
        <v/>
      </c>
      <c r="DB105" s="7">
        <f>SUM(DB9:DB32)</f>
        <v/>
      </c>
      <c r="DC105" s="7">
        <f>SUM(DC9:DC32)</f>
        <v/>
      </c>
      <c r="DD105" s="7">
        <f>SUM(DD9:DD32)</f>
        <v/>
      </c>
      <c r="DE105" s="7">
        <f>SUM(DE9:DE32)</f>
        <v/>
      </c>
      <c r="DF105" s="7">
        <f>SUM(DF9:DF32)</f>
        <v/>
      </c>
      <c r="DG105" s="7">
        <f>SUM(DG9:DG32)</f>
        <v/>
      </c>
      <c r="DH105" s="7">
        <f>SUM(DH9:DH32)</f>
        <v/>
      </c>
      <c r="DI105" s="7">
        <f>SUM(DI9:DI32)</f>
        <v/>
      </c>
      <c r="DJ105" s="7">
        <f>SUM(DJ9:DJ32)</f>
        <v/>
      </c>
      <c r="DK105" s="7">
        <f>SUM(DK9:DK32)</f>
        <v/>
      </c>
      <c r="DL105" s="7">
        <f>SUM(DL9:DL32)</f>
        <v/>
      </c>
      <c r="DM105" s="7">
        <f>SUM(DM9:DM32)</f>
        <v/>
      </c>
      <c r="DN105" s="7">
        <f>SUM(DN9:DN32)</f>
        <v/>
      </c>
      <c r="DO105" s="7">
        <f>SUM(DO9:DO32)</f>
        <v/>
      </c>
      <c r="DP105" s="7">
        <f>SUM(DP9:DP32)</f>
        <v/>
      </c>
      <c r="DQ105" s="7">
        <f>SUM(DQ9:DQ32)</f>
        <v/>
      </c>
      <c r="DR105" s="7">
        <f>SUM(DR9:DR32)</f>
        <v/>
      </c>
      <c r="DS105" s="8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86" t="n"/>
      <c r="ED105" s="86" t="n"/>
      <c r="EE105" s="54" t="n"/>
      <c r="EF105" s="54" t="n"/>
      <c r="EG105" s="54" t="n"/>
      <c r="EH105" s="10" t="n"/>
    </row>
    <row r="106" ht="20.25" customHeight="1">
      <c r="B106" s="6" t="inlineStr">
        <is>
          <t>Mañana</t>
        </is>
      </c>
      <c r="C106" s="7">
        <f>SUM(C33:C56)</f>
        <v/>
      </c>
      <c r="D106" s="7">
        <f>SUM(D33:D56)</f>
        <v/>
      </c>
      <c r="E106" s="7">
        <f>SUM(E33:E56)</f>
        <v/>
      </c>
      <c r="F106" s="7">
        <f>SUM(F33:F56)</f>
        <v/>
      </c>
      <c r="G106" s="7">
        <f>SUM(G33:G56)</f>
        <v/>
      </c>
      <c r="H106" s="7">
        <f>SUM(H33:H56)</f>
        <v/>
      </c>
      <c r="I106" s="7">
        <f>SUM(I33:I56)</f>
        <v/>
      </c>
      <c r="J106" s="7">
        <f>SUM(J33:J56)</f>
        <v/>
      </c>
      <c r="K106" s="7">
        <f>SUM(K33:K56)</f>
        <v/>
      </c>
      <c r="L106" s="7">
        <f>SUM(L33:L56)</f>
        <v/>
      </c>
      <c r="M106" s="7">
        <f>SUM(M33:M56)</f>
        <v/>
      </c>
      <c r="N106" s="7">
        <f>SUM(N33:N56)</f>
        <v/>
      </c>
      <c r="O106" s="7">
        <f>SUM(O33:O56)</f>
        <v/>
      </c>
      <c r="P106" s="7">
        <f>SUM(P33:P56)</f>
        <v/>
      </c>
      <c r="Q106" s="7">
        <f>SUM(Q33:Q56)</f>
        <v/>
      </c>
      <c r="R106" s="7">
        <f>SUM(R33:R56)</f>
        <v/>
      </c>
      <c r="S106" s="7">
        <f>SUM(S33:S56)</f>
        <v/>
      </c>
      <c r="T106" s="7">
        <f>SUM(T33:T56)</f>
        <v/>
      </c>
      <c r="U106" s="7">
        <f>SUM(U33:U56)</f>
        <v/>
      </c>
      <c r="V106" s="7">
        <f>SUM(V33:V56)</f>
        <v/>
      </c>
      <c r="W106" s="7">
        <f>SUM(W33:W56)</f>
        <v/>
      </c>
      <c r="X106" s="7">
        <f>SUM(X33:X56)</f>
        <v/>
      </c>
      <c r="Y106" s="7">
        <f>SUM(Y33:Y56)</f>
        <v/>
      </c>
      <c r="Z106" s="7">
        <f>SUM(Z33:Z56)</f>
        <v/>
      </c>
      <c r="AA106" s="7">
        <f>SUM(AA33:AA56)</f>
        <v/>
      </c>
      <c r="AB106" s="7">
        <f>SUM(AB33:AB56)</f>
        <v/>
      </c>
      <c r="AC106" s="7">
        <f>SUM(AC33:AC56)</f>
        <v/>
      </c>
      <c r="AD106" s="7">
        <f>SUM(AD33:AD56)</f>
        <v/>
      </c>
      <c r="AE106" s="7">
        <f>SUM(AE33:AE56)</f>
        <v/>
      </c>
      <c r="AF106" s="7">
        <f>SUM(AF33:AF56)</f>
        <v/>
      </c>
      <c r="AG106" s="7">
        <f>SUM(AG33:AG56)</f>
        <v/>
      </c>
      <c r="AH106" s="7">
        <f>SUM(AH33:AH56)</f>
        <v/>
      </c>
      <c r="AI106" s="7">
        <f>SUM(AI33:AI56)</f>
        <v/>
      </c>
      <c r="AJ106" s="7">
        <f>SUM(AJ33:AJ56)</f>
        <v/>
      </c>
      <c r="AK106" s="7">
        <f>SUM(AK33:AK56)</f>
        <v/>
      </c>
      <c r="AL106" s="7">
        <f>SUM(AL33:AL56)</f>
        <v/>
      </c>
      <c r="AM106" s="7">
        <f>SUM(AM33:AM56)</f>
        <v/>
      </c>
      <c r="AN106" s="7">
        <f>SUM(AN33:AN56)</f>
        <v/>
      </c>
      <c r="AO106" s="7">
        <f>SUM(AO33:AO56)</f>
        <v/>
      </c>
      <c r="AP106" s="7">
        <f>SUM(AP33:AP56)</f>
        <v/>
      </c>
      <c r="AQ106" s="7">
        <f>SUM(AQ33:AQ56)</f>
        <v/>
      </c>
      <c r="AR106" s="7">
        <f>SUM(AR33:AR56)</f>
        <v/>
      </c>
      <c r="AS106" s="7">
        <f>SUM(AS33:AS56)</f>
        <v/>
      </c>
      <c r="AT106" s="7">
        <f>SUM(AT33:AT56)</f>
        <v/>
      </c>
      <c r="AU106" s="7">
        <f>SUM(AU33:AU56)</f>
        <v/>
      </c>
      <c r="AV106" s="7">
        <f>SUM(AV33:AV56)</f>
        <v/>
      </c>
      <c r="AW106" s="7">
        <f>SUM(AW33:AW56)</f>
        <v/>
      </c>
      <c r="AX106" s="7">
        <f>SUM(AX33:AX56)</f>
        <v/>
      </c>
      <c r="AY106" s="7">
        <f>SUM(AY33:AY56)</f>
        <v/>
      </c>
      <c r="AZ106" s="7">
        <f>SUM(AZ33:AZ56)</f>
        <v/>
      </c>
      <c r="BA106" s="7">
        <f>SUM(BA33:BA56)</f>
        <v/>
      </c>
      <c r="BB106" s="7">
        <f>SUM(BB33:BB56)</f>
        <v/>
      </c>
      <c r="BC106" s="7">
        <f>SUM(BC33:BC56)</f>
        <v/>
      </c>
      <c r="BD106" s="7">
        <f>SUM(BD33:BD56)</f>
        <v/>
      </c>
      <c r="BE106" s="7">
        <f>SUM(BE33:BE56)</f>
        <v/>
      </c>
      <c r="BF106" s="7">
        <f>SUM(BF33:BF56)</f>
        <v/>
      </c>
      <c r="BG106" s="7">
        <f>SUM(BG33:BG56)</f>
        <v/>
      </c>
      <c r="BH106" s="7">
        <f>SUM(BH33:BH56)</f>
        <v/>
      </c>
      <c r="BI106" s="7">
        <f>SUM(BI33:BI56)</f>
        <v/>
      </c>
      <c r="BJ106" s="7">
        <f>SUM(BJ33:BJ56)</f>
        <v/>
      </c>
      <c r="BK106" s="7">
        <f>SUM(BK33:BK56)</f>
        <v/>
      </c>
      <c r="BL106" s="7">
        <f>SUM(BL33:BL56)</f>
        <v/>
      </c>
      <c r="BM106" s="7">
        <f>SUM(BM33:BM56)</f>
        <v/>
      </c>
      <c r="BN106" s="7">
        <f>SUM(BN33:BN56)</f>
        <v/>
      </c>
      <c r="BO106" s="7">
        <f>SUM(BO33:BO56)</f>
        <v/>
      </c>
      <c r="BP106" s="7">
        <f>SUM(BP33:BP56)</f>
        <v/>
      </c>
      <c r="BQ106" s="7">
        <f>SUM(BQ33:BQ56)</f>
        <v/>
      </c>
      <c r="BR106" s="7">
        <f>SUM(BR33:BR56)</f>
        <v/>
      </c>
      <c r="BS106" s="7">
        <f>SUM(BS33:BS56)</f>
        <v/>
      </c>
      <c r="BT106" s="7">
        <f>SUM(BT33:BT56)</f>
        <v/>
      </c>
      <c r="BU106" s="7">
        <f>SUM(BU33:BU56)</f>
        <v/>
      </c>
      <c r="BV106" s="7">
        <f>SUM(BV33:BV56)</f>
        <v/>
      </c>
      <c r="BW106" s="7">
        <f>SUM(BW33:BW56)</f>
        <v/>
      </c>
      <c r="BX106" s="7">
        <f>SUM(BX33:BX56)</f>
        <v/>
      </c>
      <c r="BY106" s="7">
        <f>SUM(BY33:BY56)</f>
        <v/>
      </c>
      <c r="BZ106" s="7">
        <f>SUM(BZ33:BZ56)</f>
        <v/>
      </c>
      <c r="CA106" s="7">
        <f>SUM(CA33:CA56)</f>
        <v/>
      </c>
      <c r="CB106" s="7">
        <f>SUM(CB33:CB56)</f>
        <v/>
      </c>
      <c r="CC106" s="7">
        <f>SUM(CC33:CC56)</f>
        <v/>
      </c>
      <c r="CD106" s="7">
        <f>SUM(CD33:CD56)</f>
        <v/>
      </c>
      <c r="CE106" s="7">
        <f>SUM(CE33:CE56)</f>
        <v/>
      </c>
      <c r="CF106" s="7">
        <f>SUM(CF33:CF56)</f>
        <v/>
      </c>
      <c r="CG106" s="7">
        <f>SUM(CG33:CG56)</f>
        <v/>
      </c>
      <c r="CH106" s="7">
        <f>SUM(CH33:CH56)</f>
        <v/>
      </c>
      <c r="CI106" s="7">
        <f>SUM(CI33:CI56)</f>
        <v/>
      </c>
      <c r="CJ106" s="7">
        <f>SUM(CJ33:CJ56)</f>
        <v/>
      </c>
      <c r="CK106" s="7">
        <f>SUM(CK33:CK56)</f>
        <v/>
      </c>
      <c r="CL106" s="7">
        <f>SUM(CL33:CL56)</f>
        <v/>
      </c>
      <c r="CM106" s="7">
        <f>SUM(CM33:CM56)</f>
        <v/>
      </c>
      <c r="CN106" s="7">
        <f>SUM(CN33:CN56)</f>
        <v/>
      </c>
      <c r="CO106" s="7">
        <f>SUM(CO33:CO56)</f>
        <v/>
      </c>
      <c r="CP106" s="7">
        <f>SUM(CP33:CP56)</f>
        <v/>
      </c>
      <c r="CQ106" s="7">
        <f>SUM(CQ33:CQ56)</f>
        <v/>
      </c>
      <c r="CR106" s="7">
        <f>SUM(CR33:CR56)</f>
        <v/>
      </c>
      <c r="CS106" s="7">
        <f>SUM(CS33:CS56)</f>
        <v/>
      </c>
      <c r="CT106" s="7">
        <f>SUM(CT33:CT56)</f>
        <v/>
      </c>
      <c r="CU106" s="7">
        <f>SUM(CU33:CU56)</f>
        <v/>
      </c>
      <c r="CV106" s="7">
        <f>SUM(CV33:CV56)</f>
        <v/>
      </c>
      <c r="CW106" s="7">
        <f>SUM(CW33:CW56)</f>
        <v/>
      </c>
      <c r="CX106" s="7">
        <f>SUM(CX33:CX56)</f>
        <v/>
      </c>
      <c r="CY106" s="7">
        <f>SUM(CY33:CY56)</f>
        <v/>
      </c>
      <c r="CZ106" s="7">
        <f>SUM(CZ33:CZ56)</f>
        <v/>
      </c>
      <c r="DA106" s="7">
        <f>SUM(DA33:DA56)</f>
        <v/>
      </c>
      <c r="DB106" s="7">
        <f>SUM(DB33:DB56)</f>
        <v/>
      </c>
      <c r="DC106" s="7">
        <f>SUM(DC33:DC56)</f>
        <v/>
      </c>
      <c r="DD106" s="7">
        <f>SUM(DD33:DD56)</f>
        <v/>
      </c>
      <c r="DE106" s="7">
        <f>SUM(DE33:DE56)</f>
        <v/>
      </c>
      <c r="DF106" s="7">
        <f>SUM(DF33:DF56)</f>
        <v/>
      </c>
      <c r="DG106" s="7">
        <f>SUM(DG33:DG56)</f>
        <v/>
      </c>
      <c r="DH106" s="7">
        <f>SUM(DH33:DH56)</f>
        <v/>
      </c>
      <c r="DI106" s="7">
        <f>SUM(DI33:DI56)</f>
        <v/>
      </c>
      <c r="DJ106" s="7">
        <f>SUM(DJ33:DJ56)</f>
        <v/>
      </c>
      <c r="DK106" s="7">
        <f>SUM(DK33:DK56)</f>
        <v/>
      </c>
      <c r="DL106" s="7">
        <f>SUM(DL33:DL56)</f>
        <v/>
      </c>
      <c r="DM106" s="7">
        <f>SUM(DM33:DM56)</f>
        <v/>
      </c>
      <c r="DN106" s="7">
        <f>SUM(DN33:DN56)</f>
        <v/>
      </c>
      <c r="DO106" s="7">
        <f>SUM(DO33:DO56)</f>
        <v/>
      </c>
      <c r="DP106" s="7">
        <f>SUM(DP33:DP56)</f>
        <v/>
      </c>
      <c r="DQ106" s="7">
        <f>SUM(DQ33:DQ56)</f>
        <v/>
      </c>
      <c r="DR106" s="7">
        <f>SUM(DR33:DR56)</f>
        <v/>
      </c>
      <c r="DS106" s="11" t="n"/>
      <c r="DT106" s="12" t="n"/>
      <c r="DU106" s="12" t="n"/>
      <c r="DV106" s="12" t="n"/>
      <c r="DW106" s="12" t="n"/>
      <c r="DX106" s="12" t="n"/>
      <c r="DY106" s="12" t="n"/>
      <c r="DZ106" s="12" t="n"/>
      <c r="EA106" s="12" t="n"/>
      <c r="EB106" s="12" t="n"/>
      <c r="EC106" s="12" t="n"/>
      <c r="ED106" s="12" t="n"/>
      <c r="EE106" s="10" t="n"/>
      <c r="EF106" s="10" t="n"/>
      <c r="EG106" s="10" t="n"/>
      <c r="EH106" s="10" t="n"/>
    </row>
    <row r="107" ht="20.25" customHeight="1">
      <c r="B107" s="6" t="inlineStr">
        <is>
          <t>Tarde</t>
        </is>
      </c>
      <c r="C107" s="7">
        <f>SUM(C57:C80)</f>
        <v/>
      </c>
      <c r="D107" s="7">
        <f>SUM(D57:D80)</f>
        <v/>
      </c>
      <c r="E107" s="7">
        <f>SUM(E57:E80)</f>
        <v/>
      </c>
      <c r="F107" s="7">
        <f>SUM(F57:F80)</f>
        <v/>
      </c>
      <c r="G107" s="7">
        <f>SUM(G57:G80)</f>
        <v/>
      </c>
      <c r="H107" s="7">
        <f>SUM(H57:H80)</f>
        <v/>
      </c>
      <c r="I107" s="7">
        <f>SUM(I57:I80)</f>
        <v/>
      </c>
      <c r="J107" s="7">
        <f>SUM(J57:J80)</f>
        <v/>
      </c>
      <c r="K107" s="7">
        <f>SUM(K57:K80)</f>
        <v/>
      </c>
      <c r="L107" s="7">
        <f>SUM(L57:L80)</f>
        <v/>
      </c>
      <c r="M107" s="7">
        <f>SUM(M57:M80)</f>
        <v/>
      </c>
      <c r="N107" s="7">
        <f>SUM(N57:N80)</f>
        <v/>
      </c>
      <c r="O107" s="7">
        <f>SUM(O57:O80)</f>
        <v/>
      </c>
      <c r="P107" s="7">
        <f>SUM(P57:P80)</f>
        <v/>
      </c>
      <c r="Q107" s="7">
        <f>SUM(Q57:Q80)</f>
        <v/>
      </c>
      <c r="R107" s="7">
        <f>SUM(R57:R80)</f>
        <v/>
      </c>
      <c r="S107" s="7">
        <f>SUM(S57:S80)</f>
        <v/>
      </c>
      <c r="T107" s="7">
        <f>SUM(T57:T80)</f>
        <v/>
      </c>
      <c r="U107" s="7">
        <f>SUM(U57:U80)</f>
        <v/>
      </c>
      <c r="V107" s="7">
        <f>SUM(V57:V80)</f>
        <v/>
      </c>
      <c r="W107" s="7">
        <f>SUM(W57:W80)</f>
        <v/>
      </c>
      <c r="X107" s="7">
        <f>SUM(X57:X80)</f>
        <v/>
      </c>
      <c r="Y107" s="7">
        <f>SUM(Y57:Y80)</f>
        <v/>
      </c>
      <c r="Z107" s="7">
        <f>SUM(Z57:Z80)</f>
        <v/>
      </c>
      <c r="AA107" s="7">
        <f>SUM(AA57:AA80)</f>
        <v/>
      </c>
      <c r="AB107" s="7">
        <f>SUM(AB57:AB80)</f>
        <v/>
      </c>
      <c r="AC107" s="7">
        <f>SUM(AC57:AC80)</f>
        <v/>
      </c>
      <c r="AD107" s="7">
        <f>SUM(AD57:AD80)</f>
        <v/>
      </c>
      <c r="AE107" s="7">
        <f>SUM(AE57:AE80)</f>
        <v/>
      </c>
      <c r="AF107" s="7">
        <f>SUM(AF57:AF80)</f>
        <v/>
      </c>
      <c r="AG107" s="7">
        <f>SUM(AG57:AG80)</f>
        <v/>
      </c>
      <c r="AH107" s="7">
        <f>SUM(AH57:AH80)</f>
        <v/>
      </c>
      <c r="AI107" s="7">
        <f>SUM(AI57:AI80)</f>
        <v/>
      </c>
      <c r="AJ107" s="7">
        <f>SUM(AJ57:AJ80)</f>
        <v/>
      </c>
      <c r="AK107" s="7">
        <f>SUM(AK57:AK80)</f>
        <v/>
      </c>
      <c r="AL107" s="7">
        <f>SUM(AL57:AL80)</f>
        <v/>
      </c>
      <c r="AM107" s="7">
        <f>SUM(AM57:AM80)</f>
        <v/>
      </c>
      <c r="AN107" s="7">
        <f>SUM(AN57:AN80)</f>
        <v/>
      </c>
      <c r="AO107" s="7">
        <f>SUM(AO57:AO80)</f>
        <v/>
      </c>
      <c r="AP107" s="7">
        <f>SUM(AP57:AP80)</f>
        <v/>
      </c>
      <c r="AQ107" s="7">
        <f>SUM(AQ57:AQ80)</f>
        <v/>
      </c>
      <c r="AR107" s="7">
        <f>SUM(AR57:AR80)</f>
        <v/>
      </c>
      <c r="AS107" s="7">
        <f>SUM(AS57:AS80)</f>
        <v/>
      </c>
      <c r="AT107" s="7">
        <f>SUM(AT57:AT80)</f>
        <v/>
      </c>
      <c r="AU107" s="7">
        <f>SUM(AU57:AU80)</f>
        <v/>
      </c>
      <c r="AV107" s="7">
        <f>SUM(AV57:AV80)</f>
        <v/>
      </c>
      <c r="AW107" s="7">
        <f>SUM(AW57:AW80)</f>
        <v/>
      </c>
      <c r="AX107" s="7">
        <f>SUM(AX57:AX80)</f>
        <v/>
      </c>
      <c r="AY107" s="7">
        <f>SUM(AY57:AY80)</f>
        <v/>
      </c>
      <c r="AZ107" s="7">
        <f>SUM(AZ57:AZ80)</f>
        <v/>
      </c>
      <c r="BA107" s="7">
        <f>SUM(BA57:BA80)</f>
        <v/>
      </c>
      <c r="BB107" s="7">
        <f>SUM(BB57:BB80)</f>
        <v/>
      </c>
      <c r="BC107" s="7">
        <f>SUM(BC57:BC80)</f>
        <v/>
      </c>
      <c r="BD107" s="7">
        <f>SUM(BD57:BD80)</f>
        <v/>
      </c>
      <c r="BE107" s="7">
        <f>SUM(BE57:BE80)</f>
        <v/>
      </c>
      <c r="BF107" s="7">
        <f>SUM(BF57:BF80)</f>
        <v/>
      </c>
      <c r="BG107" s="7">
        <f>SUM(BG57:BG80)</f>
        <v/>
      </c>
      <c r="BH107" s="7">
        <f>SUM(BH57:BH80)</f>
        <v/>
      </c>
      <c r="BI107" s="7">
        <f>SUM(BI57:BI80)</f>
        <v/>
      </c>
      <c r="BJ107" s="7">
        <f>SUM(BJ57:BJ80)</f>
        <v/>
      </c>
      <c r="BK107" s="7">
        <f>SUM(BK57:BK80)</f>
        <v/>
      </c>
      <c r="BL107" s="7">
        <f>SUM(BL57:BL80)</f>
        <v/>
      </c>
      <c r="BM107" s="7">
        <f>SUM(BM57:BM80)</f>
        <v/>
      </c>
      <c r="BN107" s="7">
        <f>SUM(BN57:BN80)</f>
        <v/>
      </c>
      <c r="BO107" s="7">
        <f>SUM(BO57:BO80)</f>
        <v/>
      </c>
      <c r="BP107" s="7">
        <f>SUM(BP57:BP80)</f>
        <v/>
      </c>
      <c r="BQ107" s="7">
        <f>SUM(BQ57:BQ80)</f>
        <v/>
      </c>
      <c r="BR107" s="7">
        <f>SUM(BR57:BR80)</f>
        <v/>
      </c>
      <c r="BS107" s="7">
        <f>SUM(BS57:BS80)</f>
        <v/>
      </c>
      <c r="BT107" s="7">
        <f>SUM(BT57:BT80)</f>
        <v/>
      </c>
      <c r="BU107" s="7">
        <f>SUM(BU57:BU80)</f>
        <v/>
      </c>
      <c r="BV107" s="7">
        <f>SUM(BV57:BV80)</f>
        <v/>
      </c>
      <c r="BW107" s="7">
        <f>SUM(BW57:BW80)</f>
        <v/>
      </c>
      <c r="BX107" s="7">
        <f>SUM(BX57:BX80)</f>
        <v/>
      </c>
      <c r="BY107" s="7">
        <f>SUM(BY57:BY80)</f>
        <v/>
      </c>
      <c r="BZ107" s="7">
        <f>SUM(BZ57:BZ80)</f>
        <v/>
      </c>
      <c r="CA107" s="7">
        <f>SUM(CA57:CA80)</f>
        <v/>
      </c>
      <c r="CB107" s="7">
        <f>SUM(CB57:CB80)</f>
        <v/>
      </c>
      <c r="CC107" s="7">
        <f>SUM(CC57:CC80)</f>
        <v/>
      </c>
      <c r="CD107" s="7">
        <f>SUM(CD57:CD80)</f>
        <v/>
      </c>
      <c r="CE107" s="7">
        <f>SUM(CE57:CE80)</f>
        <v/>
      </c>
      <c r="CF107" s="7">
        <f>SUM(CF57:CF80)</f>
        <v/>
      </c>
      <c r="CG107" s="7">
        <f>SUM(CG57:CG80)</f>
        <v/>
      </c>
      <c r="CH107" s="7">
        <f>SUM(CH57:CH80)</f>
        <v/>
      </c>
      <c r="CI107" s="7">
        <f>SUM(CI57:CI80)</f>
        <v/>
      </c>
      <c r="CJ107" s="7">
        <f>SUM(CJ57:CJ80)</f>
        <v/>
      </c>
      <c r="CK107" s="7">
        <f>SUM(CK57:CK80)</f>
        <v/>
      </c>
      <c r="CL107" s="7">
        <f>SUM(CL57:CL80)</f>
        <v/>
      </c>
      <c r="CM107" s="7">
        <f>SUM(CM57:CM80)</f>
        <v/>
      </c>
      <c r="CN107" s="7">
        <f>SUM(CN57:CN80)</f>
        <v/>
      </c>
      <c r="CO107" s="7">
        <f>SUM(CO57:CO80)</f>
        <v/>
      </c>
      <c r="CP107" s="7">
        <f>SUM(CP57:CP80)</f>
        <v/>
      </c>
      <c r="CQ107" s="7">
        <f>SUM(CQ57:CQ80)</f>
        <v/>
      </c>
      <c r="CR107" s="7">
        <f>SUM(CR57:CR80)</f>
        <v/>
      </c>
      <c r="CS107" s="7">
        <f>SUM(CS57:CS80)</f>
        <v/>
      </c>
      <c r="CT107" s="7">
        <f>SUM(CT57:CT80)</f>
        <v/>
      </c>
      <c r="CU107" s="7">
        <f>SUM(CU57:CU80)</f>
        <v/>
      </c>
      <c r="CV107" s="7">
        <f>SUM(CV57:CV80)</f>
        <v/>
      </c>
      <c r="CW107" s="7">
        <f>SUM(CW57:CW80)</f>
        <v/>
      </c>
      <c r="CX107" s="7">
        <f>SUM(CX57:CX80)</f>
        <v/>
      </c>
      <c r="CY107" s="7">
        <f>SUM(CY57:CY80)</f>
        <v/>
      </c>
      <c r="CZ107" s="7">
        <f>SUM(CZ57:CZ80)</f>
        <v/>
      </c>
      <c r="DA107" s="7">
        <f>SUM(DA57:DA80)</f>
        <v/>
      </c>
      <c r="DB107" s="7">
        <f>SUM(DB57:DB80)</f>
        <v/>
      </c>
      <c r="DC107" s="7">
        <f>SUM(DC57:DC80)</f>
        <v/>
      </c>
      <c r="DD107" s="7">
        <f>SUM(DD57:DD80)</f>
        <v/>
      </c>
      <c r="DE107" s="7">
        <f>SUM(DE57:DE80)</f>
        <v/>
      </c>
      <c r="DF107" s="7">
        <f>SUM(DF57:DF80)</f>
        <v/>
      </c>
      <c r="DG107" s="7">
        <f>SUM(DG57:DG80)</f>
        <v/>
      </c>
      <c r="DH107" s="7">
        <f>SUM(DH57:DH80)</f>
        <v/>
      </c>
      <c r="DI107" s="7">
        <f>SUM(DI57:DI80)</f>
        <v/>
      </c>
      <c r="DJ107" s="7">
        <f>SUM(DJ57:DJ80)</f>
        <v/>
      </c>
      <c r="DK107" s="7">
        <f>SUM(DK57:DK80)</f>
        <v/>
      </c>
      <c r="DL107" s="7">
        <f>SUM(DL57:DL80)</f>
        <v/>
      </c>
      <c r="DM107" s="7">
        <f>SUM(DM57:DM80)</f>
        <v/>
      </c>
      <c r="DN107" s="7">
        <f>SUM(DN57:DN80)</f>
        <v/>
      </c>
      <c r="DO107" s="7">
        <f>SUM(DO57:DO80)</f>
        <v/>
      </c>
      <c r="DP107" s="7">
        <f>SUM(DP57:DP80)</f>
        <v/>
      </c>
      <c r="DQ107" s="7">
        <f>SUM(DQ57:DQ80)</f>
        <v/>
      </c>
      <c r="DR107" s="7">
        <f>SUM(DR57:DR80)</f>
        <v/>
      </c>
      <c r="DS107" s="12" t="n"/>
      <c r="DT107" s="12" t="n"/>
      <c r="DU107" s="12" t="n"/>
      <c r="DV107" s="12" t="n"/>
      <c r="DW107" s="12" t="n"/>
      <c r="DX107" s="12" t="n"/>
      <c r="DY107" s="12" t="n"/>
      <c r="DZ107" s="12" t="n"/>
      <c r="EA107" s="12" t="n"/>
      <c r="EB107" s="12" t="n"/>
      <c r="EC107" s="12" t="n"/>
      <c r="ED107" s="12" t="n"/>
      <c r="EE107" s="10" t="n"/>
      <c r="EF107" s="10" t="n"/>
      <c r="EG107" s="10" t="n"/>
      <c r="EH107" s="10" t="n"/>
    </row>
    <row r="108" ht="20.25" customHeight="1">
      <c r="B108" s="6" t="inlineStr">
        <is>
          <t>Noche</t>
        </is>
      </c>
      <c r="C108" s="7">
        <f>SUM(C81:C104)</f>
        <v/>
      </c>
      <c r="D108" s="7">
        <f>SUM(D81:D104)</f>
        <v/>
      </c>
      <c r="E108" s="7">
        <f>SUM(E81:E104)</f>
        <v/>
      </c>
      <c r="F108" s="7">
        <f>SUM(F81:F104)</f>
        <v/>
      </c>
      <c r="G108" s="7">
        <f>SUM(G81:G104)</f>
        <v/>
      </c>
      <c r="H108" s="7">
        <f>SUM(H81:H104)</f>
        <v/>
      </c>
      <c r="I108" s="7">
        <f>SUM(I81:I104)</f>
        <v/>
      </c>
      <c r="J108" s="7">
        <f>SUM(J81:J104)</f>
        <v/>
      </c>
      <c r="K108" s="7">
        <f>SUM(K81:K104)</f>
        <v/>
      </c>
      <c r="L108" s="7">
        <f>SUM(L81:L104)</f>
        <v/>
      </c>
      <c r="M108" s="7">
        <f>SUM(M81:M104)</f>
        <v/>
      </c>
      <c r="N108" s="7">
        <f>SUM(N81:N104)</f>
        <v/>
      </c>
      <c r="O108" s="7">
        <f>SUM(O81:O104)</f>
        <v/>
      </c>
      <c r="P108" s="7">
        <f>SUM(P81:P104)</f>
        <v/>
      </c>
      <c r="Q108" s="7">
        <f>SUM(Q81:Q104)</f>
        <v/>
      </c>
      <c r="R108" s="7">
        <f>SUM(R81:R104)</f>
        <v/>
      </c>
      <c r="S108" s="7">
        <f>SUM(S81:S104)</f>
        <v/>
      </c>
      <c r="T108" s="7">
        <f>SUM(T81:T104)</f>
        <v/>
      </c>
      <c r="U108" s="7">
        <f>SUM(U81:U104)</f>
        <v/>
      </c>
      <c r="V108" s="7">
        <f>SUM(V81:V104)</f>
        <v/>
      </c>
      <c r="W108" s="7">
        <f>SUM(W81:W104)</f>
        <v/>
      </c>
      <c r="X108" s="7">
        <f>SUM(X81:X104)</f>
        <v/>
      </c>
      <c r="Y108" s="7">
        <f>SUM(Y81:Y104)</f>
        <v/>
      </c>
      <c r="Z108" s="7">
        <f>SUM(Z81:Z104)</f>
        <v/>
      </c>
      <c r="AA108" s="7">
        <f>SUM(AA81:AA104)</f>
        <v/>
      </c>
      <c r="AB108" s="7">
        <f>SUM(AB81:AB104)</f>
        <v/>
      </c>
      <c r="AC108" s="7">
        <f>SUM(AC81:AC104)</f>
        <v/>
      </c>
      <c r="AD108" s="7">
        <f>SUM(AD81:AD104)</f>
        <v/>
      </c>
      <c r="AE108" s="7">
        <f>SUM(AE81:AE104)</f>
        <v/>
      </c>
      <c r="AF108" s="7">
        <f>SUM(AF81:AF104)</f>
        <v/>
      </c>
      <c r="AG108" s="7">
        <f>SUM(AG81:AG104)</f>
        <v/>
      </c>
      <c r="AH108" s="7">
        <f>SUM(AH81:AH104)</f>
        <v/>
      </c>
      <c r="AI108" s="7">
        <f>SUM(AI81:AI104)</f>
        <v/>
      </c>
      <c r="AJ108" s="7">
        <f>SUM(AJ81:AJ104)</f>
        <v/>
      </c>
      <c r="AK108" s="7">
        <f>SUM(AK81:AK104)</f>
        <v/>
      </c>
      <c r="AL108" s="7">
        <f>SUM(AL81:AL104)</f>
        <v/>
      </c>
      <c r="AM108" s="7">
        <f>SUM(AM81:AM104)</f>
        <v/>
      </c>
      <c r="AN108" s="7">
        <f>SUM(AN81:AN104)</f>
        <v/>
      </c>
      <c r="AO108" s="7">
        <f>SUM(AO81:AO104)</f>
        <v/>
      </c>
      <c r="AP108" s="7">
        <f>SUM(AP81:AP104)</f>
        <v/>
      </c>
      <c r="AQ108" s="7">
        <f>SUM(AQ81:AQ104)</f>
        <v/>
      </c>
      <c r="AR108" s="7">
        <f>SUM(AR81:AR104)</f>
        <v/>
      </c>
      <c r="AS108" s="7">
        <f>SUM(AS81:AS104)</f>
        <v/>
      </c>
      <c r="AT108" s="7">
        <f>SUM(AT81:AT104)</f>
        <v/>
      </c>
      <c r="AU108" s="7">
        <f>SUM(AU81:AU104)</f>
        <v/>
      </c>
      <c r="AV108" s="7">
        <f>SUM(AV81:AV104)</f>
        <v/>
      </c>
      <c r="AW108" s="7">
        <f>SUM(AW81:AW104)</f>
        <v/>
      </c>
      <c r="AX108" s="7">
        <f>SUM(AX81:AX104)</f>
        <v/>
      </c>
      <c r="AY108" s="7">
        <f>SUM(AY81:AY104)</f>
        <v/>
      </c>
      <c r="AZ108" s="7">
        <f>SUM(AZ81:AZ104)</f>
        <v/>
      </c>
      <c r="BA108" s="7">
        <f>SUM(BA81:BA104)</f>
        <v/>
      </c>
      <c r="BB108" s="7">
        <f>SUM(BB81:BB104)</f>
        <v/>
      </c>
      <c r="BC108" s="7">
        <f>SUM(BC81:BC104)</f>
        <v/>
      </c>
      <c r="BD108" s="7">
        <f>SUM(BD81:BD104)</f>
        <v/>
      </c>
      <c r="BE108" s="7">
        <f>SUM(BE81:BE104)</f>
        <v/>
      </c>
      <c r="BF108" s="7">
        <f>SUM(BF81:BF104)</f>
        <v/>
      </c>
      <c r="BG108" s="7">
        <f>SUM(BG81:BG104)</f>
        <v/>
      </c>
      <c r="BH108" s="7">
        <f>SUM(BH81:BH104)</f>
        <v/>
      </c>
      <c r="BI108" s="7">
        <f>SUM(BI81:BI104)</f>
        <v/>
      </c>
      <c r="BJ108" s="7">
        <f>SUM(BJ81:BJ104)</f>
        <v/>
      </c>
      <c r="BK108" s="7">
        <f>SUM(BK81:BK104)</f>
        <v/>
      </c>
      <c r="BL108" s="7">
        <f>SUM(BL81:BL104)</f>
        <v/>
      </c>
      <c r="BM108" s="7">
        <f>SUM(BM81:BM104)</f>
        <v/>
      </c>
      <c r="BN108" s="7">
        <f>SUM(BN81:BN104)</f>
        <v/>
      </c>
      <c r="BO108" s="7">
        <f>SUM(BO81:BO104)</f>
        <v/>
      </c>
      <c r="BP108" s="7">
        <f>SUM(BP81:BP104)</f>
        <v/>
      </c>
      <c r="BQ108" s="7">
        <f>SUM(BQ81:BQ104)</f>
        <v/>
      </c>
      <c r="BR108" s="7">
        <f>SUM(BR81:BR104)</f>
        <v/>
      </c>
      <c r="BS108" s="7">
        <f>SUM(BS81:BS104)</f>
        <v/>
      </c>
      <c r="BT108" s="7">
        <f>SUM(BT81:BT104)</f>
        <v/>
      </c>
      <c r="BU108" s="7">
        <f>SUM(BU81:BU104)</f>
        <v/>
      </c>
      <c r="BV108" s="7">
        <f>SUM(BV81:BV104)</f>
        <v/>
      </c>
      <c r="BW108" s="7">
        <f>SUM(BW81:BW104)</f>
        <v/>
      </c>
      <c r="BX108" s="7">
        <f>SUM(BX81:BX104)</f>
        <v/>
      </c>
      <c r="BY108" s="7">
        <f>SUM(BY81:BY104)</f>
        <v/>
      </c>
      <c r="BZ108" s="7">
        <f>SUM(BZ81:BZ104)</f>
        <v/>
      </c>
      <c r="CA108" s="7">
        <f>SUM(CA81:CA104)</f>
        <v/>
      </c>
      <c r="CB108" s="7">
        <f>SUM(CB81:CB104)</f>
        <v/>
      </c>
      <c r="CC108" s="7">
        <f>SUM(CC81:CC104)</f>
        <v/>
      </c>
      <c r="CD108" s="7">
        <f>SUM(CD81:CD104)</f>
        <v/>
      </c>
      <c r="CE108" s="7">
        <f>SUM(CE81:CE104)</f>
        <v/>
      </c>
      <c r="CF108" s="7">
        <f>SUM(CF81:CF104)</f>
        <v/>
      </c>
      <c r="CG108" s="7">
        <f>SUM(CG81:CG104)</f>
        <v/>
      </c>
      <c r="CH108" s="7">
        <f>SUM(CH81:CH104)</f>
        <v/>
      </c>
      <c r="CI108" s="7">
        <f>SUM(CI81:CI104)</f>
        <v/>
      </c>
      <c r="CJ108" s="7">
        <f>SUM(CJ81:CJ104)</f>
        <v/>
      </c>
      <c r="CK108" s="7">
        <f>SUM(CK81:CK104)</f>
        <v/>
      </c>
      <c r="CL108" s="7">
        <f>SUM(CL81:CL104)</f>
        <v/>
      </c>
      <c r="CM108" s="7">
        <f>SUM(CM81:CM104)</f>
        <v/>
      </c>
      <c r="CN108" s="7">
        <f>SUM(CN81:CN104)</f>
        <v/>
      </c>
      <c r="CO108" s="7">
        <f>SUM(CO81:CO104)</f>
        <v/>
      </c>
      <c r="CP108" s="7">
        <f>SUM(CP81:CP104)</f>
        <v/>
      </c>
      <c r="CQ108" s="7">
        <f>SUM(CQ81:CQ104)</f>
        <v/>
      </c>
      <c r="CR108" s="7">
        <f>SUM(CR81:CR104)</f>
        <v/>
      </c>
      <c r="CS108" s="7">
        <f>SUM(CS81:CS104)</f>
        <v/>
      </c>
      <c r="CT108" s="7">
        <f>SUM(CT81:CT104)</f>
        <v/>
      </c>
      <c r="CU108" s="7">
        <f>SUM(CU81:CU104)</f>
        <v/>
      </c>
      <c r="CV108" s="7">
        <f>SUM(CV81:CV104)</f>
        <v/>
      </c>
      <c r="CW108" s="7">
        <f>SUM(CW81:CW104)</f>
        <v/>
      </c>
      <c r="CX108" s="7">
        <f>SUM(CX81:CX104)</f>
        <v/>
      </c>
      <c r="CY108" s="7">
        <f>SUM(CY81:CY104)</f>
        <v/>
      </c>
      <c r="CZ108" s="7">
        <f>SUM(CZ81:CZ104)</f>
        <v/>
      </c>
      <c r="DA108" s="7">
        <f>SUM(DA81:DA104)</f>
        <v/>
      </c>
      <c r="DB108" s="7">
        <f>SUM(DB81:DB104)</f>
        <v/>
      </c>
      <c r="DC108" s="7">
        <f>SUM(DC81:DC104)</f>
        <v/>
      </c>
      <c r="DD108" s="7">
        <f>SUM(DD81:DD104)</f>
        <v/>
      </c>
      <c r="DE108" s="7">
        <f>SUM(DE81:DE104)</f>
        <v/>
      </c>
      <c r="DF108" s="7">
        <f>SUM(DF81:DF104)</f>
        <v/>
      </c>
      <c r="DG108" s="7">
        <f>SUM(DG81:DG104)</f>
        <v/>
      </c>
      <c r="DH108" s="7">
        <f>SUM(DH81:DH104)</f>
        <v/>
      </c>
      <c r="DI108" s="7">
        <f>SUM(DI81:DI104)</f>
        <v/>
      </c>
      <c r="DJ108" s="7">
        <f>SUM(DJ81:DJ104)</f>
        <v/>
      </c>
      <c r="DK108" s="7">
        <f>SUM(DK81:DK104)</f>
        <v/>
      </c>
      <c r="DL108" s="7">
        <f>SUM(DL81:DL104)</f>
        <v/>
      </c>
      <c r="DM108" s="7">
        <f>SUM(DM81:DM104)</f>
        <v/>
      </c>
      <c r="DN108" s="7">
        <f>SUM(DN81:DN104)</f>
        <v/>
      </c>
      <c r="DO108" s="7">
        <f>SUM(DO81:DO104)</f>
        <v/>
      </c>
      <c r="DP108" s="7">
        <f>SUM(DP81:DP104)</f>
        <v/>
      </c>
      <c r="DQ108" s="7">
        <f>SUM(DQ81:DQ104)</f>
        <v/>
      </c>
      <c r="DR108" s="7">
        <f>SUM(DR81:DR104)</f>
        <v/>
      </c>
      <c r="DS108" s="12" t="n"/>
      <c r="DT108" s="12" t="n"/>
      <c r="DU108" s="12" t="n"/>
      <c r="DV108" s="12" t="n"/>
      <c r="DW108" s="12" t="n"/>
      <c r="DX108" s="12" t="n"/>
      <c r="DY108" s="12" t="n"/>
      <c r="DZ108" s="12" t="n"/>
      <c r="EA108" s="12" t="n"/>
      <c r="EB108" s="12" t="n"/>
      <c r="EC108" s="12" t="n"/>
      <c r="ED108" s="12" t="n"/>
      <c r="EE108" s="10" t="n"/>
      <c r="EF108" s="10" t="n"/>
      <c r="EG108" s="10" t="n"/>
      <c r="EH108" s="10" t="n"/>
    </row>
    <row r="109" ht="20.25" customHeight="1">
      <c r="EH109" s="10" t="n"/>
    </row>
  </sheetData>
  <mergeCells count="29">
    <mergeCell ref="EG7:EG8"/>
    <mergeCell ref="B2:EH2"/>
    <mergeCell ref="CO7:CX7"/>
    <mergeCell ref="B3:C3"/>
    <mergeCell ref="C7:L7"/>
    <mergeCell ref="H5:K5"/>
    <mergeCell ref="BK7:BT7"/>
    <mergeCell ref="CY7:DH7"/>
    <mergeCell ref="DI7:DR7"/>
    <mergeCell ref="BU7:CD7"/>
    <mergeCell ref="F5:G5"/>
    <mergeCell ref="EF7:EF8"/>
    <mergeCell ref="EH7:EH8"/>
    <mergeCell ref="L3:EH5"/>
    <mergeCell ref="CE7:CN7"/>
    <mergeCell ref="B6:EH6"/>
    <mergeCell ref="EE7:EE8"/>
    <mergeCell ref="AQ7:AZ7"/>
    <mergeCell ref="D4:K4"/>
    <mergeCell ref="BA7:BJ7"/>
    <mergeCell ref="D3:K3"/>
    <mergeCell ref="B5:C5"/>
    <mergeCell ref="DS7:EB7"/>
    <mergeCell ref="D5:E5"/>
    <mergeCell ref="M7:V7"/>
    <mergeCell ref="B7:B8"/>
    <mergeCell ref="W7:AF7"/>
    <mergeCell ref="AG7:AP7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2025-09-05T11:53:06Z</dcterms:created>
  <dcterms:modified xsi:type="dcterms:W3CDTF">2026-03-09T21:55:37Z</dcterms:modified>
  <cp:lastModifiedBy>Daryl Candia Nina</cp:lastModifiedBy>
</cp:coreProperties>
</file>