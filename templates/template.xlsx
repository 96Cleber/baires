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flowvisionai-v1\templates\"/>
    </mc:Choice>
  </mc:AlternateContent>
  <xr:revisionPtr revIDLastSave="0" documentId="13_ncr:1_{F8E34003-6A49-4A72-B9F3-9487FF9212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icio" sheetId="1" r:id="rId1"/>
    <sheet name="HPMAD" sheetId="9" r:id="rId2"/>
    <sheet name="HPM" sheetId="6" r:id="rId3"/>
    <sheet name="HPT" sheetId="7" r:id="rId4"/>
    <sheet name="HPN" sheetId="8" r:id="rId5"/>
    <sheet name="N" sheetId="2" r:id="rId6"/>
    <sheet name="S" sheetId="3" r:id="rId7"/>
    <sheet name="E" sheetId="4" r:id="rId8"/>
    <sheet name="O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9" l="1"/>
  <c r="E86" i="9"/>
  <c r="E85" i="9"/>
  <c r="E84" i="9"/>
  <c r="E83" i="9"/>
  <c r="E82" i="9"/>
  <c r="E81" i="9"/>
  <c r="E80" i="9"/>
  <c r="E79" i="9"/>
  <c r="E78" i="9"/>
  <c r="E77" i="9"/>
  <c r="E76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AJ73" i="9"/>
  <c r="Z73" i="9"/>
  <c r="P73" i="9"/>
  <c r="F73" i="9"/>
  <c r="F6" i="9"/>
  <c r="F5" i="9"/>
  <c r="AS4" i="9"/>
  <c r="F4" i="9"/>
  <c r="E87" i="8"/>
  <c r="E86" i="8"/>
  <c r="E85" i="8"/>
  <c r="E84" i="8"/>
  <c r="E83" i="8"/>
  <c r="E82" i="8"/>
  <c r="E81" i="8"/>
  <c r="E80" i="8"/>
  <c r="E79" i="8"/>
  <c r="E78" i="8"/>
  <c r="E77" i="8"/>
  <c r="E76" i="8"/>
  <c r="AS75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AJ73" i="8"/>
  <c r="Z73" i="8"/>
  <c r="P73" i="8"/>
  <c r="F73" i="8"/>
  <c r="F6" i="8"/>
  <c r="F5" i="8"/>
  <c r="AS4" i="8"/>
  <c r="F4" i="8"/>
  <c r="E87" i="7"/>
  <c r="E86" i="7"/>
  <c r="E85" i="7"/>
  <c r="E84" i="7"/>
  <c r="E83" i="7"/>
  <c r="E82" i="7"/>
  <c r="E81" i="7"/>
  <c r="E80" i="7"/>
  <c r="E79" i="7"/>
  <c r="E78" i="7"/>
  <c r="E77" i="7"/>
  <c r="E76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AJ73" i="7"/>
  <c r="Z73" i="7"/>
  <c r="P73" i="7"/>
  <c r="F73" i="7"/>
  <c r="F6" i="7"/>
  <c r="F5" i="7"/>
  <c r="AS4" i="7"/>
  <c r="F4" i="7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F6" i="6" l="1"/>
  <c r="F5" i="6"/>
  <c r="F4" i="6"/>
  <c r="AS4" i="6"/>
  <c r="E87" i="6"/>
  <c r="E83" i="6"/>
  <c r="E84" i="6"/>
  <c r="E85" i="6"/>
  <c r="E86" i="6"/>
  <c r="E77" i="6"/>
  <c r="E78" i="6"/>
  <c r="E79" i="6"/>
  <c r="E80" i="6"/>
  <c r="E81" i="6"/>
  <c r="E82" i="6"/>
  <c r="E76" i="6"/>
  <c r="AJ73" i="6"/>
  <c r="Z73" i="6"/>
  <c r="P73" i="6"/>
  <c r="F73" i="6"/>
  <c r="O75" i="6"/>
  <c r="N75" i="6"/>
  <c r="M75" i="6"/>
  <c r="L75" i="6"/>
  <c r="K75" i="6"/>
  <c r="J75" i="6"/>
  <c r="I75" i="6"/>
  <c r="H75" i="6"/>
  <c r="G75" i="6"/>
  <c r="F75" i="6"/>
  <c r="EE10" i="5"/>
  <c r="EE11" i="5"/>
  <c r="EE12" i="5"/>
  <c r="EE13" i="5"/>
  <c r="EE14" i="5"/>
  <c r="EE15" i="5"/>
  <c r="EE16" i="5"/>
  <c r="EE17" i="5"/>
  <c r="EE18" i="5"/>
  <c r="EE19" i="5"/>
  <c r="EE20" i="5"/>
  <c r="EE21" i="5"/>
  <c r="EE22" i="5"/>
  <c r="EE23" i="5"/>
  <c r="EE24" i="5"/>
  <c r="EE25" i="5"/>
  <c r="EE26" i="5"/>
  <c r="EE27" i="5"/>
  <c r="EE28" i="5"/>
  <c r="EE29" i="5"/>
  <c r="EE30" i="5"/>
  <c r="EE31" i="5"/>
  <c r="EE32" i="5"/>
  <c r="EE33" i="5"/>
  <c r="EE34" i="5"/>
  <c r="EE35" i="5"/>
  <c r="EE36" i="5"/>
  <c r="EE37" i="5"/>
  <c r="EE38" i="5"/>
  <c r="EE39" i="5"/>
  <c r="EE40" i="5"/>
  <c r="EE41" i="5"/>
  <c r="EE42" i="5"/>
  <c r="EE43" i="5"/>
  <c r="EE44" i="5"/>
  <c r="EE45" i="5"/>
  <c r="EE46" i="5"/>
  <c r="EE47" i="5"/>
  <c r="EE48" i="5"/>
  <c r="EE49" i="5"/>
  <c r="EE50" i="5"/>
  <c r="EE51" i="5"/>
  <c r="EE52" i="5"/>
  <c r="EE53" i="5"/>
  <c r="EE54" i="5"/>
  <c r="EE55" i="5"/>
  <c r="EE56" i="5"/>
  <c r="EE57" i="5"/>
  <c r="EE58" i="5"/>
  <c r="EE59" i="5"/>
  <c r="EE60" i="5"/>
  <c r="EE61" i="5"/>
  <c r="EE62" i="5"/>
  <c r="EE63" i="5"/>
  <c r="EE64" i="5"/>
  <c r="EE65" i="5"/>
  <c r="EE66" i="5"/>
  <c r="EE67" i="5"/>
  <c r="EE68" i="5"/>
  <c r="EE69" i="5"/>
  <c r="EE70" i="5"/>
  <c r="EE71" i="5"/>
  <c r="EE72" i="5"/>
  <c r="EE73" i="5"/>
  <c r="EE74" i="5"/>
  <c r="EE75" i="5"/>
  <c r="EE76" i="5"/>
  <c r="EE77" i="5"/>
  <c r="EE78" i="5"/>
  <c r="EE79" i="5"/>
  <c r="EE80" i="5"/>
  <c r="EE81" i="5"/>
  <c r="EE82" i="5"/>
  <c r="EE83" i="5"/>
  <c r="EE84" i="5"/>
  <c r="EE85" i="5"/>
  <c r="EE86" i="5"/>
  <c r="EE87" i="5"/>
  <c r="EE88" i="5"/>
  <c r="EE89" i="5"/>
  <c r="EE90" i="5"/>
  <c r="EE91" i="5"/>
  <c r="EE92" i="5"/>
  <c r="EE93" i="5"/>
  <c r="EE94" i="5"/>
  <c r="EE95" i="5"/>
  <c r="EE96" i="5"/>
  <c r="EE97" i="5"/>
  <c r="EE98" i="5"/>
  <c r="EE99" i="5"/>
  <c r="EE100" i="5"/>
  <c r="EE101" i="5"/>
  <c r="EE102" i="5"/>
  <c r="EE103" i="5"/>
  <c r="EE104" i="5"/>
  <c r="EE9" i="5"/>
  <c r="EE10" i="4"/>
  <c r="EE11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41" i="4"/>
  <c r="EE42" i="4"/>
  <c r="EF44" i="4" s="1"/>
  <c r="EE43" i="4"/>
  <c r="EE44" i="4"/>
  <c r="EE45" i="4"/>
  <c r="EE46" i="4"/>
  <c r="EE47" i="4"/>
  <c r="EE48" i="4"/>
  <c r="EE49" i="4"/>
  <c r="EE50" i="4"/>
  <c r="EE51" i="4"/>
  <c r="EE52" i="4"/>
  <c r="EE53" i="4"/>
  <c r="EE54" i="4"/>
  <c r="EE55" i="4"/>
  <c r="EE56" i="4"/>
  <c r="EE57" i="4"/>
  <c r="EE58" i="4"/>
  <c r="EE59" i="4"/>
  <c r="EE60" i="4"/>
  <c r="EE61" i="4"/>
  <c r="EE62" i="4"/>
  <c r="EE63" i="4"/>
  <c r="EE64" i="4"/>
  <c r="EE65" i="4"/>
  <c r="EE66" i="4"/>
  <c r="EE67" i="4"/>
  <c r="EE68" i="4"/>
  <c r="EE69" i="4"/>
  <c r="EE70" i="4"/>
  <c r="EE71" i="4"/>
  <c r="EE72" i="4"/>
  <c r="EE73" i="4"/>
  <c r="EE74" i="4"/>
  <c r="EE75" i="4"/>
  <c r="EE76" i="4"/>
  <c r="EE77" i="4"/>
  <c r="EF80" i="4" s="1"/>
  <c r="EE78" i="4"/>
  <c r="EE79" i="4"/>
  <c r="EE80" i="4"/>
  <c r="EE81" i="4"/>
  <c r="EE82" i="4"/>
  <c r="EE83" i="4"/>
  <c r="EE84" i="4"/>
  <c r="EE85" i="4"/>
  <c r="EE86" i="4"/>
  <c r="EE87" i="4"/>
  <c r="EE88" i="4"/>
  <c r="EE89" i="4"/>
  <c r="EE90" i="4"/>
  <c r="EE91" i="4"/>
  <c r="EE92" i="4"/>
  <c r="EE93" i="4"/>
  <c r="EE94" i="4"/>
  <c r="EE95" i="4"/>
  <c r="EE96" i="4"/>
  <c r="EE97" i="4"/>
  <c r="EE98" i="4"/>
  <c r="EE99" i="4"/>
  <c r="EE100" i="4"/>
  <c r="EE101" i="4"/>
  <c r="EF104" i="4" s="1"/>
  <c r="EE102" i="4"/>
  <c r="EE103" i="4"/>
  <c r="EE104" i="4"/>
  <c r="EE9" i="4"/>
  <c r="EE10" i="3"/>
  <c r="EE11" i="3"/>
  <c r="EE12" i="3"/>
  <c r="EE13" i="3"/>
  <c r="EE14" i="3"/>
  <c r="EE15" i="3"/>
  <c r="EE16" i="3"/>
  <c r="EE17" i="3"/>
  <c r="EE18" i="3"/>
  <c r="EE19" i="3"/>
  <c r="EE20" i="3"/>
  <c r="EE21" i="3"/>
  <c r="EE22" i="3"/>
  <c r="EE23" i="3"/>
  <c r="EE24" i="3"/>
  <c r="EE25" i="3"/>
  <c r="EE26" i="3"/>
  <c r="EE27" i="3"/>
  <c r="EE28" i="3"/>
  <c r="EE29" i="3"/>
  <c r="EE30" i="3"/>
  <c r="EE31" i="3"/>
  <c r="EE32" i="3"/>
  <c r="EE33" i="3"/>
  <c r="EE34" i="3"/>
  <c r="EE35" i="3"/>
  <c r="EE36" i="3"/>
  <c r="EE37" i="3"/>
  <c r="EE38" i="3"/>
  <c r="EE39" i="3"/>
  <c r="EE40" i="3"/>
  <c r="EE41" i="3"/>
  <c r="EE42" i="3"/>
  <c r="EE43" i="3"/>
  <c r="EE44" i="3"/>
  <c r="EE45" i="3"/>
  <c r="EE46" i="3"/>
  <c r="EE47" i="3"/>
  <c r="EE48" i="3"/>
  <c r="EE49" i="3"/>
  <c r="EE50" i="3"/>
  <c r="EE51" i="3"/>
  <c r="EE52" i="3"/>
  <c r="EE53" i="3"/>
  <c r="EE54" i="3"/>
  <c r="EE55" i="3"/>
  <c r="EE56" i="3"/>
  <c r="EE57" i="3"/>
  <c r="EE58" i="3"/>
  <c r="EE59" i="3"/>
  <c r="EE60" i="3"/>
  <c r="EE61" i="3"/>
  <c r="EE62" i="3"/>
  <c r="EE63" i="3"/>
  <c r="EE64" i="3"/>
  <c r="EE65" i="3"/>
  <c r="EE66" i="3"/>
  <c r="EE67" i="3"/>
  <c r="EE68" i="3"/>
  <c r="EE69" i="3"/>
  <c r="EE70" i="3"/>
  <c r="EE71" i="3"/>
  <c r="EE72" i="3"/>
  <c r="EE73" i="3"/>
  <c r="EE74" i="3"/>
  <c r="EE75" i="3"/>
  <c r="EE76" i="3"/>
  <c r="EE77" i="3"/>
  <c r="EE78" i="3"/>
  <c r="EE79" i="3"/>
  <c r="EE80" i="3"/>
  <c r="EE81" i="3"/>
  <c r="EE82" i="3"/>
  <c r="EE83" i="3"/>
  <c r="EE84" i="3"/>
  <c r="EE85" i="3"/>
  <c r="EE86" i="3"/>
  <c r="EE87" i="3"/>
  <c r="EE88" i="3"/>
  <c r="EE89" i="3"/>
  <c r="EE90" i="3"/>
  <c r="EE91" i="3"/>
  <c r="EE92" i="3"/>
  <c r="EE93" i="3"/>
  <c r="EE94" i="3"/>
  <c r="EE95" i="3"/>
  <c r="EE96" i="3"/>
  <c r="EE97" i="3"/>
  <c r="EE98" i="3"/>
  <c r="EE99" i="3"/>
  <c r="EE100" i="3"/>
  <c r="EE101" i="3"/>
  <c r="EE102" i="3"/>
  <c r="EE103" i="3"/>
  <c r="EE104" i="3"/>
  <c r="EE9" i="3"/>
  <c r="EE10" i="2"/>
  <c r="EE11" i="2"/>
  <c r="EE12" i="2"/>
  <c r="EE13" i="2"/>
  <c r="EE14" i="2"/>
  <c r="EE15" i="2"/>
  <c r="EE16" i="2"/>
  <c r="EE17" i="2"/>
  <c r="EE18" i="2"/>
  <c r="EE19" i="2"/>
  <c r="EE20" i="2"/>
  <c r="EE21" i="2"/>
  <c r="EE22" i="2"/>
  <c r="EE23" i="2"/>
  <c r="EE24" i="2"/>
  <c r="EE25" i="2"/>
  <c r="EE26" i="2"/>
  <c r="EE27" i="2"/>
  <c r="EE28" i="2"/>
  <c r="EE29" i="2"/>
  <c r="EE30" i="2"/>
  <c r="EE31" i="2"/>
  <c r="EE32" i="2"/>
  <c r="EE33" i="2"/>
  <c r="EE34" i="2"/>
  <c r="EE35" i="2"/>
  <c r="EE36" i="2"/>
  <c r="EE37" i="2"/>
  <c r="EE38" i="2"/>
  <c r="EE39" i="2"/>
  <c r="EE40" i="2"/>
  <c r="EE41" i="2"/>
  <c r="EE42" i="2"/>
  <c r="EE43" i="2"/>
  <c r="EE44" i="2"/>
  <c r="EE45" i="2"/>
  <c r="EE46" i="2"/>
  <c r="EE47" i="2"/>
  <c r="EE48" i="2"/>
  <c r="EE49" i="2"/>
  <c r="EE50" i="2"/>
  <c r="EE51" i="2"/>
  <c r="EE52" i="2"/>
  <c r="EE53" i="2"/>
  <c r="EE54" i="2"/>
  <c r="EE55" i="2"/>
  <c r="EE56" i="2"/>
  <c r="EE57" i="2"/>
  <c r="EE58" i="2"/>
  <c r="EE59" i="2"/>
  <c r="EE60" i="2"/>
  <c r="EE61" i="2"/>
  <c r="EE62" i="2"/>
  <c r="EE63" i="2"/>
  <c r="EE64" i="2"/>
  <c r="EE65" i="2"/>
  <c r="EE66" i="2"/>
  <c r="EE67" i="2"/>
  <c r="EE68" i="2"/>
  <c r="EE69" i="2"/>
  <c r="EE70" i="2"/>
  <c r="EE71" i="2"/>
  <c r="EE72" i="2"/>
  <c r="EE73" i="2"/>
  <c r="EE74" i="2"/>
  <c r="EE75" i="2"/>
  <c r="EE76" i="2"/>
  <c r="EE77" i="2"/>
  <c r="EE78" i="2"/>
  <c r="EE79" i="2"/>
  <c r="EE80" i="2"/>
  <c r="EE81" i="2"/>
  <c r="EE82" i="2"/>
  <c r="EE83" i="2"/>
  <c r="EE84" i="2"/>
  <c r="EE85" i="2"/>
  <c r="EE86" i="2"/>
  <c r="EE87" i="2"/>
  <c r="EE88" i="2"/>
  <c r="EE89" i="2"/>
  <c r="EE90" i="2"/>
  <c r="EE91" i="2"/>
  <c r="EE92" i="2"/>
  <c r="EE93" i="2"/>
  <c r="EE94" i="2"/>
  <c r="EE95" i="2"/>
  <c r="EE96" i="2"/>
  <c r="EE97" i="2"/>
  <c r="EE98" i="2"/>
  <c r="EE99" i="2"/>
  <c r="EE100" i="2"/>
  <c r="EE101" i="2"/>
  <c r="EE102" i="2"/>
  <c r="EE103" i="2"/>
  <c r="EE104" i="2"/>
  <c r="EE9" i="2"/>
  <c r="ED104" i="5"/>
  <c r="EC104" i="5"/>
  <c r="EB104" i="5"/>
  <c r="EA104" i="5"/>
  <c r="DZ104" i="5"/>
  <c r="DY104" i="5"/>
  <c r="DX104" i="5"/>
  <c r="DW104" i="5"/>
  <c r="DV104" i="5"/>
  <c r="DU104" i="5"/>
  <c r="DT104" i="5"/>
  <c r="DS104" i="5"/>
  <c r="ED103" i="5"/>
  <c r="EC103" i="5"/>
  <c r="EB103" i="5"/>
  <c r="EA103" i="5"/>
  <c r="DZ103" i="5"/>
  <c r="DY103" i="5"/>
  <c r="DX103" i="5"/>
  <c r="DW103" i="5"/>
  <c r="DV103" i="5"/>
  <c r="DU103" i="5"/>
  <c r="DT103" i="5"/>
  <c r="DS103" i="5"/>
  <c r="ED102" i="5"/>
  <c r="EC102" i="5"/>
  <c r="EB102" i="5"/>
  <c r="EA102" i="5"/>
  <c r="DZ102" i="5"/>
  <c r="DY102" i="5"/>
  <c r="DX102" i="5"/>
  <c r="DW102" i="5"/>
  <c r="DV102" i="5"/>
  <c r="DU102" i="5"/>
  <c r="DT102" i="5"/>
  <c r="DS102" i="5"/>
  <c r="ED101" i="5"/>
  <c r="EC101" i="5"/>
  <c r="EB101" i="5"/>
  <c r="EA101" i="5"/>
  <c r="DZ101" i="5"/>
  <c r="DY101" i="5"/>
  <c r="DX101" i="5"/>
  <c r="DW101" i="5"/>
  <c r="DV101" i="5"/>
  <c r="DU101" i="5"/>
  <c r="DT101" i="5"/>
  <c r="DS101" i="5"/>
  <c r="ED100" i="5"/>
  <c r="EC100" i="5"/>
  <c r="EB100" i="5"/>
  <c r="EG100" i="5" s="1"/>
  <c r="EA100" i="5"/>
  <c r="DZ100" i="5"/>
  <c r="DY100" i="5"/>
  <c r="DX100" i="5"/>
  <c r="DW100" i="5"/>
  <c r="DV100" i="5"/>
  <c r="DU100" i="5"/>
  <c r="DT100" i="5"/>
  <c r="DS100" i="5"/>
  <c r="ED99" i="5"/>
  <c r="EC99" i="5"/>
  <c r="EB99" i="5"/>
  <c r="EA99" i="5"/>
  <c r="DZ99" i="5"/>
  <c r="DY99" i="5"/>
  <c r="DX99" i="5"/>
  <c r="DW99" i="5"/>
  <c r="DV99" i="5"/>
  <c r="DU99" i="5"/>
  <c r="DT99" i="5"/>
  <c r="DS99" i="5"/>
  <c r="ED98" i="5"/>
  <c r="EC98" i="5"/>
  <c r="EB98" i="5"/>
  <c r="EA98" i="5"/>
  <c r="DZ98" i="5"/>
  <c r="DY98" i="5"/>
  <c r="DX98" i="5"/>
  <c r="DW98" i="5"/>
  <c r="DV98" i="5"/>
  <c r="DU98" i="5"/>
  <c r="DT98" i="5"/>
  <c r="DS98" i="5"/>
  <c r="ED97" i="5"/>
  <c r="EC97" i="5"/>
  <c r="EB97" i="5"/>
  <c r="EA97" i="5"/>
  <c r="DZ97" i="5"/>
  <c r="DY97" i="5"/>
  <c r="DX97" i="5"/>
  <c r="DW97" i="5"/>
  <c r="DV97" i="5"/>
  <c r="DU97" i="5"/>
  <c r="DT97" i="5"/>
  <c r="DS97" i="5"/>
  <c r="ED96" i="5"/>
  <c r="EC96" i="5"/>
  <c r="EB96" i="5"/>
  <c r="EA96" i="5"/>
  <c r="DZ96" i="5"/>
  <c r="DY96" i="5"/>
  <c r="DX96" i="5"/>
  <c r="DW96" i="5"/>
  <c r="DV96" i="5"/>
  <c r="DU96" i="5"/>
  <c r="DT96" i="5"/>
  <c r="DS96" i="5"/>
  <c r="ED95" i="5"/>
  <c r="EC95" i="5"/>
  <c r="EB95" i="5"/>
  <c r="EA95" i="5"/>
  <c r="DZ95" i="5"/>
  <c r="DY95" i="5"/>
  <c r="DX95" i="5"/>
  <c r="DW95" i="5"/>
  <c r="DV95" i="5"/>
  <c r="DU95" i="5"/>
  <c r="DT95" i="5"/>
  <c r="DS95" i="5"/>
  <c r="ED94" i="5"/>
  <c r="EC94" i="5"/>
  <c r="EB94" i="5"/>
  <c r="EA94" i="5"/>
  <c r="DZ94" i="5"/>
  <c r="DY94" i="5"/>
  <c r="DX94" i="5"/>
  <c r="DW94" i="5"/>
  <c r="DV94" i="5"/>
  <c r="DU94" i="5"/>
  <c r="DT94" i="5"/>
  <c r="DS94" i="5"/>
  <c r="ED93" i="5"/>
  <c r="EC93" i="5"/>
  <c r="EB93" i="5"/>
  <c r="EA93" i="5"/>
  <c r="DZ93" i="5"/>
  <c r="DY93" i="5"/>
  <c r="DX93" i="5"/>
  <c r="DW93" i="5"/>
  <c r="DV93" i="5"/>
  <c r="DU93" i="5"/>
  <c r="DT93" i="5"/>
  <c r="DS93" i="5"/>
  <c r="ED92" i="5"/>
  <c r="EC92" i="5"/>
  <c r="EB92" i="5"/>
  <c r="EA92" i="5"/>
  <c r="DZ92" i="5"/>
  <c r="DY92" i="5"/>
  <c r="DX92" i="5"/>
  <c r="DW92" i="5"/>
  <c r="DV92" i="5"/>
  <c r="DU92" i="5"/>
  <c r="DT92" i="5"/>
  <c r="DS92" i="5"/>
  <c r="ED91" i="5"/>
  <c r="EC91" i="5"/>
  <c r="EB91" i="5"/>
  <c r="EA91" i="5"/>
  <c r="DZ91" i="5"/>
  <c r="DY91" i="5"/>
  <c r="DX91" i="5"/>
  <c r="DW91" i="5"/>
  <c r="DV91" i="5"/>
  <c r="DU91" i="5"/>
  <c r="DT91" i="5"/>
  <c r="DS91" i="5"/>
  <c r="ED90" i="5"/>
  <c r="EC90" i="5"/>
  <c r="EB90" i="5"/>
  <c r="EA90" i="5"/>
  <c r="DZ90" i="5"/>
  <c r="DY90" i="5"/>
  <c r="DX90" i="5"/>
  <c r="DW90" i="5"/>
  <c r="DV90" i="5"/>
  <c r="DU90" i="5"/>
  <c r="DT90" i="5"/>
  <c r="DS90" i="5"/>
  <c r="ED89" i="5"/>
  <c r="EC89" i="5"/>
  <c r="EB89" i="5"/>
  <c r="EG89" i="5" s="1"/>
  <c r="EA89" i="5"/>
  <c r="DZ89" i="5"/>
  <c r="DY89" i="5"/>
  <c r="DX89" i="5"/>
  <c r="DW89" i="5"/>
  <c r="DV89" i="5"/>
  <c r="DU89" i="5"/>
  <c r="DT89" i="5"/>
  <c r="DS89" i="5"/>
  <c r="ED88" i="5"/>
  <c r="EC88" i="5"/>
  <c r="EB88" i="5"/>
  <c r="EA88" i="5"/>
  <c r="DZ88" i="5"/>
  <c r="DY88" i="5"/>
  <c r="DX88" i="5"/>
  <c r="DW88" i="5"/>
  <c r="DV88" i="5"/>
  <c r="DU88" i="5"/>
  <c r="DT88" i="5"/>
  <c r="DS88" i="5"/>
  <c r="ED87" i="5"/>
  <c r="EC87" i="5"/>
  <c r="EB87" i="5"/>
  <c r="EA87" i="5"/>
  <c r="DZ87" i="5"/>
  <c r="DY87" i="5"/>
  <c r="DX87" i="5"/>
  <c r="DW87" i="5"/>
  <c r="DV87" i="5"/>
  <c r="DU87" i="5"/>
  <c r="DT87" i="5"/>
  <c r="DS87" i="5"/>
  <c r="ED86" i="5"/>
  <c r="EC86" i="5"/>
  <c r="EB86" i="5"/>
  <c r="EA86" i="5"/>
  <c r="DZ86" i="5"/>
  <c r="DY86" i="5"/>
  <c r="DX86" i="5"/>
  <c r="DW86" i="5"/>
  <c r="DV86" i="5"/>
  <c r="DU86" i="5"/>
  <c r="DT86" i="5"/>
  <c r="DS86" i="5"/>
  <c r="ED85" i="5"/>
  <c r="EC85" i="5"/>
  <c r="EB85" i="5"/>
  <c r="EA85" i="5"/>
  <c r="DZ85" i="5"/>
  <c r="DY85" i="5"/>
  <c r="DX85" i="5"/>
  <c r="DW85" i="5"/>
  <c r="DV85" i="5"/>
  <c r="DU85" i="5"/>
  <c r="DT85" i="5"/>
  <c r="DS85" i="5"/>
  <c r="ED84" i="5"/>
  <c r="EC84" i="5"/>
  <c r="EB84" i="5"/>
  <c r="EA84" i="5"/>
  <c r="DZ84" i="5"/>
  <c r="DY84" i="5"/>
  <c r="DX84" i="5"/>
  <c r="DW84" i="5"/>
  <c r="DV84" i="5"/>
  <c r="DU84" i="5"/>
  <c r="DT84" i="5"/>
  <c r="DS84" i="5"/>
  <c r="ED83" i="5"/>
  <c r="EC83" i="5"/>
  <c r="EB83" i="5"/>
  <c r="EA83" i="5"/>
  <c r="DZ83" i="5"/>
  <c r="DY83" i="5"/>
  <c r="DX83" i="5"/>
  <c r="DW83" i="5"/>
  <c r="DV83" i="5"/>
  <c r="DU83" i="5"/>
  <c r="DT83" i="5"/>
  <c r="DS83" i="5"/>
  <c r="ED82" i="5"/>
  <c r="EC82" i="5"/>
  <c r="EB82" i="5"/>
  <c r="EA82" i="5"/>
  <c r="DZ82" i="5"/>
  <c r="DY82" i="5"/>
  <c r="DX82" i="5"/>
  <c r="DW82" i="5"/>
  <c r="DV82" i="5"/>
  <c r="DU82" i="5"/>
  <c r="DT82" i="5"/>
  <c r="DS82" i="5"/>
  <c r="ED81" i="5"/>
  <c r="EC81" i="5"/>
  <c r="EB81" i="5"/>
  <c r="EA81" i="5"/>
  <c r="DZ81" i="5"/>
  <c r="DY81" i="5"/>
  <c r="DX81" i="5"/>
  <c r="DW81" i="5"/>
  <c r="DV81" i="5"/>
  <c r="DU81" i="5"/>
  <c r="DT81" i="5"/>
  <c r="DS81" i="5"/>
  <c r="ED80" i="5"/>
  <c r="EC80" i="5"/>
  <c r="EB80" i="5"/>
  <c r="EA80" i="5"/>
  <c r="DZ80" i="5"/>
  <c r="DY80" i="5"/>
  <c r="DX80" i="5"/>
  <c r="DW80" i="5"/>
  <c r="DV80" i="5"/>
  <c r="DU80" i="5"/>
  <c r="DT80" i="5"/>
  <c r="DS80" i="5"/>
  <c r="ED79" i="5"/>
  <c r="EC79" i="5"/>
  <c r="EB79" i="5"/>
  <c r="EA79" i="5"/>
  <c r="DZ79" i="5"/>
  <c r="DY79" i="5"/>
  <c r="DX79" i="5"/>
  <c r="DW79" i="5"/>
  <c r="DV79" i="5"/>
  <c r="DU79" i="5"/>
  <c r="DT79" i="5"/>
  <c r="DS79" i="5"/>
  <c r="ED78" i="5"/>
  <c r="EC78" i="5"/>
  <c r="EB78" i="5"/>
  <c r="EA78" i="5"/>
  <c r="DZ78" i="5"/>
  <c r="DY78" i="5"/>
  <c r="DX78" i="5"/>
  <c r="DW78" i="5"/>
  <c r="DV78" i="5"/>
  <c r="DU78" i="5"/>
  <c r="DT78" i="5"/>
  <c r="DS78" i="5"/>
  <c r="ED77" i="5"/>
  <c r="EC77" i="5"/>
  <c r="EB77" i="5"/>
  <c r="EA77" i="5"/>
  <c r="DZ77" i="5"/>
  <c r="DY77" i="5"/>
  <c r="DX77" i="5"/>
  <c r="DW77" i="5"/>
  <c r="DV77" i="5"/>
  <c r="DU77" i="5"/>
  <c r="DT77" i="5"/>
  <c r="DS77" i="5"/>
  <c r="ED76" i="5"/>
  <c r="EC76" i="5"/>
  <c r="EB76" i="5"/>
  <c r="EA76" i="5"/>
  <c r="EG76" i="5" s="1"/>
  <c r="DZ76" i="5"/>
  <c r="DY76" i="5"/>
  <c r="DX76" i="5"/>
  <c r="DW76" i="5"/>
  <c r="DV76" i="5"/>
  <c r="DU76" i="5"/>
  <c r="DT76" i="5"/>
  <c r="DS76" i="5"/>
  <c r="ED75" i="5"/>
  <c r="EC75" i="5"/>
  <c r="EB75" i="5"/>
  <c r="EA75" i="5"/>
  <c r="DZ75" i="5"/>
  <c r="DY75" i="5"/>
  <c r="DX75" i="5"/>
  <c r="DW75" i="5"/>
  <c r="DV75" i="5"/>
  <c r="DU75" i="5"/>
  <c r="DT75" i="5"/>
  <c r="DS75" i="5"/>
  <c r="ED74" i="5"/>
  <c r="EC74" i="5"/>
  <c r="EB74" i="5"/>
  <c r="EA74" i="5"/>
  <c r="DZ74" i="5"/>
  <c r="DY74" i="5"/>
  <c r="DX74" i="5"/>
  <c r="DW74" i="5"/>
  <c r="DV74" i="5"/>
  <c r="DU74" i="5"/>
  <c r="DT74" i="5"/>
  <c r="DS74" i="5"/>
  <c r="ED73" i="5"/>
  <c r="EC73" i="5"/>
  <c r="EB73" i="5"/>
  <c r="EA73" i="5"/>
  <c r="DZ73" i="5"/>
  <c r="DY73" i="5"/>
  <c r="DX73" i="5"/>
  <c r="DW73" i="5"/>
  <c r="DV73" i="5"/>
  <c r="DU73" i="5"/>
  <c r="DT73" i="5"/>
  <c r="DS73" i="5"/>
  <c r="ED72" i="5"/>
  <c r="EC72" i="5"/>
  <c r="EB72" i="5"/>
  <c r="EA72" i="5"/>
  <c r="DZ72" i="5"/>
  <c r="DY72" i="5"/>
  <c r="DX72" i="5"/>
  <c r="DW72" i="5"/>
  <c r="DV72" i="5"/>
  <c r="DU72" i="5"/>
  <c r="DT72" i="5"/>
  <c r="DS72" i="5"/>
  <c r="ED71" i="5"/>
  <c r="EC71" i="5"/>
  <c r="EB71" i="5"/>
  <c r="EA71" i="5"/>
  <c r="DZ71" i="5"/>
  <c r="DY71" i="5"/>
  <c r="DX71" i="5"/>
  <c r="DW71" i="5"/>
  <c r="DV71" i="5"/>
  <c r="DU71" i="5"/>
  <c r="DT71" i="5"/>
  <c r="DS71" i="5"/>
  <c r="ED70" i="5"/>
  <c r="EC70" i="5"/>
  <c r="EB70" i="5"/>
  <c r="EA70" i="5"/>
  <c r="DZ70" i="5"/>
  <c r="DY70" i="5"/>
  <c r="DX70" i="5"/>
  <c r="DW70" i="5"/>
  <c r="DV70" i="5"/>
  <c r="DU70" i="5"/>
  <c r="DT70" i="5"/>
  <c r="DS70" i="5"/>
  <c r="ED69" i="5"/>
  <c r="EC69" i="5"/>
  <c r="EB69" i="5"/>
  <c r="EA69" i="5"/>
  <c r="DZ69" i="5"/>
  <c r="DY69" i="5"/>
  <c r="DX69" i="5"/>
  <c r="DW69" i="5"/>
  <c r="DV69" i="5"/>
  <c r="DU69" i="5"/>
  <c r="DT69" i="5"/>
  <c r="DS69" i="5"/>
  <c r="ED68" i="5"/>
  <c r="EC68" i="5"/>
  <c r="EB68" i="5"/>
  <c r="EA68" i="5"/>
  <c r="DZ68" i="5"/>
  <c r="DY68" i="5"/>
  <c r="DX68" i="5"/>
  <c r="DW68" i="5"/>
  <c r="DV68" i="5"/>
  <c r="DU68" i="5"/>
  <c r="DT68" i="5"/>
  <c r="DS68" i="5"/>
  <c r="ED67" i="5"/>
  <c r="EC67" i="5"/>
  <c r="EB67" i="5"/>
  <c r="EA67" i="5"/>
  <c r="DZ67" i="5"/>
  <c r="DY67" i="5"/>
  <c r="DX67" i="5"/>
  <c r="DW67" i="5"/>
  <c r="DV67" i="5"/>
  <c r="DU67" i="5"/>
  <c r="DT67" i="5"/>
  <c r="DS67" i="5"/>
  <c r="ED66" i="5"/>
  <c r="EC66" i="5"/>
  <c r="EB66" i="5"/>
  <c r="EA66" i="5"/>
  <c r="DZ66" i="5"/>
  <c r="DY66" i="5"/>
  <c r="DX66" i="5"/>
  <c r="DW66" i="5"/>
  <c r="DV66" i="5"/>
  <c r="DU66" i="5"/>
  <c r="DT66" i="5"/>
  <c r="DS66" i="5"/>
  <c r="ED65" i="5"/>
  <c r="EC65" i="5"/>
  <c r="EB65" i="5"/>
  <c r="EA65" i="5"/>
  <c r="DZ65" i="5"/>
  <c r="DY65" i="5"/>
  <c r="DX65" i="5"/>
  <c r="DW65" i="5"/>
  <c r="DV65" i="5"/>
  <c r="DU65" i="5"/>
  <c r="DT65" i="5"/>
  <c r="DS65" i="5"/>
  <c r="ED64" i="5"/>
  <c r="EC64" i="5"/>
  <c r="EB64" i="5"/>
  <c r="EA64" i="5"/>
  <c r="DZ64" i="5"/>
  <c r="DY64" i="5"/>
  <c r="DX64" i="5"/>
  <c r="DW64" i="5"/>
  <c r="DV64" i="5"/>
  <c r="DU64" i="5"/>
  <c r="DT64" i="5"/>
  <c r="DS64" i="5"/>
  <c r="ED63" i="5"/>
  <c r="EC63" i="5"/>
  <c r="EB63" i="5"/>
  <c r="EA63" i="5"/>
  <c r="DZ63" i="5"/>
  <c r="DY63" i="5"/>
  <c r="DX63" i="5"/>
  <c r="DW63" i="5"/>
  <c r="DV63" i="5"/>
  <c r="DU63" i="5"/>
  <c r="DT63" i="5"/>
  <c r="DS63" i="5"/>
  <c r="ED62" i="5"/>
  <c r="EC62" i="5"/>
  <c r="EB62" i="5"/>
  <c r="EA62" i="5"/>
  <c r="DZ62" i="5"/>
  <c r="DY62" i="5"/>
  <c r="DX62" i="5"/>
  <c r="DW62" i="5"/>
  <c r="DV62" i="5"/>
  <c r="DU62" i="5"/>
  <c r="DT62" i="5"/>
  <c r="DS62" i="5"/>
  <c r="ED61" i="5"/>
  <c r="EC61" i="5"/>
  <c r="EB61" i="5"/>
  <c r="EA61" i="5"/>
  <c r="DZ61" i="5"/>
  <c r="DY61" i="5"/>
  <c r="DX61" i="5"/>
  <c r="DW61" i="5"/>
  <c r="DV61" i="5"/>
  <c r="DU61" i="5"/>
  <c r="DT61" i="5"/>
  <c r="DS61" i="5"/>
  <c r="ED60" i="5"/>
  <c r="EC60" i="5"/>
  <c r="EB60" i="5"/>
  <c r="EA60" i="5"/>
  <c r="DZ60" i="5"/>
  <c r="DY60" i="5"/>
  <c r="DX60" i="5"/>
  <c r="DW60" i="5"/>
  <c r="DV60" i="5"/>
  <c r="DU60" i="5"/>
  <c r="DT60" i="5"/>
  <c r="DS60" i="5"/>
  <c r="ED59" i="5"/>
  <c r="EC59" i="5"/>
  <c r="EB59" i="5"/>
  <c r="EA59" i="5"/>
  <c r="DZ59" i="5"/>
  <c r="DY59" i="5"/>
  <c r="DX59" i="5"/>
  <c r="DW59" i="5"/>
  <c r="DV59" i="5"/>
  <c r="DU59" i="5"/>
  <c r="DT59" i="5"/>
  <c r="DS59" i="5"/>
  <c r="ED58" i="5"/>
  <c r="EC58" i="5"/>
  <c r="EB58" i="5"/>
  <c r="EA58" i="5"/>
  <c r="DZ58" i="5"/>
  <c r="DY58" i="5"/>
  <c r="DX58" i="5"/>
  <c r="DW58" i="5"/>
  <c r="DV58" i="5"/>
  <c r="DU58" i="5"/>
  <c r="DT58" i="5"/>
  <c r="DS58" i="5"/>
  <c r="ED57" i="5"/>
  <c r="EC57" i="5"/>
  <c r="EB57" i="5"/>
  <c r="EA57" i="5"/>
  <c r="DZ57" i="5"/>
  <c r="DY57" i="5"/>
  <c r="DX57" i="5"/>
  <c r="DW57" i="5"/>
  <c r="DV57" i="5"/>
  <c r="DU57" i="5"/>
  <c r="DT57" i="5"/>
  <c r="DS57" i="5"/>
  <c r="ED56" i="5"/>
  <c r="EC56" i="5"/>
  <c r="EB56" i="5"/>
  <c r="EA56" i="5"/>
  <c r="DZ56" i="5"/>
  <c r="DY56" i="5"/>
  <c r="DX56" i="5"/>
  <c r="DW56" i="5"/>
  <c r="DV56" i="5"/>
  <c r="DU56" i="5"/>
  <c r="DT56" i="5"/>
  <c r="DS56" i="5"/>
  <c r="ED55" i="5"/>
  <c r="EC55" i="5"/>
  <c r="EB55" i="5"/>
  <c r="EA55" i="5"/>
  <c r="DZ55" i="5"/>
  <c r="DY55" i="5"/>
  <c r="DX55" i="5"/>
  <c r="DW55" i="5"/>
  <c r="DV55" i="5"/>
  <c r="DU55" i="5"/>
  <c r="DT55" i="5"/>
  <c r="DS55" i="5"/>
  <c r="ED54" i="5"/>
  <c r="EC54" i="5"/>
  <c r="EB54" i="5"/>
  <c r="EA54" i="5"/>
  <c r="DZ54" i="5"/>
  <c r="DY54" i="5"/>
  <c r="DX54" i="5"/>
  <c r="DW54" i="5"/>
  <c r="DV54" i="5"/>
  <c r="DU54" i="5"/>
  <c r="DT54" i="5"/>
  <c r="DS54" i="5"/>
  <c r="ED53" i="5"/>
  <c r="EC53" i="5"/>
  <c r="EB53" i="5"/>
  <c r="EA53" i="5"/>
  <c r="DZ53" i="5"/>
  <c r="DY53" i="5"/>
  <c r="DX53" i="5"/>
  <c r="DW53" i="5"/>
  <c r="DV53" i="5"/>
  <c r="DU53" i="5"/>
  <c r="DT53" i="5"/>
  <c r="DS53" i="5"/>
  <c r="ED52" i="5"/>
  <c r="EC52" i="5"/>
  <c r="EB52" i="5"/>
  <c r="EA52" i="5"/>
  <c r="DZ52" i="5"/>
  <c r="DY52" i="5"/>
  <c r="DX52" i="5"/>
  <c r="DW52" i="5"/>
  <c r="DV52" i="5"/>
  <c r="DU52" i="5"/>
  <c r="DT52" i="5"/>
  <c r="DS52" i="5"/>
  <c r="ED51" i="5"/>
  <c r="EC51" i="5"/>
  <c r="EB51" i="5"/>
  <c r="EA51" i="5"/>
  <c r="DZ51" i="5"/>
  <c r="DY51" i="5"/>
  <c r="DX51" i="5"/>
  <c r="DW51" i="5"/>
  <c r="DV51" i="5"/>
  <c r="DU51" i="5"/>
  <c r="DT51" i="5"/>
  <c r="DS51" i="5"/>
  <c r="ED50" i="5"/>
  <c r="EC50" i="5"/>
  <c r="EB50" i="5"/>
  <c r="EA50" i="5"/>
  <c r="DZ50" i="5"/>
  <c r="DY50" i="5"/>
  <c r="DX50" i="5"/>
  <c r="DW50" i="5"/>
  <c r="DV50" i="5"/>
  <c r="DU50" i="5"/>
  <c r="DT50" i="5"/>
  <c r="DS50" i="5"/>
  <c r="ED49" i="5"/>
  <c r="EC49" i="5"/>
  <c r="EB49" i="5"/>
  <c r="EA49" i="5"/>
  <c r="EG49" i="5" s="1"/>
  <c r="DZ49" i="5"/>
  <c r="DY49" i="5"/>
  <c r="DX49" i="5"/>
  <c r="DW49" i="5"/>
  <c r="DV49" i="5"/>
  <c r="DU49" i="5"/>
  <c r="DT49" i="5"/>
  <c r="DS49" i="5"/>
  <c r="ED48" i="5"/>
  <c r="EC48" i="5"/>
  <c r="EB48" i="5"/>
  <c r="EA48" i="5"/>
  <c r="DZ48" i="5"/>
  <c r="DY48" i="5"/>
  <c r="DX48" i="5"/>
  <c r="DW48" i="5"/>
  <c r="DV48" i="5"/>
  <c r="DU48" i="5"/>
  <c r="DT48" i="5"/>
  <c r="DS48" i="5"/>
  <c r="ED47" i="5"/>
  <c r="EC47" i="5"/>
  <c r="EB47" i="5"/>
  <c r="EA47" i="5"/>
  <c r="DZ47" i="5"/>
  <c r="DY47" i="5"/>
  <c r="DX47" i="5"/>
  <c r="DW47" i="5"/>
  <c r="DV47" i="5"/>
  <c r="DU47" i="5"/>
  <c r="DT47" i="5"/>
  <c r="DS47" i="5"/>
  <c r="ED46" i="5"/>
  <c r="EC46" i="5"/>
  <c r="EB46" i="5"/>
  <c r="EA46" i="5"/>
  <c r="DZ46" i="5"/>
  <c r="DY46" i="5"/>
  <c r="DX46" i="5"/>
  <c r="DW46" i="5"/>
  <c r="DV46" i="5"/>
  <c r="DU46" i="5"/>
  <c r="DT46" i="5"/>
  <c r="DS46" i="5"/>
  <c r="ED45" i="5"/>
  <c r="EC45" i="5"/>
  <c r="EB45" i="5"/>
  <c r="EA45" i="5"/>
  <c r="DZ45" i="5"/>
  <c r="DY45" i="5"/>
  <c r="DX45" i="5"/>
  <c r="DW45" i="5"/>
  <c r="DV45" i="5"/>
  <c r="DU45" i="5"/>
  <c r="DT45" i="5"/>
  <c r="DS45" i="5"/>
  <c r="ED44" i="5"/>
  <c r="EC44" i="5"/>
  <c r="EB44" i="5"/>
  <c r="EA44" i="5"/>
  <c r="DZ44" i="5"/>
  <c r="DY44" i="5"/>
  <c r="DX44" i="5"/>
  <c r="DW44" i="5"/>
  <c r="DV44" i="5"/>
  <c r="DU44" i="5"/>
  <c r="DT44" i="5"/>
  <c r="DS44" i="5"/>
  <c r="ED43" i="5"/>
  <c r="EC43" i="5"/>
  <c r="EB43" i="5"/>
  <c r="EA43" i="5"/>
  <c r="DZ43" i="5"/>
  <c r="DY43" i="5"/>
  <c r="DX43" i="5"/>
  <c r="DW43" i="5"/>
  <c r="DV43" i="5"/>
  <c r="DU43" i="5"/>
  <c r="DT43" i="5"/>
  <c r="DS43" i="5"/>
  <c r="ED42" i="5"/>
  <c r="EC42" i="5"/>
  <c r="EB42" i="5"/>
  <c r="EA42" i="5"/>
  <c r="DZ42" i="5"/>
  <c r="DY42" i="5"/>
  <c r="DX42" i="5"/>
  <c r="DW42" i="5"/>
  <c r="DV42" i="5"/>
  <c r="DU42" i="5"/>
  <c r="DT42" i="5"/>
  <c r="DS42" i="5"/>
  <c r="ED41" i="5"/>
  <c r="EC41" i="5"/>
  <c r="EB41" i="5"/>
  <c r="EA41" i="5"/>
  <c r="DZ41" i="5"/>
  <c r="DY41" i="5"/>
  <c r="DX41" i="5"/>
  <c r="DW41" i="5"/>
  <c r="DV41" i="5"/>
  <c r="DU41" i="5"/>
  <c r="DT41" i="5"/>
  <c r="DS41" i="5"/>
  <c r="ED40" i="5"/>
  <c r="EC40" i="5"/>
  <c r="EB40" i="5"/>
  <c r="EA40" i="5"/>
  <c r="DZ40" i="5"/>
  <c r="DY40" i="5"/>
  <c r="DX40" i="5"/>
  <c r="DW40" i="5"/>
  <c r="DV40" i="5"/>
  <c r="DU40" i="5"/>
  <c r="DT40" i="5"/>
  <c r="DS40" i="5"/>
  <c r="ED39" i="5"/>
  <c r="EC39" i="5"/>
  <c r="EB39" i="5"/>
  <c r="EA39" i="5"/>
  <c r="DZ39" i="5"/>
  <c r="DY39" i="5"/>
  <c r="DX39" i="5"/>
  <c r="DW39" i="5"/>
  <c r="DV39" i="5"/>
  <c r="DU39" i="5"/>
  <c r="DT39" i="5"/>
  <c r="DS39" i="5"/>
  <c r="ED38" i="5"/>
  <c r="EC38" i="5"/>
  <c r="EB38" i="5"/>
  <c r="EA38" i="5"/>
  <c r="DZ38" i="5"/>
  <c r="DY38" i="5"/>
  <c r="DX38" i="5"/>
  <c r="DW38" i="5"/>
  <c r="DV38" i="5"/>
  <c r="DU38" i="5"/>
  <c r="DT38" i="5"/>
  <c r="DS38" i="5"/>
  <c r="ED37" i="5"/>
  <c r="EC37" i="5"/>
  <c r="EB37" i="5"/>
  <c r="EA37" i="5"/>
  <c r="DZ37" i="5"/>
  <c r="DY37" i="5"/>
  <c r="DX37" i="5"/>
  <c r="DW37" i="5"/>
  <c r="DV37" i="5"/>
  <c r="DU37" i="5"/>
  <c r="DT37" i="5"/>
  <c r="DS37" i="5"/>
  <c r="ED36" i="5"/>
  <c r="EC36" i="5"/>
  <c r="EB36" i="5"/>
  <c r="EA36" i="5"/>
  <c r="DZ36" i="5"/>
  <c r="DY36" i="5"/>
  <c r="DX36" i="5"/>
  <c r="DW36" i="5"/>
  <c r="DV36" i="5"/>
  <c r="DU36" i="5"/>
  <c r="DT36" i="5"/>
  <c r="DS36" i="5"/>
  <c r="ED35" i="5"/>
  <c r="EC35" i="5"/>
  <c r="EB35" i="5"/>
  <c r="EA35" i="5"/>
  <c r="DZ35" i="5"/>
  <c r="DY35" i="5"/>
  <c r="DX35" i="5"/>
  <c r="DW35" i="5"/>
  <c r="DV35" i="5"/>
  <c r="DU35" i="5"/>
  <c r="DT35" i="5"/>
  <c r="DS35" i="5"/>
  <c r="ED34" i="5"/>
  <c r="EC34" i="5"/>
  <c r="EB34" i="5"/>
  <c r="EA34" i="5"/>
  <c r="DZ34" i="5"/>
  <c r="DY34" i="5"/>
  <c r="DX34" i="5"/>
  <c r="DW34" i="5"/>
  <c r="DV34" i="5"/>
  <c r="DU34" i="5"/>
  <c r="DT34" i="5"/>
  <c r="DS34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ED32" i="5"/>
  <c r="EC32" i="5"/>
  <c r="EB32" i="5"/>
  <c r="EA32" i="5"/>
  <c r="DZ32" i="5"/>
  <c r="DY32" i="5"/>
  <c r="DX32" i="5"/>
  <c r="DW32" i="5"/>
  <c r="DV32" i="5"/>
  <c r="DU32" i="5"/>
  <c r="DT32" i="5"/>
  <c r="DS32" i="5"/>
  <c r="ED31" i="5"/>
  <c r="EC31" i="5"/>
  <c r="EB31" i="5"/>
  <c r="EA31" i="5"/>
  <c r="DZ31" i="5"/>
  <c r="DY31" i="5"/>
  <c r="DX31" i="5"/>
  <c r="DW31" i="5"/>
  <c r="DV31" i="5"/>
  <c r="DU31" i="5"/>
  <c r="DT31" i="5"/>
  <c r="DS31" i="5"/>
  <c r="ED30" i="5"/>
  <c r="EC30" i="5"/>
  <c r="EB30" i="5"/>
  <c r="EA30" i="5"/>
  <c r="DZ30" i="5"/>
  <c r="DY30" i="5"/>
  <c r="DX30" i="5"/>
  <c r="DW30" i="5"/>
  <c r="DV30" i="5"/>
  <c r="DU30" i="5"/>
  <c r="DT30" i="5"/>
  <c r="DS30" i="5"/>
  <c r="ED29" i="5"/>
  <c r="EC29" i="5"/>
  <c r="EB29" i="5"/>
  <c r="EA29" i="5"/>
  <c r="DZ29" i="5"/>
  <c r="DY29" i="5"/>
  <c r="DX29" i="5"/>
  <c r="DW29" i="5"/>
  <c r="DV29" i="5"/>
  <c r="DU29" i="5"/>
  <c r="DT29" i="5"/>
  <c r="DS29" i="5"/>
  <c r="ED28" i="5"/>
  <c r="EC28" i="5"/>
  <c r="EB28" i="5"/>
  <c r="EA28" i="5"/>
  <c r="DZ28" i="5"/>
  <c r="DY28" i="5"/>
  <c r="DX28" i="5"/>
  <c r="DW28" i="5"/>
  <c r="DV28" i="5"/>
  <c r="DU28" i="5"/>
  <c r="DT28" i="5"/>
  <c r="DS28" i="5"/>
  <c r="ED27" i="5"/>
  <c r="EC27" i="5"/>
  <c r="EB27" i="5"/>
  <c r="EA27" i="5"/>
  <c r="DZ27" i="5"/>
  <c r="DY27" i="5"/>
  <c r="DX27" i="5"/>
  <c r="DW27" i="5"/>
  <c r="DV27" i="5"/>
  <c r="DU27" i="5"/>
  <c r="DT27" i="5"/>
  <c r="DS27" i="5"/>
  <c r="ED26" i="5"/>
  <c r="EC26" i="5"/>
  <c r="EB26" i="5"/>
  <c r="EA26" i="5"/>
  <c r="DZ26" i="5"/>
  <c r="DY26" i="5"/>
  <c r="DX26" i="5"/>
  <c r="DW26" i="5"/>
  <c r="DV26" i="5"/>
  <c r="DU26" i="5"/>
  <c r="DT26" i="5"/>
  <c r="DS26" i="5"/>
  <c r="ED25" i="5"/>
  <c r="EC25" i="5"/>
  <c r="EB25" i="5"/>
  <c r="EA25" i="5"/>
  <c r="EG25" i="5" s="1"/>
  <c r="DZ25" i="5"/>
  <c r="DY25" i="5"/>
  <c r="DX25" i="5"/>
  <c r="DW25" i="5"/>
  <c r="DV25" i="5"/>
  <c r="DU25" i="5"/>
  <c r="DT25" i="5"/>
  <c r="DS25" i="5"/>
  <c r="ED24" i="5"/>
  <c r="EC24" i="5"/>
  <c r="EB24" i="5"/>
  <c r="EA24" i="5"/>
  <c r="DZ24" i="5"/>
  <c r="DY24" i="5"/>
  <c r="DX24" i="5"/>
  <c r="DW24" i="5"/>
  <c r="DV24" i="5"/>
  <c r="DU24" i="5"/>
  <c r="DT24" i="5"/>
  <c r="DS24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ED22" i="5"/>
  <c r="EC22" i="5"/>
  <c r="EB22" i="5"/>
  <c r="EA22" i="5"/>
  <c r="DZ22" i="5"/>
  <c r="DY22" i="5"/>
  <c r="DX22" i="5"/>
  <c r="DW22" i="5"/>
  <c r="DV22" i="5"/>
  <c r="DU22" i="5"/>
  <c r="DT22" i="5"/>
  <c r="DS22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ED20" i="5"/>
  <c r="EC20" i="5"/>
  <c r="EB20" i="5"/>
  <c r="EA20" i="5"/>
  <c r="DZ20" i="5"/>
  <c r="DY20" i="5"/>
  <c r="DX20" i="5"/>
  <c r="DW20" i="5"/>
  <c r="DV20" i="5"/>
  <c r="DU20" i="5"/>
  <c r="DT20" i="5"/>
  <c r="DS20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ED18" i="5"/>
  <c r="EC18" i="5"/>
  <c r="EB18" i="5"/>
  <c r="EA18" i="5"/>
  <c r="DZ18" i="5"/>
  <c r="DY18" i="5"/>
  <c r="DX18" i="5"/>
  <c r="DW18" i="5"/>
  <c r="DV18" i="5"/>
  <c r="DU18" i="5"/>
  <c r="DT18" i="5"/>
  <c r="DS18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ED16" i="5"/>
  <c r="EC16" i="5"/>
  <c r="EB16" i="5"/>
  <c r="EA16" i="5"/>
  <c r="DZ16" i="5"/>
  <c r="DY16" i="5"/>
  <c r="DX16" i="5"/>
  <c r="DW16" i="5"/>
  <c r="DV16" i="5"/>
  <c r="DU16" i="5"/>
  <c r="DT16" i="5"/>
  <c r="DS16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ED14" i="5"/>
  <c r="EC14" i="5"/>
  <c r="EB14" i="5"/>
  <c r="EA14" i="5"/>
  <c r="DZ14" i="5"/>
  <c r="DY14" i="5"/>
  <c r="DX14" i="5"/>
  <c r="DW14" i="5"/>
  <c r="DV14" i="5"/>
  <c r="DU14" i="5"/>
  <c r="DT14" i="5"/>
  <c r="DS14" i="5"/>
  <c r="ED13" i="5"/>
  <c r="EC13" i="5"/>
  <c r="EB13" i="5"/>
  <c r="EA13" i="5"/>
  <c r="DZ13" i="5"/>
  <c r="DY13" i="5"/>
  <c r="DX13" i="5"/>
  <c r="DW13" i="5"/>
  <c r="DV13" i="5"/>
  <c r="DU13" i="5"/>
  <c r="DT13" i="5"/>
  <c r="DS13" i="5"/>
  <c r="ED12" i="5"/>
  <c r="EC12" i="5"/>
  <c r="EB12" i="5"/>
  <c r="EA12" i="5"/>
  <c r="DZ12" i="5"/>
  <c r="DY12" i="5"/>
  <c r="DX12" i="5"/>
  <c r="DW12" i="5"/>
  <c r="DV12" i="5"/>
  <c r="DU12" i="5"/>
  <c r="DT12" i="5"/>
  <c r="DS12" i="5"/>
  <c r="ED11" i="5"/>
  <c r="EC11" i="5"/>
  <c r="EB11" i="5"/>
  <c r="EA11" i="5"/>
  <c r="DZ11" i="5"/>
  <c r="DY11" i="5"/>
  <c r="DX11" i="5"/>
  <c r="DW11" i="5"/>
  <c r="DV11" i="5"/>
  <c r="DU11" i="5"/>
  <c r="DT11" i="5"/>
  <c r="DS11" i="5"/>
  <c r="ED10" i="5"/>
  <c r="EC10" i="5"/>
  <c r="EB10" i="5"/>
  <c r="EA10" i="5"/>
  <c r="DZ10" i="5"/>
  <c r="DY10" i="5"/>
  <c r="DX10" i="5"/>
  <c r="DW10" i="5"/>
  <c r="DV10" i="5"/>
  <c r="DU10" i="5"/>
  <c r="DT10" i="5"/>
  <c r="DS10" i="5"/>
  <c r="ED9" i="5"/>
  <c r="EC9" i="5"/>
  <c r="EB9" i="5"/>
  <c r="EA9" i="5"/>
  <c r="DZ9" i="5"/>
  <c r="DY9" i="5"/>
  <c r="DX9" i="5"/>
  <c r="DW9" i="5"/>
  <c r="DV9" i="5"/>
  <c r="DU9" i="5"/>
  <c r="DT9" i="5"/>
  <c r="DS9" i="5"/>
  <c r="ED8" i="5"/>
  <c r="EC8" i="5"/>
  <c r="EB8" i="5"/>
  <c r="EA8" i="5"/>
  <c r="DZ8" i="5"/>
  <c r="DY8" i="5"/>
  <c r="DX8" i="5"/>
  <c r="DW8" i="5"/>
  <c r="DV8" i="5"/>
  <c r="DU8" i="5"/>
  <c r="DT8" i="5"/>
  <c r="DS8" i="5"/>
  <c r="DR108" i="5"/>
  <c r="DQ108" i="5"/>
  <c r="DP108" i="5"/>
  <c r="DO108" i="5"/>
  <c r="DN108" i="5"/>
  <c r="DM108" i="5"/>
  <c r="DL108" i="5"/>
  <c r="DK108" i="5"/>
  <c r="DJ108" i="5"/>
  <c r="DI108" i="5"/>
  <c r="DR107" i="5"/>
  <c r="DQ107" i="5"/>
  <c r="DP107" i="5"/>
  <c r="DO107" i="5"/>
  <c r="DN107" i="5"/>
  <c r="DM107" i="5"/>
  <c r="DL107" i="5"/>
  <c r="DK107" i="5"/>
  <c r="DJ107" i="5"/>
  <c r="DI107" i="5"/>
  <c r="DR106" i="5"/>
  <c r="DQ106" i="5"/>
  <c r="DP106" i="5"/>
  <c r="DO106" i="5"/>
  <c r="DN106" i="5"/>
  <c r="DM106" i="5"/>
  <c r="DL106" i="5"/>
  <c r="DK106" i="5"/>
  <c r="DJ106" i="5"/>
  <c r="DI106" i="5"/>
  <c r="DR105" i="5"/>
  <c r="DQ105" i="5"/>
  <c r="DP105" i="5"/>
  <c r="DO105" i="5"/>
  <c r="DN105" i="5"/>
  <c r="DM105" i="5"/>
  <c r="DL105" i="5"/>
  <c r="DK105" i="5"/>
  <c r="DJ105" i="5"/>
  <c r="DI105" i="5"/>
  <c r="DR8" i="5"/>
  <c r="DQ8" i="5"/>
  <c r="DP8" i="5"/>
  <c r="DO8" i="5"/>
  <c r="DN8" i="5"/>
  <c r="DM8" i="5"/>
  <c r="DL8" i="5"/>
  <c r="DK8" i="5"/>
  <c r="DJ8" i="5"/>
  <c r="DI8" i="5"/>
  <c r="DH108" i="5"/>
  <c r="DG108" i="5"/>
  <c r="DF108" i="5"/>
  <c r="DE108" i="5"/>
  <c r="DD108" i="5"/>
  <c r="DC108" i="5"/>
  <c r="DB108" i="5"/>
  <c r="DA108" i="5"/>
  <c r="CZ108" i="5"/>
  <c r="CY108" i="5"/>
  <c r="DH107" i="5"/>
  <c r="DG107" i="5"/>
  <c r="DF107" i="5"/>
  <c r="DE107" i="5"/>
  <c r="DD107" i="5"/>
  <c r="DC107" i="5"/>
  <c r="DB107" i="5"/>
  <c r="DA107" i="5"/>
  <c r="CZ107" i="5"/>
  <c r="CY107" i="5"/>
  <c r="DH106" i="5"/>
  <c r="DG106" i="5"/>
  <c r="DF106" i="5"/>
  <c r="DE106" i="5"/>
  <c r="DD106" i="5"/>
  <c r="DC106" i="5"/>
  <c r="DB106" i="5"/>
  <c r="DA106" i="5"/>
  <c r="CZ106" i="5"/>
  <c r="CY106" i="5"/>
  <c r="DH105" i="5"/>
  <c r="DG105" i="5"/>
  <c r="DF105" i="5"/>
  <c r="DE105" i="5"/>
  <c r="DD105" i="5"/>
  <c r="DC105" i="5"/>
  <c r="DB105" i="5"/>
  <c r="DA105" i="5"/>
  <c r="CZ105" i="5"/>
  <c r="CY105" i="5"/>
  <c r="DH8" i="5"/>
  <c r="DG8" i="5"/>
  <c r="DF8" i="5"/>
  <c r="DE8" i="5"/>
  <c r="DD8" i="5"/>
  <c r="DC8" i="5"/>
  <c r="DB8" i="5"/>
  <c r="DA8" i="5"/>
  <c r="CZ8" i="5"/>
  <c r="CY8" i="5"/>
  <c r="DI7" i="5"/>
  <c r="CY7" i="5"/>
  <c r="ED104" i="4"/>
  <c r="EC104" i="4"/>
  <c r="EB104" i="4"/>
  <c r="EA104" i="4"/>
  <c r="DZ104" i="4"/>
  <c r="DY104" i="4"/>
  <c r="DX104" i="4"/>
  <c r="DW104" i="4"/>
  <c r="DV104" i="4"/>
  <c r="DU104" i="4"/>
  <c r="DT104" i="4"/>
  <c r="DS104" i="4"/>
  <c r="ED103" i="4"/>
  <c r="EC103" i="4"/>
  <c r="EB103" i="4"/>
  <c r="EA103" i="4"/>
  <c r="DZ103" i="4"/>
  <c r="DY103" i="4"/>
  <c r="DX103" i="4"/>
  <c r="DW103" i="4"/>
  <c r="DV103" i="4"/>
  <c r="DU103" i="4"/>
  <c r="DT103" i="4"/>
  <c r="DS103" i="4"/>
  <c r="ED102" i="4"/>
  <c r="EC102" i="4"/>
  <c r="EB102" i="4"/>
  <c r="EA102" i="4"/>
  <c r="DZ102" i="4"/>
  <c r="DY102" i="4"/>
  <c r="DX102" i="4"/>
  <c r="DW102" i="4"/>
  <c r="DV102" i="4"/>
  <c r="DU102" i="4"/>
  <c r="DT102" i="4"/>
  <c r="DS102" i="4"/>
  <c r="ED101" i="4"/>
  <c r="EC101" i="4"/>
  <c r="EB101" i="4"/>
  <c r="EA101" i="4"/>
  <c r="DZ101" i="4"/>
  <c r="DY101" i="4"/>
  <c r="DX101" i="4"/>
  <c r="DW101" i="4"/>
  <c r="DV101" i="4"/>
  <c r="DU101" i="4"/>
  <c r="DT101" i="4"/>
  <c r="DS101" i="4"/>
  <c r="ED100" i="4"/>
  <c r="EC100" i="4"/>
  <c r="EB100" i="4"/>
  <c r="EA100" i="4"/>
  <c r="DZ100" i="4"/>
  <c r="DY100" i="4"/>
  <c r="DX100" i="4"/>
  <c r="DW100" i="4"/>
  <c r="DV100" i="4"/>
  <c r="DU100" i="4"/>
  <c r="DT100" i="4"/>
  <c r="DS100" i="4"/>
  <c r="ED99" i="4"/>
  <c r="EC99" i="4"/>
  <c r="EB99" i="4"/>
  <c r="EA99" i="4"/>
  <c r="DZ99" i="4"/>
  <c r="DY99" i="4"/>
  <c r="DX99" i="4"/>
  <c r="DW99" i="4"/>
  <c r="DV99" i="4"/>
  <c r="DU99" i="4"/>
  <c r="DT99" i="4"/>
  <c r="DS99" i="4"/>
  <c r="ED98" i="4"/>
  <c r="EC98" i="4"/>
  <c r="EB98" i="4"/>
  <c r="EA98" i="4"/>
  <c r="DZ98" i="4"/>
  <c r="DY98" i="4"/>
  <c r="DX98" i="4"/>
  <c r="DW98" i="4"/>
  <c r="DV98" i="4"/>
  <c r="DU98" i="4"/>
  <c r="DT98" i="4"/>
  <c r="DS98" i="4"/>
  <c r="ED97" i="4"/>
  <c r="EC97" i="4"/>
  <c r="EB97" i="4"/>
  <c r="EA97" i="4"/>
  <c r="DZ97" i="4"/>
  <c r="DY97" i="4"/>
  <c r="DX97" i="4"/>
  <c r="DW97" i="4"/>
  <c r="DV97" i="4"/>
  <c r="DU97" i="4"/>
  <c r="DT97" i="4"/>
  <c r="DS97" i="4"/>
  <c r="ED96" i="4"/>
  <c r="EC96" i="4"/>
  <c r="EB96" i="4"/>
  <c r="EA96" i="4"/>
  <c r="DZ96" i="4"/>
  <c r="DY96" i="4"/>
  <c r="DX96" i="4"/>
  <c r="DW96" i="4"/>
  <c r="DV96" i="4"/>
  <c r="DU96" i="4"/>
  <c r="DT96" i="4"/>
  <c r="DS96" i="4"/>
  <c r="ED95" i="4"/>
  <c r="EC95" i="4"/>
  <c r="EB95" i="4"/>
  <c r="EA95" i="4"/>
  <c r="DZ95" i="4"/>
  <c r="DY95" i="4"/>
  <c r="DX95" i="4"/>
  <c r="DW95" i="4"/>
  <c r="DV95" i="4"/>
  <c r="DU95" i="4"/>
  <c r="DT95" i="4"/>
  <c r="DS95" i="4"/>
  <c r="ED94" i="4"/>
  <c r="EC94" i="4"/>
  <c r="EB94" i="4"/>
  <c r="EA94" i="4"/>
  <c r="DZ94" i="4"/>
  <c r="DY94" i="4"/>
  <c r="DX94" i="4"/>
  <c r="DW94" i="4"/>
  <c r="DV94" i="4"/>
  <c r="DU94" i="4"/>
  <c r="DT94" i="4"/>
  <c r="DS94" i="4"/>
  <c r="ED93" i="4"/>
  <c r="EC93" i="4"/>
  <c r="EB93" i="4"/>
  <c r="EA93" i="4"/>
  <c r="DZ93" i="4"/>
  <c r="DY93" i="4"/>
  <c r="DX93" i="4"/>
  <c r="DW93" i="4"/>
  <c r="DV93" i="4"/>
  <c r="DU93" i="4"/>
  <c r="DT93" i="4"/>
  <c r="DS93" i="4"/>
  <c r="ED92" i="4"/>
  <c r="EC92" i="4"/>
  <c r="EB92" i="4"/>
  <c r="EA92" i="4"/>
  <c r="DZ92" i="4"/>
  <c r="DY92" i="4"/>
  <c r="DX92" i="4"/>
  <c r="DW92" i="4"/>
  <c r="DV92" i="4"/>
  <c r="DU92" i="4"/>
  <c r="DT92" i="4"/>
  <c r="DS92" i="4"/>
  <c r="ED91" i="4"/>
  <c r="EC91" i="4"/>
  <c r="EB91" i="4"/>
  <c r="EA91" i="4"/>
  <c r="EG91" i="4" s="1"/>
  <c r="DZ91" i="4"/>
  <c r="DY91" i="4"/>
  <c r="DX91" i="4"/>
  <c r="DW91" i="4"/>
  <c r="DV91" i="4"/>
  <c r="DU91" i="4"/>
  <c r="DT91" i="4"/>
  <c r="DS91" i="4"/>
  <c r="ED90" i="4"/>
  <c r="EC90" i="4"/>
  <c r="EB90" i="4"/>
  <c r="EA90" i="4"/>
  <c r="DZ90" i="4"/>
  <c r="DY90" i="4"/>
  <c r="DX90" i="4"/>
  <c r="DW90" i="4"/>
  <c r="DV90" i="4"/>
  <c r="DU90" i="4"/>
  <c r="DT90" i="4"/>
  <c r="DS90" i="4"/>
  <c r="ED89" i="4"/>
  <c r="EC89" i="4"/>
  <c r="EB89" i="4"/>
  <c r="EA89" i="4"/>
  <c r="DZ89" i="4"/>
  <c r="DY89" i="4"/>
  <c r="DX89" i="4"/>
  <c r="DW89" i="4"/>
  <c r="DV89" i="4"/>
  <c r="DU89" i="4"/>
  <c r="DT89" i="4"/>
  <c r="DS89" i="4"/>
  <c r="ED88" i="4"/>
  <c r="EC88" i="4"/>
  <c r="EB88" i="4"/>
  <c r="EA88" i="4"/>
  <c r="DZ88" i="4"/>
  <c r="DY88" i="4"/>
  <c r="DX88" i="4"/>
  <c r="DW88" i="4"/>
  <c r="DV88" i="4"/>
  <c r="DU88" i="4"/>
  <c r="DT88" i="4"/>
  <c r="DS88" i="4"/>
  <c r="ED87" i="4"/>
  <c r="EC87" i="4"/>
  <c r="EB87" i="4"/>
  <c r="EA87" i="4"/>
  <c r="DZ87" i="4"/>
  <c r="DY87" i="4"/>
  <c r="DX87" i="4"/>
  <c r="DW87" i="4"/>
  <c r="DV87" i="4"/>
  <c r="DU87" i="4"/>
  <c r="DT87" i="4"/>
  <c r="DS87" i="4"/>
  <c r="ED86" i="4"/>
  <c r="EC86" i="4"/>
  <c r="EB86" i="4"/>
  <c r="EA86" i="4"/>
  <c r="DZ86" i="4"/>
  <c r="DY86" i="4"/>
  <c r="DX86" i="4"/>
  <c r="DW86" i="4"/>
  <c r="DV86" i="4"/>
  <c r="DU86" i="4"/>
  <c r="DT86" i="4"/>
  <c r="DS86" i="4"/>
  <c r="ED85" i="4"/>
  <c r="EC85" i="4"/>
  <c r="EB85" i="4"/>
  <c r="EA85" i="4"/>
  <c r="DZ85" i="4"/>
  <c r="DY85" i="4"/>
  <c r="DX85" i="4"/>
  <c r="DW85" i="4"/>
  <c r="DV85" i="4"/>
  <c r="DU85" i="4"/>
  <c r="DT85" i="4"/>
  <c r="DS85" i="4"/>
  <c r="ED84" i="4"/>
  <c r="EC84" i="4"/>
  <c r="EB84" i="4"/>
  <c r="EA84" i="4"/>
  <c r="DZ84" i="4"/>
  <c r="DY84" i="4"/>
  <c r="DX84" i="4"/>
  <c r="DW84" i="4"/>
  <c r="DV84" i="4"/>
  <c r="DU84" i="4"/>
  <c r="DT84" i="4"/>
  <c r="DS84" i="4"/>
  <c r="ED83" i="4"/>
  <c r="EC83" i="4"/>
  <c r="EB83" i="4"/>
  <c r="EA83" i="4"/>
  <c r="DZ83" i="4"/>
  <c r="DY83" i="4"/>
  <c r="DX83" i="4"/>
  <c r="DW83" i="4"/>
  <c r="DV83" i="4"/>
  <c r="DU83" i="4"/>
  <c r="DT83" i="4"/>
  <c r="DS83" i="4"/>
  <c r="ED82" i="4"/>
  <c r="EC82" i="4"/>
  <c r="EB82" i="4"/>
  <c r="EA82" i="4"/>
  <c r="DZ82" i="4"/>
  <c r="DY82" i="4"/>
  <c r="DX82" i="4"/>
  <c r="DW82" i="4"/>
  <c r="DV82" i="4"/>
  <c r="DU82" i="4"/>
  <c r="DT82" i="4"/>
  <c r="DS82" i="4"/>
  <c r="ED81" i="4"/>
  <c r="EC81" i="4"/>
  <c r="EB81" i="4"/>
  <c r="EA81" i="4"/>
  <c r="DZ81" i="4"/>
  <c r="DY81" i="4"/>
  <c r="DX81" i="4"/>
  <c r="DW81" i="4"/>
  <c r="DV81" i="4"/>
  <c r="DU81" i="4"/>
  <c r="DT81" i="4"/>
  <c r="DS81" i="4"/>
  <c r="ED80" i="4"/>
  <c r="EC80" i="4"/>
  <c r="EB80" i="4"/>
  <c r="EA80" i="4"/>
  <c r="DZ80" i="4"/>
  <c r="DY80" i="4"/>
  <c r="DX80" i="4"/>
  <c r="DW80" i="4"/>
  <c r="DV80" i="4"/>
  <c r="DU80" i="4"/>
  <c r="DT80" i="4"/>
  <c r="DS80" i="4"/>
  <c r="ED79" i="4"/>
  <c r="EC79" i="4"/>
  <c r="EB79" i="4"/>
  <c r="EA79" i="4"/>
  <c r="DZ79" i="4"/>
  <c r="DY79" i="4"/>
  <c r="DX79" i="4"/>
  <c r="DW79" i="4"/>
  <c r="DV79" i="4"/>
  <c r="DU79" i="4"/>
  <c r="DT79" i="4"/>
  <c r="DS79" i="4"/>
  <c r="ED78" i="4"/>
  <c r="EC78" i="4"/>
  <c r="EB78" i="4"/>
  <c r="EA78" i="4"/>
  <c r="DZ78" i="4"/>
  <c r="DY78" i="4"/>
  <c r="DX78" i="4"/>
  <c r="DW78" i="4"/>
  <c r="DV78" i="4"/>
  <c r="DU78" i="4"/>
  <c r="DT78" i="4"/>
  <c r="DS78" i="4"/>
  <c r="ED77" i="4"/>
  <c r="EC77" i="4"/>
  <c r="EB77" i="4"/>
  <c r="EA77" i="4"/>
  <c r="DZ77" i="4"/>
  <c r="DY77" i="4"/>
  <c r="DX77" i="4"/>
  <c r="DW77" i="4"/>
  <c r="DV77" i="4"/>
  <c r="DU77" i="4"/>
  <c r="DT77" i="4"/>
  <c r="DS77" i="4"/>
  <c r="ED76" i="4"/>
  <c r="EC76" i="4"/>
  <c r="EB76" i="4"/>
  <c r="EA76" i="4"/>
  <c r="DZ76" i="4"/>
  <c r="DY76" i="4"/>
  <c r="DX76" i="4"/>
  <c r="DW76" i="4"/>
  <c r="DV76" i="4"/>
  <c r="DU76" i="4"/>
  <c r="DT76" i="4"/>
  <c r="DS76" i="4"/>
  <c r="ED75" i="4"/>
  <c r="EC75" i="4"/>
  <c r="EB75" i="4"/>
  <c r="EA75" i="4"/>
  <c r="DZ75" i="4"/>
  <c r="DY75" i="4"/>
  <c r="DX75" i="4"/>
  <c r="DW75" i="4"/>
  <c r="DV75" i="4"/>
  <c r="DU75" i="4"/>
  <c r="DT75" i="4"/>
  <c r="DS75" i="4"/>
  <c r="ED74" i="4"/>
  <c r="EC74" i="4"/>
  <c r="EB74" i="4"/>
  <c r="EA74" i="4"/>
  <c r="DZ74" i="4"/>
  <c r="DY74" i="4"/>
  <c r="DX74" i="4"/>
  <c r="DW74" i="4"/>
  <c r="DV74" i="4"/>
  <c r="DU74" i="4"/>
  <c r="DT74" i="4"/>
  <c r="DS74" i="4"/>
  <c r="ED73" i="4"/>
  <c r="EC73" i="4"/>
  <c r="EB73" i="4"/>
  <c r="EA73" i="4"/>
  <c r="DZ73" i="4"/>
  <c r="DY73" i="4"/>
  <c r="DX73" i="4"/>
  <c r="DW73" i="4"/>
  <c r="DV73" i="4"/>
  <c r="DU73" i="4"/>
  <c r="DT73" i="4"/>
  <c r="DS73" i="4"/>
  <c r="ED72" i="4"/>
  <c r="EC72" i="4"/>
  <c r="EB72" i="4"/>
  <c r="EA72" i="4"/>
  <c r="DZ72" i="4"/>
  <c r="DY72" i="4"/>
  <c r="DX72" i="4"/>
  <c r="DW72" i="4"/>
  <c r="DV72" i="4"/>
  <c r="DU72" i="4"/>
  <c r="DT72" i="4"/>
  <c r="DS72" i="4"/>
  <c r="ED71" i="4"/>
  <c r="EC71" i="4"/>
  <c r="EB71" i="4"/>
  <c r="EA71" i="4"/>
  <c r="DZ71" i="4"/>
  <c r="DY71" i="4"/>
  <c r="DX71" i="4"/>
  <c r="DW71" i="4"/>
  <c r="DV71" i="4"/>
  <c r="DU71" i="4"/>
  <c r="DT71" i="4"/>
  <c r="DS71" i="4"/>
  <c r="ED70" i="4"/>
  <c r="EC70" i="4"/>
  <c r="EB70" i="4"/>
  <c r="EA70" i="4"/>
  <c r="DZ70" i="4"/>
  <c r="DY70" i="4"/>
  <c r="DX70" i="4"/>
  <c r="DW70" i="4"/>
  <c r="DV70" i="4"/>
  <c r="DU70" i="4"/>
  <c r="DT70" i="4"/>
  <c r="DS70" i="4"/>
  <c r="ED69" i="4"/>
  <c r="EC69" i="4"/>
  <c r="EB69" i="4"/>
  <c r="EA69" i="4"/>
  <c r="DZ69" i="4"/>
  <c r="DY69" i="4"/>
  <c r="DX69" i="4"/>
  <c r="DW69" i="4"/>
  <c r="DV69" i="4"/>
  <c r="DU69" i="4"/>
  <c r="DT69" i="4"/>
  <c r="DS69" i="4"/>
  <c r="ED68" i="4"/>
  <c r="EC68" i="4"/>
  <c r="EB68" i="4"/>
  <c r="EA68" i="4"/>
  <c r="DZ68" i="4"/>
  <c r="DY68" i="4"/>
  <c r="DX68" i="4"/>
  <c r="DW68" i="4"/>
  <c r="DV68" i="4"/>
  <c r="DU68" i="4"/>
  <c r="DT68" i="4"/>
  <c r="DS68" i="4"/>
  <c r="ED67" i="4"/>
  <c r="EC67" i="4"/>
  <c r="EB67" i="4"/>
  <c r="EA67" i="4"/>
  <c r="DZ67" i="4"/>
  <c r="DY67" i="4"/>
  <c r="DX67" i="4"/>
  <c r="DW67" i="4"/>
  <c r="DV67" i="4"/>
  <c r="DU67" i="4"/>
  <c r="DT67" i="4"/>
  <c r="DS67" i="4"/>
  <c r="ED66" i="4"/>
  <c r="EC66" i="4"/>
  <c r="EB66" i="4"/>
  <c r="EA66" i="4"/>
  <c r="DZ66" i="4"/>
  <c r="DY66" i="4"/>
  <c r="DX66" i="4"/>
  <c r="DW66" i="4"/>
  <c r="DV66" i="4"/>
  <c r="DU66" i="4"/>
  <c r="DT66" i="4"/>
  <c r="DS66" i="4"/>
  <c r="ED65" i="4"/>
  <c r="EC65" i="4"/>
  <c r="EB65" i="4"/>
  <c r="EA65" i="4"/>
  <c r="DZ65" i="4"/>
  <c r="DY65" i="4"/>
  <c r="DX65" i="4"/>
  <c r="DW65" i="4"/>
  <c r="DV65" i="4"/>
  <c r="DU65" i="4"/>
  <c r="DT65" i="4"/>
  <c r="DS65" i="4"/>
  <c r="ED64" i="4"/>
  <c r="EC64" i="4"/>
  <c r="EB64" i="4"/>
  <c r="EA64" i="4"/>
  <c r="DZ64" i="4"/>
  <c r="DY64" i="4"/>
  <c r="DX64" i="4"/>
  <c r="DW64" i="4"/>
  <c r="DV64" i="4"/>
  <c r="DU64" i="4"/>
  <c r="DT64" i="4"/>
  <c r="DS64" i="4"/>
  <c r="ED63" i="4"/>
  <c r="EC63" i="4"/>
  <c r="EB63" i="4"/>
  <c r="EA63" i="4"/>
  <c r="DZ63" i="4"/>
  <c r="DY63" i="4"/>
  <c r="DX63" i="4"/>
  <c r="DW63" i="4"/>
  <c r="DV63" i="4"/>
  <c r="DU63" i="4"/>
  <c r="DT63" i="4"/>
  <c r="DS63" i="4"/>
  <c r="ED62" i="4"/>
  <c r="EC62" i="4"/>
  <c r="EB62" i="4"/>
  <c r="EA62" i="4"/>
  <c r="DZ62" i="4"/>
  <c r="DY62" i="4"/>
  <c r="DX62" i="4"/>
  <c r="DW62" i="4"/>
  <c r="DV62" i="4"/>
  <c r="DU62" i="4"/>
  <c r="DT62" i="4"/>
  <c r="DS62" i="4"/>
  <c r="ED61" i="4"/>
  <c r="EC61" i="4"/>
  <c r="EB61" i="4"/>
  <c r="EA61" i="4"/>
  <c r="DZ61" i="4"/>
  <c r="DY61" i="4"/>
  <c r="DX61" i="4"/>
  <c r="DW61" i="4"/>
  <c r="DV61" i="4"/>
  <c r="DU61" i="4"/>
  <c r="DT61" i="4"/>
  <c r="DS61" i="4"/>
  <c r="ED60" i="4"/>
  <c r="EC60" i="4"/>
  <c r="EB60" i="4"/>
  <c r="EA60" i="4"/>
  <c r="DZ60" i="4"/>
  <c r="DY60" i="4"/>
  <c r="DX60" i="4"/>
  <c r="DW60" i="4"/>
  <c r="DV60" i="4"/>
  <c r="DU60" i="4"/>
  <c r="DT60" i="4"/>
  <c r="DS60" i="4"/>
  <c r="ED59" i="4"/>
  <c r="EC59" i="4"/>
  <c r="EB59" i="4"/>
  <c r="EA59" i="4"/>
  <c r="DZ59" i="4"/>
  <c r="DY59" i="4"/>
  <c r="DX59" i="4"/>
  <c r="DW59" i="4"/>
  <c r="DV59" i="4"/>
  <c r="DU59" i="4"/>
  <c r="DT59" i="4"/>
  <c r="DS59" i="4"/>
  <c r="ED58" i="4"/>
  <c r="EC58" i="4"/>
  <c r="EB58" i="4"/>
  <c r="EA58" i="4"/>
  <c r="DZ58" i="4"/>
  <c r="DY58" i="4"/>
  <c r="DX58" i="4"/>
  <c r="DW58" i="4"/>
  <c r="DV58" i="4"/>
  <c r="DU58" i="4"/>
  <c r="DT58" i="4"/>
  <c r="DS58" i="4"/>
  <c r="ED57" i="4"/>
  <c r="EC57" i="4"/>
  <c r="EB57" i="4"/>
  <c r="EA57" i="4"/>
  <c r="DZ57" i="4"/>
  <c r="DY57" i="4"/>
  <c r="DX57" i="4"/>
  <c r="DW57" i="4"/>
  <c r="DV57" i="4"/>
  <c r="DU57" i="4"/>
  <c r="DT57" i="4"/>
  <c r="DS57" i="4"/>
  <c r="ED56" i="4"/>
  <c r="EC56" i="4"/>
  <c r="EB56" i="4"/>
  <c r="EA56" i="4"/>
  <c r="DZ56" i="4"/>
  <c r="DY56" i="4"/>
  <c r="DX56" i="4"/>
  <c r="DW56" i="4"/>
  <c r="DV56" i="4"/>
  <c r="DU56" i="4"/>
  <c r="DT56" i="4"/>
  <c r="DS56" i="4"/>
  <c r="ED55" i="4"/>
  <c r="EC55" i="4"/>
  <c r="EB55" i="4"/>
  <c r="EA55" i="4"/>
  <c r="DZ55" i="4"/>
  <c r="DY55" i="4"/>
  <c r="DX55" i="4"/>
  <c r="DW55" i="4"/>
  <c r="DV55" i="4"/>
  <c r="DU55" i="4"/>
  <c r="DT55" i="4"/>
  <c r="DS55" i="4"/>
  <c r="ED54" i="4"/>
  <c r="EC54" i="4"/>
  <c r="EB54" i="4"/>
  <c r="EA54" i="4"/>
  <c r="DZ54" i="4"/>
  <c r="DY54" i="4"/>
  <c r="DX54" i="4"/>
  <c r="DW54" i="4"/>
  <c r="DV54" i="4"/>
  <c r="DU54" i="4"/>
  <c r="DT54" i="4"/>
  <c r="DS54" i="4"/>
  <c r="ED53" i="4"/>
  <c r="EC53" i="4"/>
  <c r="EB53" i="4"/>
  <c r="EA53" i="4"/>
  <c r="DZ53" i="4"/>
  <c r="DY53" i="4"/>
  <c r="DX53" i="4"/>
  <c r="DW53" i="4"/>
  <c r="DV53" i="4"/>
  <c r="DU53" i="4"/>
  <c r="DT53" i="4"/>
  <c r="DS53" i="4"/>
  <c r="ED52" i="4"/>
  <c r="EC52" i="4"/>
  <c r="EB52" i="4"/>
  <c r="EA52" i="4"/>
  <c r="DZ52" i="4"/>
  <c r="DY52" i="4"/>
  <c r="DX52" i="4"/>
  <c r="DW52" i="4"/>
  <c r="DV52" i="4"/>
  <c r="DU52" i="4"/>
  <c r="DT52" i="4"/>
  <c r="DS52" i="4"/>
  <c r="ED51" i="4"/>
  <c r="EC51" i="4"/>
  <c r="EB51" i="4"/>
  <c r="EA51" i="4"/>
  <c r="DZ51" i="4"/>
  <c r="DY51" i="4"/>
  <c r="DX51" i="4"/>
  <c r="DW51" i="4"/>
  <c r="DV51" i="4"/>
  <c r="DU51" i="4"/>
  <c r="DT51" i="4"/>
  <c r="DS51" i="4"/>
  <c r="ED50" i="4"/>
  <c r="EC50" i="4"/>
  <c r="EB50" i="4"/>
  <c r="EA50" i="4"/>
  <c r="DZ50" i="4"/>
  <c r="DY50" i="4"/>
  <c r="DX50" i="4"/>
  <c r="DW50" i="4"/>
  <c r="DV50" i="4"/>
  <c r="DU50" i="4"/>
  <c r="DT50" i="4"/>
  <c r="DS50" i="4"/>
  <c r="ED49" i="4"/>
  <c r="EC49" i="4"/>
  <c r="EB49" i="4"/>
  <c r="EA49" i="4"/>
  <c r="DZ49" i="4"/>
  <c r="DY49" i="4"/>
  <c r="DX49" i="4"/>
  <c r="DW49" i="4"/>
  <c r="DV49" i="4"/>
  <c r="DU49" i="4"/>
  <c r="DT49" i="4"/>
  <c r="DS49" i="4"/>
  <c r="ED48" i="4"/>
  <c r="EC48" i="4"/>
  <c r="EB48" i="4"/>
  <c r="EA48" i="4"/>
  <c r="DZ48" i="4"/>
  <c r="DY48" i="4"/>
  <c r="DX48" i="4"/>
  <c r="DW48" i="4"/>
  <c r="DV48" i="4"/>
  <c r="DU48" i="4"/>
  <c r="DT48" i="4"/>
  <c r="DS48" i="4"/>
  <c r="ED47" i="4"/>
  <c r="EC47" i="4"/>
  <c r="EB47" i="4"/>
  <c r="EA47" i="4"/>
  <c r="DZ47" i="4"/>
  <c r="DY47" i="4"/>
  <c r="DX47" i="4"/>
  <c r="DW47" i="4"/>
  <c r="DV47" i="4"/>
  <c r="DU47" i="4"/>
  <c r="DT47" i="4"/>
  <c r="DS47" i="4"/>
  <c r="ED46" i="4"/>
  <c r="EC46" i="4"/>
  <c r="EB46" i="4"/>
  <c r="EA46" i="4"/>
  <c r="DZ46" i="4"/>
  <c r="DY46" i="4"/>
  <c r="DX46" i="4"/>
  <c r="DW46" i="4"/>
  <c r="DV46" i="4"/>
  <c r="DU46" i="4"/>
  <c r="DT46" i="4"/>
  <c r="DS46" i="4"/>
  <c r="ED45" i="4"/>
  <c r="EC45" i="4"/>
  <c r="EB45" i="4"/>
  <c r="EA45" i="4"/>
  <c r="DZ45" i="4"/>
  <c r="DY45" i="4"/>
  <c r="DX45" i="4"/>
  <c r="DW45" i="4"/>
  <c r="DV45" i="4"/>
  <c r="DU45" i="4"/>
  <c r="DT45" i="4"/>
  <c r="DS45" i="4"/>
  <c r="ED44" i="4"/>
  <c r="EC44" i="4"/>
  <c r="EB44" i="4"/>
  <c r="EA44" i="4"/>
  <c r="DZ44" i="4"/>
  <c r="DY44" i="4"/>
  <c r="DX44" i="4"/>
  <c r="DW44" i="4"/>
  <c r="DV44" i="4"/>
  <c r="DU44" i="4"/>
  <c r="DT44" i="4"/>
  <c r="DS44" i="4"/>
  <c r="ED43" i="4"/>
  <c r="EC43" i="4"/>
  <c r="EB43" i="4"/>
  <c r="EA43" i="4"/>
  <c r="DZ43" i="4"/>
  <c r="DY43" i="4"/>
  <c r="DX43" i="4"/>
  <c r="DW43" i="4"/>
  <c r="DV43" i="4"/>
  <c r="DU43" i="4"/>
  <c r="DT43" i="4"/>
  <c r="DS43" i="4"/>
  <c r="ED42" i="4"/>
  <c r="EC42" i="4"/>
  <c r="EB42" i="4"/>
  <c r="EA42" i="4"/>
  <c r="DZ42" i="4"/>
  <c r="DY42" i="4"/>
  <c r="DX42" i="4"/>
  <c r="DW42" i="4"/>
  <c r="DV42" i="4"/>
  <c r="DU42" i="4"/>
  <c r="DT42" i="4"/>
  <c r="DS42" i="4"/>
  <c r="ED41" i="4"/>
  <c r="EC41" i="4"/>
  <c r="EB41" i="4"/>
  <c r="EA41" i="4"/>
  <c r="DZ41" i="4"/>
  <c r="DY41" i="4"/>
  <c r="DX41" i="4"/>
  <c r="DW41" i="4"/>
  <c r="DV41" i="4"/>
  <c r="DU41" i="4"/>
  <c r="DT41" i="4"/>
  <c r="DS41" i="4"/>
  <c r="ED40" i="4"/>
  <c r="EC40" i="4"/>
  <c r="EB40" i="4"/>
  <c r="EA40" i="4"/>
  <c r="DZ40" i="4"/>
  <c r="DY40" i="4"/>
  <c r="DX40" i="4"/>
  <c r="DW40" i="4"/>
  <c r="DV40" i="4"/>
  <c r="DU40" i="4"/>
  <c r="DT40" i="4"/>
  <c r="DS40" i="4"/>
  <c r="ED39" i="4"/>
  <c r="EC39" i="4"/>
  <c r="EB39" i="4"/>
  <c r="EA39" i="4"/>
  <c r="DZ39" i="4"/>
  <c r="DY39" i="4"/>
  <c r="DX39" i="4"/>
  <c r="DW39" i="4"/>
  <c r="DV39" i="4"/>
  <c r="DU39" i="4"/>
  <c r="DT39" i="4"/>
  <c r="DS39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ED37" i="4"/>
  <c r="EC37" i="4"/>
  <c r="EB37" i="4"/>
  <c r="EA37" i="4"/>
  <c r="DZ37" i="4"/>
  <c r="DY37" i="4"/>
  <c r="DX37" i="4"/>
  <c r="DW37" i="4"/>
  <c r="DV37" i="4"/>
  <c r="DU37" i="4"/>
  <c r="DT37" i="4"/>
  <c r="DS37" i="4"/>
  <c r="ED36" i="4"/>
  <c r="EC36" i="4"/>
  <c r="EB36" i="4"/>
  <c r="EA36" i="4"/>
  <c r="DZ36" i="4"/>
  <c r="DY36" i="4"/>
  <c r="DX36" i="4"/>
  <c r="DW36" i="4"/>
  <c r="DV36" i="4"/>
  <c r="DU36" i="4"/>
  <c r="DT36" i="4"/>
  <c r="DS36" i="4"/>
  <c r="ED35" i="4"/>
  <c r="EC35" i="4"/>
  <c r="EB35" i="4"/>
  <c r="EA35" i="4"/>
  <c r="DZ35" i="4"/>
  <c r="DY35" i="4"/>
  <c r="DX35" i="4"/>
  <c r="DW35" i="4"/>
  <c r="DV35" i="4"/>
  <c r="DU35" i="4"/>
  <c r="DT35" i="4"/>
  <c r="DS35" i="4"/>
  <c r="ED34" i="4"/>
  <c r="EC34" i="4"/>
  <c r="EB34" i="4"/>
  <c r="EA34" i="4"/>
  <c r="DZ34" i="4"/>
  <c r="DY34" i="4"/>
  <c r="DX34" i="4"/>
  <c r="DW34" i="4"/>
  <c r="DV34" i="4"/>
  <c r="DU34" i="4"/>
  <c r="DT34" i="4"/>
  <c r="DS34" i="4"/>
  <c r="ED33" i="4"/>
  <c r="EC33" i="4"/>
  <c r="EB33" i="4"/>
  <c r="EA33" i="4"/>
  <c r="DZ33" i="4"/>
  <c r="DY33" i="4"/>
  <c r="DX33" i="4"/>
  <c r="DW33" i="4"/>
  <c r="DV33" i="4"/>
  <c r="DU33" i="4"/>
  <c r="DT33" i="4"/>
  <c r="DS33" i="4"/>
  <c r="ED32" i="4"/>
  <c r="EC32" i="4"/>
  <c r="EB32" i="4"/>
  <c r="EA32" i="4"/>
  <c r="DZ32" i="4"/>
  <c r="DY32" i="4"/>
  <c r="DX32" i="4"/>
  <c r="DW32" i="4"/>
  <c r="DV32" i="4"/>
  <c r="DU32" i="4"/>
  <c r="DT32" i="4"/>
  <c r="DS32" i="4"/>
  <c r="ED31" i="4"/>
  <c r="EC31" i="4"/>
  <c r="EB31" i="4"/>
  <c r="EA31" i="4"/>
  <c r="DZ31" i="4"/>
  <c r="DY31" i="4"/>
  <c r="DX31" i="4"/>
  <c r="DW31" i="4"/>
  <c r="DV31" i="4"/>
  <c r="DU31" i="4"/>
  <c r="DT31" i="4"/>
  <c r="DS31" i="4"/>
  <c r="ED30" i="4"/>
  <c r="EC30" i="4"/>
  <c r="EB30" i="4"/>
  <c r="EA30" i="4"/>
  <c r="DZ30" i="4"/>
  <c r="DY30" i="4"/>
  <c r="DX30" i="4"/>
  <c r="DW30" i="4"/>
  <c r="DV30" i="4"/>
  <c r="DU30" i="4"/>
  <c r="DT30" i="4"/>
  <c r="DS30" i="4"/>
  <c r="ED29" i="4"/>
  <c r="EC29" i="4"/>
  <c r="EB29" i="4"/>
  <c r="EA29" i="4"/>
  <c r="DZ29" i="4"/>
  <c r="DY29" i="4"/>
  <c r="DX29" i="4"/>
  <c r="DW29" i="4"/>
  <c r="DV29" i="4"/>
  <c r="DU29" i="4"/>
  <c r="DT29" i="4"/>
  <c r="DS29" i="4"/>
  <c r="ED28" i="4"/>
  <c r="EC28" i="4"/>
  <c r="EB28" i="4"/>
  <c r="EA28" i="4"/>
  <c r="DZ28" i="4"/>
  <c r="DY28" i="4"/>
  <c r="DX28" i="4"/>
  <c r="DW28" i="4"/>
  <c r="DV28" i="4"/>
  <c r="DU28" i="4"/>
  <c r="DT28" i="4"/>
  <c r="DS28" i="4"/>
  <c r="ED27" i="4"/>
  <c r="EC27" i="4"/>
  <c r="EB27" i="4"/>
  <c r="EA27" i="4"/>
  <c r="DZ27" i="4"/>
  <c r="DY27" i="4"/>
  <c r="DX27" i="4"/>
  <c r="DW27" i="4"/>
  <c r="DV27" i="4"/>
  <c r="DU27" i="4"/>
  <c r="DT27" i="4"/>
  <c r="DS27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ED25" i="4"/>
  <c r="EC25" i="4"/>
  <c r="EB25" i="4"/>
  <c r="EA25" i="4"/>
  <c r="DZ25" i="4"/>
  <c r="DY25" i="4"/>
  <c r="DX25" i="4"/>
  <c r="DW25" i="4"/>
  <c r="DV25" i="4"/>
  <c r="DU25" i="4"/>
  <c r="DT25" i="4"/>
  <c r="DS25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ED11" i="4"/>
  <c r="EC11" i="4"/>
  <c r="EB11" i="4"/>
  <c r="EA11" i="4"/>
  <c r="DZ11" i="4"/>
  <c r="DY11" i="4"/>
  <c r="DX11" i="4"/>
  <c r="DW11" i="4"/>
  <c r="DV11" i="4"/>
  <c r="DU11" i="4"/>
  <c r="DT11" i="4"/>
  <c r="DS11" i="4"/>
  <c r="ED10" i="4"/>
  <c r="EC10" i="4"/>
  <c r="EB10" i="4"/>
  <c r="EA10" i="4"/>
  <c r="DZ10" i="4"/>
  <c r="DY10" i="4"/>
  <c r="DX10" i="4"/>
  <c r="DW10" i="4"/>
  <c r="DV10" i="4"/>
  <c r="DU10" i="4"/>
  <c r="DT10" i="4"/>
  <c r="DS10" i="4"/>
  <c r="ED9" i="4"/>
  <c r="EC9" i="4"/>
  <c r="EB9" i="4"/>
  <c r="EA9" i="4"/>
  <c r="DZ9" i="4"/>
  <c r="DY9" i="4"/>
  <c r="DX9" i="4"/>
  <c r="DW9" i="4"/>
  <c r="DV9" i="4"/>
  <c r="DU9" i="4"/>
  <c r="DT9" i="4"/>
  <c r="DS9" i="4"/>
  <c r="ED8" i="4"/>
  <c r="EC8" i="4"/>
  <c r="EB8" i="4"/>
  <c r="EA8" i="4"/>
  <c r="DZ8" i="4"/>
  <c r="DY8" i="4"/>
  <c r="DX8" i="4"/>
  <c r="DW8" i="4"/>
  <c r="DV8" i="4"/>
  <c r="DU8" i="4"/>
  <c r="DT8" i="4"/>
  <c r="DS8" i="4"/>
  <c r="DR108" i="4"/>
  <c r="DQ108" i="4"/>
  <c r="DP108" i="4"/>
  <c r="DO108" i="4"/>
  <c r="DN108" i="4"/>
  <c r="DM108" i="4"/>
  <c r="DL108" i="4"/>
  <c r="DK108" i="4"/>
  <c r="DJ108" i="4"/>
  <c r="DI108" i="4"/>
  <c r="DR107" i="4"/>
  <c r="DQ107" i="4"/>
  <c r="DP107" i="4"/>
  <c r="DO107" i="4"/>
  <c r="DN107" i="4"/>
  <c r="DM107" i="4"/>
  <c r="DL107" i="4"/>
  <c r="DK107" i="4"/>
  <c r="DJ107" i="4"/>
  <c r="DI107" i="4"/>
  <c r="DR106" i="4"/>
  <c r="DQ106" i="4"/>
  <c r="DP106" i="4"/>
  <c r="DO106" i="4"/>
  <c r="DN106" i="4"/>
  <c r="DM106" i="4"/>
  <c r="DL106" i="4"/>
  <c r="DK106" i="4"/>
  <c r="DJ106" i="4"/>
  <c r="DI106" i="4"/>
  <c r="DR105" i="4"/>
  <c r="DQ105" i="4"/>
  <c r="DP105" i="4"/>
  <c r="DO105" i="4"/>
  <c r="DN105" i="4"/>
  <c r="DM105" i="4"/>
  <c r="DL105" i="4"/>
  <c r="DK105" i="4"/>
  <c r="DJ105" i="4"/>
  <c r="DI105" i="4"/>
  <c r="DR8" i="4"/>
  <c r="DQ8" i="4"/>
  <c r="DP8" i="4"/>
  <c r="DO8" i="4"/>
  <c r="DN8" i="4"/>
  <c r="DM8" i="4"/>
  <c r="DL8" i="4"/>
  <c r="DK8" i="4"/>
  <c r="DJ8" i="4"/>
  <c r="DI8" i="4"/>
  <c r="DH108" i="4"/>
  <c r="DG108" i="4"/>
  <c r="DF108" i="4"/>
  <c r="DE108" i="4"/>
  <c r="DD108" i="4"/>
  <c r="DC108" i="4"/>
  <c r="DB108" i="4"/>
  <c r="DA108" i="4"/>
  <c r="CZ108" i="4"/>
  <c r="CY108" i="4"/>
  <c r="DH107" i="4"/>
  <c r="DG107" i="4"/>
  <c r="DF107" i="4"/>
  <c r="DE107" i="4"/>
  <c r="DD107" i="4"/>
  <c r="DC107" i="4"/>
  <c r="DB107" i="4"/>
  <c r="DA107" i="4"/>
  <c r="CZ107" i="4"/>
  <c r="CY107" i="4"/>
  <c r="DH106" i="4"/>
  <c r="DG106" i="4"/>
  <c r="DF106" i="4"/>
  <c r="DE106" i="4"/>
  <c r="DD106" i="4"/>
  <c r="DC106" i="4"/>
  <c r="DB106" i="4"/>
  <c r="DA106" i="4"/>
  <c r="CZ106" i="4"/>
  <c r="CY106" i="4"/>
  <c r="DH105" i="4"/>
  <c r="DG105" i="4"/>
  <c r="DF105" i="4"/>
  <c r="DE105" i="4"/>
  <c r="DD105" i="4"/>
  <c r="DC105" i="4"/>
  <c r="DB105" i="4"/>
  <c r="DA105" i="4"/>
  <c r="CZ105" i="4"/>
  <c r="CY105" i="4"/>
  <c r="DH8" i="4"/>
  <c r="DG8" i="4"/>
  <c r="DF8" i="4"/>
  <c r="DE8" i="4"/>
  <c r="DD8" i="4"/>
  <c r="DC8" i="4"/>
  <c r="DB8" i="4"/>
  <c r="DA8" i="4"/>
  <c r="CZ8" i="4"/>
  <c r="CY8" i="4"/>
  <c r="DI7" i="4"/>
  <c r="CY7" i="4"/>
  <c r="ED104" i="3"/>
  <c r="EC104" i="3"/>
  <c r="EB104" i="3"/>
  <c r="EA104" i="3"/>
  <c r="EG104" i="3" s="1"/>
  <c r="DZ104" i="3"/>
  <c r="DY104" i="3"/>
  <c r="DX104" i="3"/>
  <c r="DW104" i="3"/>
  <c r="DV104" i="3"/>
  <c r="DU104" i="3"/>
  <c r="DT104" i="3"/>
  <c r="DS104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ED100" i="3"/>
  <c r="EC100" i="3"/>
  <c r="EB100" i="3"/>
  <c r="EA100" i="3"/>
  <c r="DZ100" i="3"/>
  <c r="DY100" i="3"/>
  <c r="DX100" i="3"/>
  <c r="DW100" i="3"/>
  <c r="DV100" i="3"/>
  <c r="DU100" i="3"/>
  <c r="DT100" i="3"/>
  <c r="DS100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ED98" i="3"/>
  <c r="EC98" i="3"/>
  <c r="EB98" i="3"/>
  <c r="EA98" i="3"/>
  <c r="DZ98" i="3"/>
  <c r="DY98" i="3"/>
  <c r="DX98" i="3"/>
  <c r="DW98" i="3"/>
  <c r="DV98" i="3"/>
  <c r="DU98" i="3"/>
  <c r="DT98" i="3"/>
  <c r="DS98" i="3"/>
  <c r="ED97" i="3"/>
  <c r="EC97" i="3"/>
  <c r="EB97" i="3"/>
  <c r="EA97" i="3"/>
  <c r="DZ97" i="3"/>
  <c r="DY97" i="3"/>
  <c r="DX97" i="3"/>
  <c r="DW97" i="3"/>
  <c r="DV97" i="3"/>
  <c r="DU97" i="3"/>
  <c r="DT97" i="3"/>
  <c r="DS97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ED88" i="3"/>
  <c r="EC88" i="3"/>
  <c r="EB88" i="3"/>
  <c r="EA88" i="3"/>
  <c r="DZ88" i="3"/>
  <c r="DY88" i="3"/>
  <c r="DX88" i="3"/>
  <c r="DW88" i="3"/>
  <c r="DV88" i="3"/>
  <c r="DU88" i="3"/>
  <c r="DT88" i="3"/>
  <c r="DS88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ED86" i="3"/>
  <c r="EC86" i="3"/>
  <c r="EB86" i="3"/>
  <c r="EA86" i="3"/>
  <c r="DZ86" i="3"/>
  <c r="DY86" i="3"/>
  <c r="DX86" i="3"/>
  <c r="DW86" i="3"/>
  <c r="DV86" i="3"/>
  <c r="DU86" i="3"/>
  <c r="DT86" i="3"/>
  <c r="DS86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ED81" i="3"/>
  <c r="EC81" i="3"/>
  <c r="EB81" i="3"/>
  <c r="EA81" i="3"/>
  <c r="DZ81" i="3"/>
  <c r="DY81" i="3"/>
  <c r="DX81" i="3"/>
  <c r="DW81" i="3"/>
  <c r="DV81" i="3"/>
  <c r="DU81" i="3"/>
  <c r="DT81" i="3"/>
  <c r="DS81" i="3"/>
  <c r="ED80" i="3"/>
  <c r="EC80" i="3"/>
  <c r="EB80" i="3"/>
  <c r="EA80" i="3"/>
  <c r="EG80" i="3" s="1"/>
  <c r="DZ80" i="3"/>
  <c r="DY80" i="3"/>
  <c r="DX80" i="3"/>
  <c r="DW80" i="3"/>
  <c r="DV80" i="3"/>
  <c r="DU80" i="3"/>
  <c r="DT80" i="3"/>
  <c r="DS80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ED70" i="3"/>
  <c r="EC70" i="3"/>
  <c r="EB70" i="3"/>
  <c r="EA70" i="3"/>
  <c r="DZ70" i="3"/>
  <c r="DY70" i="3"/>
  <c r="DX70" i="3"/>
  <c r="DW70" i="3"/>
  <c r="DV70" i="3"/>
  <c r="DU70" i="3"/>
  <c r="DT70" i="3"/>
  <c r="DS70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ED64" i="3"/>
  <c r="EC64" i="3"/>
  <c r="EB64" i="3"/>
  <c r="EA64" i="3"/>
  <c r="DZ64" i="3"/>
  <c r="DY64" i="3"/>
  <c r="DX64" i="3"/>
  <c r="DW64" i="3"/>
  <c r="DV64" i="3"/>
  <c r="DU64" i="3"/>
  <c r="DT64" i="3"/>
  <c r="DS64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ED61" i="3"/>
  <c r="EC61" i="3"/>
  <c r="EB61" i="3"/>
  <c r="EA61" i="3"/>
  <c r="DZ61" i="3"/>
  <c r="DY61" i="3"/>
  <c r="DX61" i="3"/>
  <c r="DW61" i="3"/>
  <c r="DV61" i="3"/>
  <c r="DU61" i="3"/>
  <c r="DT61" i="3"/>
  <c r="DS61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ED54" i="3"/>
  <c r="EC54" i="3"/>
  <c r="EB54" i="3"/>
  <c r="EA54" i="3"/>
  <c r="DZ54" i="3"/>
  <c r="DY54" i="3"/>
  <c r="DX54" i="3"/>
  <c r="DW54" i="3"/>
  <c r="DV54" i="3"/>
  <c r="DU54" i="3"/>
  <c r="DT54" i="3"/>
  <c r="DS54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ED52" i="3"/>
  <c r="EC52" i="3"/>
  <c r="EB52" i="3"/>
  <c r="EA52" i="3"/>
  <c r="DZ52" i="3"/>
  <c r="DY52" i="3"/>
  <c r="DX52" i="3"/>
  <c r="DW52" i="3"/>
  <c r="DV52" i="3"/>
  <c r="DU52" i="3"/>
  <c r="DT52" i="3"/>
  <c r="DS52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ED10" i="3"/>
  <c r="EC10" i="3"/>
  <c r="EB10" i="3"/>
  <c r="EA10" i="3"/>
  <c r="DZ10" i="3"/>
  <c r="DY10" i="3"/>
  <c r="DX10" i="3"/>
  <c r="DW10" i="3"/>
  <c r="DV10" i="3"/>
  <c r="DU10" i="3"/>
  <c r="DT10" i="3"/>
  <c r="DS10" i="3"/>
  <c r="ED9" i="3"/>
  <c r="EC9" i="3"/>
  <c r="EB9" i="3"/>
  <c r="EA9" i="3"/>
  <c r="DZ9" i="3"/>
  <c r="DY9" i="3"/>
  <c r="DX9" i="3"/>
  <c r="DW9" i="3"/>
  <c r="DV9" i="3"/>
  <c r="DU9" i="3"/>
  <c r="DT9" i="3"/>
  <c r="DS9" i="3"/>
  <c r="ED8" i="3"/>
  <c r="EC8" i="3"/>
  <c r="EB8" i="3"/>
  <c r="EA8" i="3"/>
  <c r="DZ8" i="3"/>
  <c r="DY8" i="3"/>
  <c r="DX8" i="3"/>
  <c r="DW8" i="3"/>
  <c r="DV8" i="3"/>
  <c r="DU8" i="3"/>
  <c r="DT8" i="3"/>
  <c r="DS8" i="3"/>
  <c r="DR108" i="3"/>
  <c r="DQ108" i="3"/>
  <c r="DP108" i="3"/>
  <c r="DO108" i="3"/>
  <c r="DN108" i="3"/>
  <c r="DM108" i="3"/>
  <c r="DL108" i="3"/>
  <c r="DK108" i="3"/>
  <c r="DJ108" i="3"/>
  <c r="DI108" i="3"/>
  <c r="DR107" i="3"/>
  <c r="DQ107" i="3"/>
  <c r="DP107" i="3"/>
  <c r="DO107" i="3"/>
  <c r="DN107" i="3"/>
  <c r="DM107" i="3"/>
  <c r="DL107" i="3"/>
  <c r="DK107" i="3"/>
  <c r="DJ107" i="3"/>
  <c r="DI107" i="3"/>
  <c r="DR106" i="3"/>
  <c r="DQ106" i="3"/>
  <c r="DP106" i="3"/>
  <c r="DO106" i="3"/>
  <c r="DN106" i="3"/>
  <c r="DM106" i="3"/>
  <c r="DL106" i="3"/>
  <c r="DK106" i="3"/>
  <c r="DJ106" i="3"/>
  <c r="DI106" i="3"/>
  <c r="DR105" i="3"/>
  <c r="DQ105" i="3"/>
  <c r="DP105" i="3"/>
  <c r="DO105" i="3"/>
  <c r="DN105" i="3"/>
  <c r="DM105" i="3"/>
  <c r="DL105" i="3"/>
  <c r="DK105" i="3"/>
  <c r="DJ105" i="3"/>
  <c r="DI105" i="3"/>
  <c r="DR8" i="3"/>
  <c r="DQ8" i="3"/>
  <c r="DP8" i="3"/>
  <c r="DO8" i="3"/>
  <c r="DN8" i="3"/>
  <c r="DM8" i="3"/>
  <c r="DL8" i="3"/>
  <c r="DK8" i="3"/>
  <c r="DJ8" i="3"/>
  <c r="DI8" i="3"/>
  <c r="DH108" i="3"/>
  <c r="DG108" i="3"/>
  <c r="DF108" i="3"/>
  <c r="DE108" i="3"/>
  <c r="DD108" i="3"/>
  <c r="DC108" i="3"/>
  <c r="DB108" i="3"/>
  <c r="DA108" i="3"/>
  <c r="CZ108" i="3"/>
  <c r="CY108" i="3"/>
  <c r="DH107" i="3"/>
  <c r="DG107" i="3"/>
  <c r="DF107" i="3"/>
  <c r="DE107" i="3"/>
  <c r="DD107" i="3"/>
  <c r="DC107" i="3"/>
  <c r="DB107" i="3"/>
  <c r="DA107" i="3"/>
  <c r="CZ107" i="3"/>
  <c r="CY107" i="3"/>
  <c r="DH106" i="3"/>
  <c r="DG106" i="3"/>
  <c r="DF106" i="3"/>
  <c r="DE106" i="3"/>
  <c r="DD106" i="3"/>
  <c r="DC106" i="3"/>
  <c r="DB106" i="3"/>
  <c r="DA106" i="3"/>
  <c r="CZ106" i="3"/>
  <c r="CY106" i="3"/>
  <c r="DH105" i="3"/>
  <c r="DG105" i="3"/>
  <c r="DF105" i="3"/>
  <c r="DE105" i="3"/>
  <c r="DD105" i="3"/>
  <c r="DC105" i="3"/>
  <c r="DB105" i="3"/>
  <c r="DA105" i="3"/>
  <c r="CZ105" i="3"/>
  <c r="CY105" i="3"/>
  <c r="DH8" i="3"/>
  <c r="DG8" i="3"/>
  <c r="DF8" i="3"/>
  <c r="DE8" i="3"/>
  <c r="DD8" i="3"/>
  <c r="DC8" i="3"/>
  <c r="DB8" i="3"/>
  <c r="DA8" i="3"/>
  <c r="CZ8" i="3"/>
  <c r="CY8" i="3"/>
  <c r="DI7" i="3"/>
  <c r="CY7" i="3"/>
  <c r="ED104" i="2"/>
  <c r="EC104" i="2"/>
  <c r="ED103" i="2"/>
  <c r="EC103" i="2"/>
  <c r="ED102" i="2"/>
  <c r="EC102" i="2"/>
  <c r="ED101" i="2"/>
  <c r="EC101" i="2"/>
  <c r="ED100" i="2"/>
  <c r="EC100" i="2"/>
  <c r="ED99" i="2"/>
  <c r="EC99" i="2"/>
  <c r="ED98" i="2"/>
  <c r="EC98" i="2"/>
  <c r="ED97" i="2"/>
  <c r="EC97" i="2"/>
  <c r="ED96" i="2"/>
  <c r="EC96" i="2"/>
  <c r="ED95" i="2"/>
  <c r="EC95" i="2"/>
  <c r="ED94" i="2"/>
  <c r="EC94" i="2"/>
  <c r="ED93" i="2"/>
  <c r="EC93" i="2"/>
  <c r="ED92" i="2"/>
  <c r="EC92" i="2"/>
  <c r="ED91" i="2"/>
  <c r="EC91" i="2"/>
  <c r="ED90" i="2"/>
  <c r="EC90" i="2"/>
  <c r="ED89" i="2"/>
  <c r="EC89" i="2"/>
  <c r="ED88" i="2"/>
  <c r="EC88" i="2"/>
  <c r="ED87" i="2"/>
  <c r="EC87" i="2"/>
  <c r="ED86" i="2"/>
  <c r="EC86" i="2"/>
  <c r="ED85" i="2"/>
  <c r="EC85" i="2"/>
  <c r="ED84" i="2"/>
  <c r="EC84" i="2"/>
  <c r="ED83" i="2"/>
  <c r="EC83" i="2"/>
  <c r="ED82" i="2"/>
  <c r="EC82" i="2"/>
  <c r="ED81" i="2"/>
  <c r="EC81" i="2"/>
  <c r="ED80" i="2"/>
  <c r="EC80" i="2"/>
  <c r="ED79" i="2"/>
  <c r="EC79" i="2"/>
  <c r="ED78" i="2"/>
  <c r="EC78" i="2"/>
  <c r="ED77" i="2"/>
  <c r="EC77" i="2"/>
  <c r="ED76" i="2"/>
  <c r="EC76" i="2"/>
  <c r="ED75" i="2"/>
  <c r="EC75" i="2"/>
  <c r="ED74" i="2"/>
  <c r="EC74" i="2"/>
  <c r="ED73" i="2"/>
  <c r="EC73" i="2"/>
  <c r="ED72" i="2"/>
  <c r="EC72" i="2"/>
  <c r="ED71" i="2"/>
  <c r="EC71" i="2"/>
  <c r="ED70" i="2"/>
  <c r="EC70" i="2"/>
  <c r="ED69" i="2"/>
  <c r="EC69" i="2"/>
  <c r="ED68" i="2"/>
  <c r="EC68" i="2"/>
  <c r="ED67" i="2"/>
  <c r="EC67" i="2"/>
  <c r="ED66" i="2"/>
  <c r="EC66" i="2"/>
  <c r="ED65" i="2"/>
  <c r="EC65" i="2"/>
  <c r="ED64" i="2"/>
  <c r="EC64" i="2"/>
  <c r="ED63" i="2"/>
  <c r="EC63" i="2"/>
  <c r="ED62" i="2"/>
  <c r="EC62" i="2"/>
  <c r="ED61" i="2"/>
  <c r="EC61" i="2"/>
  <c r="ED60" i="2"/>
  <c r="EC60" i="2"/>
  <c r="ED59" i="2"/>
  <c r="EC59" i="2"/>
  <c r="ED58" i="2"/>
  <c r="EC58" i="2"/>
  <c r="ED57" i="2"/>
  <c r="EC57" i="2"/>
  <c r="ED56" i="2"/>
  <c r="EC56" i="2"/>
  <c r="ED55" i="2"/>
  <c r="EC55" i="2"/>
  <c r="ED54" i="2"/>
  <c r="EC54" i="2"/>
  <c r="ED53" i="2"/>
  <c r="EC53" i="2"/>
  <c r="ED52" i="2"/>
  <c r="EC52" i="2"/>
  <c r="ED51" i="2"/>
  <c r="EC51" i="2"/>
  <c r="ED50" i="2"/>
  <c r="EC50" i="2"/>
  <c r="ED49" i="2"/>
  <c r="EC49" i="2"/>
  <c r="ED48" i="2"/>
  <c r="EC48" i="2"/>
  <c r="ED47" i="2"/>
  <c r="EC47" i="2"/>
  <c r="ED46" i="2"/>
  <c r="EC46" i="2"/>
  <c r="ED45" i="2"/>
  <c r="EC45" i="2"/>
  <c r="ED44" i="2"/>
  <c r="EC44" i="2"/>
  <c r="ED43" i="2"/>
  <c r="EC43" i="2"/>
  <c r="ED42" i="2"/>
  <c r="EC42" i="2"/>
  <c r="ED41" i="2"/>
  <c r="EC41" i="2"/>
  <c r="ED40" i="2"/>
  <c r="EC40" i="2"/>
  <c r="ED39" i="2"/>
  <c r="EC39" i="2"/>
  <c r="ED38" i="2"/>
  <c r="EC38" i="2"/>
  <c r="ED37" i="2"/>
  <c r="EC37" i="2"/>
  <c r="ED36" i="2"/>
  <c r="EC36" i="2"/>
  <c r="ED35" i="2"/>
  <c r="EC35" i="2"/>
  <c r="ED34" i="2"/>
  <c r="EC34" i="2"/>
  <c r="ED33" i="2"/>
  <c r="EC33" i="2"/>
  <c r="ED32" i="2"/>
  <c r="EC32" i="2"/>
  <c r="ED31" i="2"/>
  <c r="EC31" i="2"/>
  <c r="ED30" i="2"/>
  <c r="EC30" i="2"/>
  <c r="ED29" i="2"/>
  <c r="EC29" i="2"/>
  <c r="ED28" i="2"/>
  <c r="EC28" i="2"/>
  <c r="ED27" i="2"/>
  <c r="EC27" i="2"/>
  <c r="ED26" i="2"/>
  <c r="EC26" i="2"/>
  <c r="ED25" i="2"/>
  <c r="EC25" i="2"/>
  <c r="ED24" i="2"/>
  <c r="EC24" i="2"/>
  <c r="ED23" i="2"/>
  <c r="EC23" i="2"/>
  <c r="ED22" i="2"/>
  <c r="EC22" i="2"/>
  <c r="ED21" i="2"/>
  <c r="EC21" i="2"/>
  <c r="ED20" i="2"/>
  <c r="EC20" i="2"/>
  <c r="ED19" i="2"/>
  <c r="EC19" i="2"/>
  <c r="ED18" i="2"/>
  <c r="EC18" i="2"/>
  <c r="ED17" i="2"/>
  <c r="EC17" i="2"/>
  <c r="ED16" i="2"/>
  <c r="EC16" i="2"/>
  <c r="ED15" i="2"/>
  <c r="EC15" i="2"/>
  <c r="ED14" i="2"/>
  <c r="EC14" i="2"/>
  <c r="ED13" i="2"/>
  <c r="EC13" i="2"/>
  <c r="ED12" i="2"/>
  <c r="EC12" i="2"/>
  <c r="ED11" i="2"/>
  <c r="EC11" i="2"/>
  <c r="ED10" i="2"/>
  <c r="EC10" i="2"/>
  <c r="ED9" i="2"/>
  <c r="EC9" i="2"/>
  <c r="EC8" i="2"/>
  <c r="ED8" i="2"/>
  <c r="DR108" i="2"/>
  <c r="DQ108" i="2"/>
  <c r="DP108" i="2"/>
  <c r="DO108" i="2"/>
  <c r="DN108" i="2"/>
  <c r="DM108" i="2"/>
  <c r="DL108" i="2"/>
  <c r="DK108" i="2"/>
  <c r="DJ108" i="2"/>
  <c r="DI108" i="2"/>
  <c r="DR107" i="2"/>
  <c r="DQ107" i="2"/>
  <c r="DP107" i="2"/>
  <c r="DO107" i="2"/>
  <c r="DN107" i="2"/>
  <c r="DM107" i="2"/>
  <c r="DL107" i="2"/>
  <c r="DK107" i="2"/>
  <c r="DJ107" i="2"/>
  <c r="DI107" i="2"/>
  <c r="DR106" i="2"/>
  <c r="DQ106" i="2"/>
  <c r="DP106" i="2"/>
  <c r="DO106" i="2"/>
  <c r="DN106" i="2"/>
  <c r="DM106" i="2"/>
  <c r="DL106" i="2"/>
  <c r="DK106" i="2"/>
  <c r="DJ106" i="2"/>
  <c r="DI106" i="2"/>
  <c r="DR105" i="2"/>
  <c r="DQ105" i="2"/>
  <c r="DP105" i="2"/>
  <c r="DO105" i="2"/>
  <c r="DN105" i="2"/>
  <c r="DM105" i="2"/>
  <c r="DL105" i="2"/>
  <c r="DK105" i="2"/>
  <c r="DJ105" i="2"/>
  <c r="DI105" i="2"/>
  <c r="DR8" i="2"/>
  <c r="DQ8" i="2"/>
  <c r="DP8" i="2"/>
  <c r="DO8" i="2"/>
  <c r="DN8" i="2"/>
  <c r="DM8" i="2"/>
  <c r="DL8" i="2"/>
  <c r="DK8" i="2"/>
  <c r="DJ8" i="2"/>
  <c r="DI8" i="2"/>
  <c r="DI7" i="2"/>
  <c r="DH108" i="2"/>
  <c r="DG108" i="2"/>
  <c r="DF108" i="2"/>
  <c r="DE108" i="2"/>
  <c r="DD108" i="2"/>
  <c r="DC108" i="2"/>
  <c r="DB108" i="2"/>
  <c r="DA108" i="2"/>
  <c r="CZ108" i="2"/>
  <c r="CY108" i="2"/>
  <c r="DH107" i="2"/>
  <c r="DG107" i="2"/>
  <c r="DF107" i="2"/>
  <c r="DE107" i="2"/>
  <c r="DD107" i="2"/>
  <c r="DC107" i="2"/>
  <c r="DB107" i="2"/>
  <c r="DA107" i="2"/>
  <c r="CZ107" i="2"/>
  <c r="CY107" i="2"/>
  <c r="DH106" i="2"/>
  <c r="DG106" i="2"/>
  <c r="DF106" i="2"/>
  <c r="DE106" i="2"/>
  <c r="DD106" i="2"/>
  <c r="DC106" i="2"/>
  <c r="DB106" i="2"/>
  <c r="DA106" i="2"/>
  <c r="CZ106" i="2"/>
  <c r="CY106" i="2"/>
  <c r="DH105" i="2"/>
  <c r="DG105" i="2"/>
  <c r="DF105" i="2"/>
  <c r="DE105" i="2"/>
  <c r="DD105" i="2"/>
  <c r="DC105" i="2"/>
  <c r="DB105" i="2"/>
  <c r="DA105" i="2"/>
  <c r="CZ105" i="2"/>
  <c r="CY105" i="2"/>
  <c r="DH8" i="2"/>
  <c r="DG8" i="2"/>
  <c r="DF8" i="2"/>
  <c r="DE8" i="2"/>
  <c r="DD8" i="2"/>
  <c r="DC8" i="2"/>
  <c r="DB8" i="2"/>
  <c r="DA8" i="2"/>
  <c r="CZ8" i="2"/>
  <c r="CY8" i="2"/>
  <c r="CY7" i="2"/>
  <c r="H5" i="5"/>
  <c r="D5" i="5"/>
  <c r="D4" i="5"/>
  <c r="D3" i="5"/>
  <c r="H5" i="4"/>
  <c r="D5" i="4"/>
  <c r="D4" i="4"/>
  <c r="D3" i="4"/>
  <c r="H5" i="3"/>
  <c r="D5" i="3"/>
  <c r="D4" i="3"/>
  <c r="D3" i="3"/>
  <c r="H5" i="2"/>
  <c r="D5" i="2"/>
  <c r="D4" i="2"/>
  <c r="D3" i="2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G8" i="1"/>
  <c r="G7" i="1"/>
  <c r="CX108" i="5"/>
  <c r="CW108" i="5"/>
  <c r="CV108" i="5"/>
  <c r="CU108" i="5"/>
  <c r="CT108" i="5"/>
  <c r="CS108" i="5"/>
  <c r="CR108" i="5"/>
  <c r="CQ108" i="5"/>
  <c r="CP108" i="5"/>
  <c r="CO108" i="5"/>
  <c r="CN108" i="5"/>
  <c r="CM108" i="5"/>
  <c r="CL108" i="5"/>
  <c r="CK108" i="5"/>
  <c r="CJ108" i="5"/>
  <c r="CI108" i="5"/>
  <c r="CH108" i="5"/>
  <c r="CG108" i="5"/>
  <c r="CF108" i="5"/>
  <c r="CE108" i="5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CX107" i="5"/>
  <c r="CW107" i="5"/>
  <c r="CV107" i="5"/>
  <c r="CU107" i="5"/>
  <c r="CT107" i="5"/>
  <c r="CS107" i="5"/>
  <c r="CR107" i="5"/>
  <c r="CQ107" i="5"/>
  <c r="CP107" i="5"/>
  <c r="CO107" i="5"/>
  <c r="CN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CX106" i="5"/>
  <c r="CW106" i="5"/>
  <c r="CV106" i="5"/>
  <c r="CU106" i="5"/>
  <c r="CT106" i="5"/>
  <c r="CS106" i="5"/>
  <c r="CR106" i="5"/>
  <c r="CQ106" i="5"/>
  <c r="CP106" i="5"/>
  <c r="CO106" i="5"/>
  <c r="CN106" i="5"/>
  <c r="CM106" i="5"/>
  <c r="CL106" i="5"/>
  <c r="CK106" i="5"/>
  <c r="CJ106" i="5"/>
  <c r="CI106" i="5"/>
  <c r="CH106" i="5"/>
  <c r="CG106" i="5"/>
  <c r="CF106" i="5"/>
  <c r="CE106" i="5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CX105" i="5"/>
  <c r="CW105" i="5"/>
  <c r="CV105" i="5"/>
  <c r="CU105" i="5"/>
  <c r="CT105" i="5"/>
  <c r="CS105" i="5"/>
  <c r="CR105" i="5"/>
  <c r="CQ105" i="5"/>
  <c r="CP105" i="5"/>
  <c r="CO105" i="5"/>
  <c r="CN105" i="5"/>
  <c r="CM105" i="5"/>
  <c r="CL105" i="5"/>
  <c r="CK105" i="5"/>
  <c r="CJ105" i="5"/>
  <c r="CI105" i="5"/>
  <c r="CH105" i="5"/>
  <c r="CG105" i="5"/>
  <c r="CF105" i="5"/>
  <c r="CE105" i="5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CX108" i="4"/>
  <c r="CW108" i="4"/>
  <c r="CV108" i="4"/>
  <c r="CU108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CX105" i="4"/>
  <c r="CW105" i="4"/>
  <c r="CV105" i="4"/>
  <c r="CU105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EB10" i="2"/>
  <c r="EB11" i="2"/>
  <c r="EB12" i="2"/>
  <c r="EB13" i="2"/>
  <c r="EB14" i="2"/>
  <c r="EB15" i="2"/>
  <c r="EB16" i="2"/>
  <c r="EB17" i="2"/>
  <c r="EB18" i="2"/>
  <c r="EB19" i="2"/>
  <c r="EB20" i="2"/>
  <c r="EB21" i="2"/>
  <c r="EB22" i="2"/>
  <c r="EB23" i="2"/>
  <c r="EB24" i="2"/>
  <c r="EB25" i="2"/>
  <c r="EB26" i="2"/>
  <c r="EB27" i="2"/>
  <c r="EB28" i="2"/>
  <c r="EB29" i="2"/>
  <c r="EB30" i="2"/>
  <c r="EB31" i="2"/>
  <c r="EB32" i="2"/>
  <c r="EB33" i="2"/>
  <c r="EB34" i="2"/>
  <c r="EB35" i="2"/>
  <c r="EB36" i="2"/>
  <c r="EB37" i="2"/>
  <c r="EB38" i="2"/>
  <c r="EB39" i="2"/>
  <c r="EB40" i="2"/>
  <c r="EB41" i="2"/>
  <c r="EB42" i="2"/>
  <c r="EB43" i="2"/>
  <c r="EB44" i="2"/>
  <c r="EB45" i="2"/>
  <c r="EB46" i="2"/>
  <c r="EB47" i="2"/>
  <c r="EB48" i="2"/>
  <c r="EB49" i="2"/>
  <c r="EB50" i="2"/>
  <c r="EB51" i="2"/>
  <c r="EB52" i="2"/>
  <c r="EB53" i="2"/>
  <c r="EB54" i="2"/>
  <c r="EB55" i="2"/>
  <c r="EB56" i="2"/>
  <c r="EB57" i="2"/>
  <c r="EB58" i="2"/>
  <c r="EB59" i="2"/>
  <c r="EB60" i="2"/>
  <c r="EB61" i="2"/>
  <c r="EB62" i="2"/>
  <c r="EB63" i="2"/>
  <c r="EB64" i="2"/>
  <c r="EB65" i="2"/>
  <c r="EB66" i="2"/>
  <c r="EB67" i="2"/>
  <c r="EB68" i="2"/>
  <c r="EB69" i="2"/>
  <c r="EB70" i="2"/>
  <c r="EB71" i="2"/>
  <c r="EB72" i="2"/>
  <c r="EB73" i="2"/>
  <c r="EB74" i="2"/>
  <c r="EB75" i="2"/>
  <c r="EB76" i="2"/>
  <c r="EB77" i="2"/>
  <c r="EB78" i="2"/>
  <c r="EB79" i="2"/>
  <c r="EB80" i="2"/>
  <c r="EB81" i="2"/>
  <c r="EB82" i="2"/>
  <c r="EB83" i="2"/>
  <c r="EB84" i="2"/>
  <c r="EB85" i="2"/>
  <c r="EB86" i="2"/>
  <c r="EB87" i="2"/>
  <c r="EB88" i="2"/>
  <c r="EB89" i="2"/>
  <c r="EB90" i="2"/>
  <c r="EB91" i="2"/>
  <c r="EB92" i="2"/>
  <c r="EB93" i="2"/>
  <c r="EB94" i="2"/>
  <c r="EB95" i="2"/>
  <c r="EB96" i="2"/>
  <c r="EB97" i="2"/>
  <c r="EB98" i="2"/>
  <c r="EB99" i="2"/>
  <c r="EB100" i="2"/>
  <c r="EB101" i="2"/>
  <c r="EB102" i="2"/>
  <c r="EB103" i="2"/>
  <c r="EB104" i="2"/>
  <c r="EB9" i="2"/>
  <c r="EA10" i="2"/>
  <c r="EA11" i="2"/>
  <c r="EA12" i="2"/>
  <c r="EA13" i="2"/>
  <c r="EA14" i="2"/>
  <c r="EA15" i="2"/>
  <c r="EA16" i="2"/>
  <c r="EA17" i="2"/>
  <c r="EA18" i="2"/>
  <c r="EA19" i="2"/>
  <c r="EA20" i="2"/>
  <c r="EA21" i="2"/>
  <c r="EA22" i="2"/>
  <c r="EA23" i="2"/>
  <c r="EA24" i="2"/>
  <c r="EA25" i="2"/>
  <c r="EA26" i="2"/>
  <c r="EA27" i="2"/>
  <c r="EA28" i="2"/>
  <c r="EA29" i="2"/>
  <c r="EA30" i="2"/>
  <c r="EG30" i="2" s="1"/>
  <c r="EA31" i="2"/>
  <c r="EG31" i="2" s="1"/>
  <c r="EA32" i="2"/>
  <c r="EA33" i="2"/>
  <c r="EA34" i="2"/>
  <c r="EA35" i="2"/>
  <c r="EA36" i="2"/>
  <c r="EA37" i="2"/>
  <c r="EA38" i="2"/>
  <c r="EA39" i="2"/>
  <c r="EA40" i="2"/>
  <c r="EA41" i="2"/>
  <c r="EA42" i="2"/>
  <c r="EA43" i="2"/>
  <c r="EA44" i="2"/>
  <c r="EA45" i="2"/>
  <c r="EA46" i="2"/>
  <c r="EA47" i="2"/>
  <c r="EA48" i="2"/>
  <c r="EA49" i="2"/>
  <c r="EA50" i="2"/>
  <c r="EA51" i="2"/>
  <c r="EA52" i="2"/>
  <c r="EA53" i="2"/>
  <c r="EA54" i="2"/>
  <c r="EA55" i="2"/>
  <c r="EA56" i="2"/>
  <c r="EA57" i="2"/>
  <c r="EA58" i="2"/>
  <c r="EA59" i="2"/>
  <c r="EA60" i="2"/>
  <c r="EA61" i="2"/>
  <c r="EA62" i="2"/>
  <c r="EA63" i="2"/>
  <c r="EA64" i="2"/>
  <c r="EA65" i="2"/>
  <c r="EA66" i="2"/>
  <c r="EA67" i="2"/>
  <c r="EA68" i="2"/>
  <c r="EA69" i="2"/>
  <c r="EA70" i="2"/>
  <c r="EA71" i="2"/>
  <c r="EA72" i="2"/>
  <c r="EA73" i="2"/>
  <c r="EA74" i="2"/>
  <c r="EA75" i="2"/>
  <c r="EA76" i="2"/>
  <c r="EA77" i="2"/>
  <c r="EA78" i="2"/>
  <c r="EA79" i="2"/>
  <c r="EA80" i="2"/>
  <c r="EA81" i="2"/>
  <c r="EA82" i="2"/>
  <c r="EA83" i="2"/>
  <c r="EA84" i="2"/>
  <c r="EA85" i="2"/>
  <c r="EA86" i="2"/>
  <c r="EA87" i="2"/>
  <c r="EA88" i="2"/>
  <c r="EA89" i="2"/>
  <c r="EA90" i="2"/>
  <c r="EA91" i="2"/>
  <c r="EA92" i="2"/>
  <c r="EA93" i="2"/>
  <c r="EA94" i="2"/>
  <c r="EA95" i="2"/>
  <c r="EA96" i="2"/>
  <c r="EA97" i="2"/>
  <c r="EA98" i="2"/>
  <c r="EA99" i="2"/>
  <c r="EA100" i="2"/>
  <c r="EA101" i="2"/>
  <c r="EA102" i="2"/>
  <c r="EA103" i="2"/>
  <c r="EA104" i="2"/>
  <c r="EA9" i="2"/>
  <c r="DZ10" i="2"/>
  <c r="DZ11" i="2"/>
  <c r="DZ12" i="2"/>
  <c r="DZ13" i="2"/>
  <c r="DZ14" i="2"/>
  <c r="DZ15" i="2"/>
  <c r="DZ16" i="2"/>
  <c r="DZ17" i="2"/>
  <c r="DZ18" i="2"/>
  <c r="EG18" i="2" s="1"/>
  <c r="DZ19" i="2"/>
  <c r="EG19" i="2" s="1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EG46" i="2" s="1"/>
  <c r="DZ47" i="2"/>
  <c r="DZ48" i="2"/>
  <c r="DZ49" i="2"/>
  <c r="DZ50" i="2"/>
  <c r="DZ51" i="2"/>
  <c r="DZ52" i="2"/>
  <c r="DZ53" i="2"/>
  <c r="DZ54" i="2"/>
  <c r="DZ55" i="2"/>
  <c r="DZ56" i="2"/>
  <c r="DZ57" i="2"/>
  <c r="DZ58" i="2"/>
  <c r="EG58" i="2" s="1"/>
  <c r="DZ59" i="2"/>
  <c r="DZ60" i="2"/>
  <c r="DZ61" i="2"/>
  <c r="DZ62" i="2"/>
  <c r="DZ63" i="2"/>
  <c r="DZ64" i="2"/>
  <c r="DZ65" i="2"/>
  <c r="DZ66" i="2"/>
  <c r="DZ67" i="2"/>
  <c r="DZ68" i="2"/>
  <c r="DZ69" i="2"/>
  <c r="DZ70" i="2"/>
  <c r="EG70" i="2" s="1"/>
  <c r="DZ71" i="2"/>
  <c r="DZ72" i="2"/>
  <c r="DZ73" i="2"/>
  <c r="DZ74" i="2"/>
  <c r="DZ75" i="2"/>
  <c r="DZ76" i="2"/>
  <c r="DZ77" i="2"/>
  <c r="DZ78" i="2"/>
  <c r="DZ79" i="2"/>
  <c r="DZ80" i="2"/>
  <c r="DZ81" i="2"/>
  <c r="DZ82" i="2"/>
  <c r="DZ83" i="2"/>
  <c r="DZ84" i="2"/>
  <c r="DZ85" i="2"/>
  <c r="DZ86" i="2"/>
  <c r="DZ87" i="2"/>
  <c r="DZ88" i="2"/>
  <c r="DZ89" i="2"/>
  <c r="DZ90" i="2"/>
  <c r="DZ91" i="2"/>
  <c r="DZ92" i="2"/>
  <c r="DZ93" i="2"/>
  <c r="DZ94" i="2"/>
  <c r="DZ95" i="2"/>
  <c r="DZ96" i="2"/>
  <c r="DZ97" i="2"/>
  <c r="DZ98" i="2"/>
  <c r="DZ99" i="2"/>
  <c r="DZ100" i="2"/>
  <c r="DZ101" i="2"/>
  <c r="DZ102" i="2"/>
  <c r="DZ103" i="2"/>
  <c r="DZ104" i="2"/>
  <c r="DZ9" i="2"/>
  <c r="DY10" i="2"/>
  <c r="DY11" i="2"/>
  <c r="DY12" i="2"/>
  <c r="EG12" i="2" s="1"/>
  <c r="DY13" i="2"/>
  <c r="EG13" i="2" s="1"/>
  <c r="DY14" i="2"/>
  <c r="DY15" i="2"/>
  <c r="EG15" i="2" s="1"/>
  <c r="DY16" i="2"/>
  <c r="EG16" i="2" s="1"/>
  <c r="DY17" i="2"/>
  <c r="DY18" i="2"/>
  <c r="DY19" i="2"/>
  <c r="DY20" i="2"/>
  <c r="DY21" i="2"/>
  <c r="DY22" i="2"/>
  <c r="EG22" i="2" s="1"/>
  <c r="DY23" i="2"/>
  <c r="DY24" i="2"/>
  <c r="EG24" i="2" s="1"/>
  <c r="DY25" i="2"/>
  <c r="EG25" i="2" s="1"/>
  <c r="DY26" i="2"/>
  <c r="DY27" i="2"/>
  <c r="EG27" i="2" s="1"/>
  <c r="DY28" i="2"/>
  <c r="EG28" i="2" s="1"/>
  <c r="DY29" i="2"/>
  <c r="DY30" i="2"/>
  <c r="DY31" i="2"/>
  <c r="DY32" i="2"/>
  <c r="DY33" i="2"/>
  <c r="DY34" i="2"/>
  <c r="EG34" i="2" s="1"/>
  <c r="DY35" i="2"/>
  <c r="DY36" i="2"/>
  <c r="DY37" i="2"/>
  <c r="DY38" i="2"/>
  <c r="DY39" i="2"/>
  <c r="DY40" i="2"/>
  <c r="DY41" i="2"/>
  <c r="DY42" i="2"/>
  <c r="EG42" i="2" s="1"/>
  <c r="DY43" i="2"/>
  <c r="EG43" i="2" s="1"/>
  <c r="DY44" i="2"/>
  <c r="DY45" i="2"/>
  <c r="DY46" i="2"/>
  <c r="DY47" i="2"/>
  <c r="DY48" i="2"/>
  <c r="DY49" i="2"/>
  <c r="EG49" i="2" s="1"/>
  <c r="DY50" i="2"/>
  <c r="DY51" i="2"/>
  <c r="DY52" i="2"/>
  <c r="EG52" i="2" s="1"/>
  <c r="DY53" i="2"/>
  <c r="DY54" i="2"/>
  <c r="EG54" i="2" s="1"/>
  <c r="DY55" i="2"/>
  <c r="EG55" i="2" s="1"/>
  <c r="DY56" i="2"/>
  <c r="DY57" i="2"/>
  <c r="DY58" i="2"/>
  <c r="DY59" i="2"/>
  <c r="DY60" i="2"/>
  <c r="EG60" i="2" s="1"/>
  <c r="DY61" i="2"/>
  <c r="EG61" i="2" s="1"/>
  <c r="DY62" i="2"/>
  <c r="DY63" i="2"/>
  <c r="EG63" i="2" s="1"/>
  <c r="DY64" i="2"/>
  <c r="EG64" i="2" s="1"/>
  <c r="DY65" i="2"/>
  <c r="DY66" i="2"/>
  <c r="EG66" i="2" s="1"/>
  <c r="DY67" i="2"/>
  <c r="EG67" i="2" s="1"/>
  <c r="DY68" i="2"/>
  <c r="DY69" i="2"/>
  <c r="DY70" i="2"/>
  <c r="DY71" i="2"/>
  <c r="DY72" i="2"/>
  <c r="DY73" i="2"/>
  <c r="EG73" i="2" s="1"/>
  <c r="DY74" i="2"/>
  <c r="DY75" i="2"/>
  <c r="DY76" i="2"/>
  <c r="EG76" i="2" s="1"/>
  <c r="DY77" i="2"/>
  <c r="DY78" i="2"/>
  <c r="EG78" i="2" s="1"/>
  <c r="DY79" i="2"/>
  <c r="EG79" i="2" s="1"/>
  <c r="DY80" i="2"/>
  <c r="DY81" i="2"/>
  <c r="DY82" i="2"/>
  <c r="EG82" i="2" s="1"/>
  <c r="DY83" i="2"/>
  <c r="DY84" i="2"/>
  <c r="DY85" i="2"/>
  <c r="EG85" i="2" s="1"/>
  <c r="DY86" i="2"/>
  <c r="DY87" i="2"/>
  <c r="DY88" i="2"/>
  <c r="EG88" i="2" s="1"/>
  <c r="DY89" i="2"/>
  <c r="DY90" i="2"/>
  <c r="EG90" i="2" s="1"/>
  <c r="DY91" i="2"/>
  <c r="DY92" i="2"/>
  <c r="DY93" i="2"/>
  <c r="DY94" i="2"/>
  <c r="EG94" i="2" s="1"/>
  <c r="DY95" i="2"/>
  <c r="DY96" i="2"/>
  <c r="EG96" i="2" s="1"/>
  <c r="DY97" i="2"/>
  <c r="EG97" i="2" s="1"/>
  <c r="DY98" i="2"/>
  <c r="DY99" i="2"/>
  <c r="EG99" i="2" s="1"/>
  <c r="DY100" i="2"/>
  <c r="EG100" i="2" s="1"/>
  <c r="DY101" i="2"/>
  <c r="DY102" i="2"/>
  <c r="EG102" i="2" s="1"/>
  <c r="DY103" i="2"/>
  <c r="EG103" i="2" s="1"/>
  <c r="DY104" i="2"/>
  <c r="DY9" i="2"/>
  <c r="DX10" i="2"/>
  <c r="DX11" i="2"/>
  <c r="DX12" i="2"/>
  <c r="DX13" i="2"/>
  <c r="DX14" i="2"/>
  <c r="DX15" i="2"/>
  <c r="DX16" i="2"/>
  <c r="DX17" i="2"/>
  <c r="DX18" i="2"/>
  <c r="DX19" i="2"/>
  <c r="DX20" i="2"/>
  <c r="DX21" i="2"/>
  <c r="DX22" i="2"/>
  <c r="DX23" i="2"/>
  <c r="DX24" i="2"/>
  <c r="DX25" i="2"/>
  <c r="DX26" i="2"/>
  <c r="DX27" i="2"/>
  <c r="DX28" i="2"/>
  <c r="DX29" i="2"/>
  <c r="DX30" i="2"/>
  <c r="DX31" i="2"/>
  <c r="DX32" i="2"/>
  <c r="DX33" i="2"/>
  <c r="DX34" i="2"/>
  <c r="DX35" i="2"/>
  <c r="DX36" i="2"/>
  <c r="DX37" i="2"/>
  <c r="DX38" i="2"/>
  <c r="DX39" i="2"/>
  <c r="DX40" i="2"/>
  <c r="DX41" i="2"/>
  <c r="DX42" i="2"/>
  <c r="DX43" i="2"/>
  <c r="DX44" i="2"/>
  <c r="DX45" i="2"/>
  <c r="DX46" i="2"/>
  <c r="DX47" i="2"/>
  <c r="DX48" i="2"/>
  <c r="DX49" i="2"/>
  <c r="DX50" i="2"/>
  <c r="DX51" i="2"/>
  <c r="DX52" i="2"/>
  <c r="DX53" i="2"/>
  <c r="DX54" i="2"/>
  <c r="DX55" i="2"/>
  <c r="DX56" i="2"/>
  <c r="DX57" i="2"/>
  <c r="DX58" i="2"/>
  <c r="DX59" i="2"/>
  <c r="DX60" i="2"/>
  <c r="DX61" i="2"/>
  <c r="DX62" i="2"/>
  <c r="DX63" i="2"/>
  <c r="DX64" i="2"/>
  <c r="DX65" i="2"/>
  <c r="DX66" i="2"/>
  <c r="DX67" i="2"/>
  <c r="DX68" i="2"/>
  <c r="DX69" i="2"/>
  <c r="DX70" i="2"/>
  <c r="DX71" i="2"/>
  <c r="DX72" i="2"/>
  <c r="DX73" i="2"/>
  <c r="DX74" i="2"/>
  <c r="DX75" i="2"/>
  <c r="DX76" i="2"/>
  <c r="DX77" i="2"/>
  <c r="DX78" i="2"/>
  <c r="DX79" i="2"/>
  <c r="DX80" i="2"/>
  <c r="DX81" i="2"/>
  <c r="DX82" i="2"/>
  <c r="DX83" i="2"/>
  <c r="DX84" i="2"/>
  <c r="DX85" i="2"/>
  <c r="DX86" i="2"/>
  <c r="DX87" i="2"/>
  <c r="DX88" i="2"/>
  <c r="DX89" i="2"/>
  <c r="DX90" i="2"/>
  <c r="DX91" i="2"/>
  <c r="DX92" i="2"/>
  <c r="DX93" i="2"/>
  <c r="DX94" i="2"/>
  <c r="DX95" i="2"/>
  <c r="DX96" i="2"/>
  <c r="DX97" i="2"/>
  <c r="DX98" i="2"/>
  <c r="DX99" i="2"/>
  <c r="DX100" i="2"/>
  <c r="DX101" i="2"/>
  <c r="DX102" i="2"/>
  <c r="DX103" i="2"/>
  <c r="DX104" i="2"/>
  <c r="DX9" i="2"/>
  <c r="DW14" i="2"/>
  <c r="DW10" i="2"/>
  <c r="DW11" i="2"/>
  <c r="DW12" i="2"/>
  <c r="DW13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8" i="2"/>
  <c r="DW29" i="2"/>
  <c r="DW30" i="2"/>
  <c r="DW31" i="2"/>
  <c r="DW32" i="2"/>
  <c r="DW33" i="2"/>
  <c r="DW34" i="2"/>
  <c r="DW35" i="2"/>
  <c r="DW36" i="2"/>
  <c r="DW37" i="2"/>
  <c r="DW38" i="2"/>
  <c r="DW39" i="2"/>
  <c r="DW40" i="2"/>
  <c r="DW41" i="2"/>
  <c r="DW42" i="2"/>
  <c r="DW43" i="2"/>
  <c r="DW44" i="2"/>
  <c r="DW45" i="2"/>
  <c r="DW46" i="2"/>
  <c r="DW47" i="2"/>
  <c r="DW48" i="2"/>
  <c r="DW49" i="2"/>
  <c r="DW50" i="2"/>
  <c r="DW51" i="2"/>
  <c r="DW52" i="2"/>
  <c r="DW53" i="2"/>
  <c r="DW54" i="2"/>
  <c r="DW55" i="2"/>
  <c r="DW56" i="2"/>
  <c r="DW57" i="2"/>
  <c r="DW58" i="2"/>
  <c r="DW59" i="2"/>
  <c r="DW60" i="2"/>
  <c r="DW61" i="2"/>
  <c r="DW62" i="2"/>
  <c r="DW63" i="2"/>
  <c r="DW64" i="2"/>
  <c r="DW65" i="2"/>
  <c r="DW66" i="2"/>
  <c r="DW67" i="2"/>
  <c r="DW68" i="2"/>
  <c r="DW69" i="2"/>
  <c r="DW70" i="2"/>
  <c r="DW71" i="2"/>
  <c r="DW72" i="2"/>
  <c r="DW73" i="2"/>
  <c r="DW74" i="2"/>
  <c r="DW75" i="2"/>
  <c r="DW76" i="2"/>
  <c r="DW77" i="2"/>
  <c r="DW78" i="2"/>
  <c r="DW79" i="2"/>
  <c r="DW80" i="2"/>
  <c r="DW81" i="2"/>
  <c r="DW82" i="2"/>
  <c r="DW83" i="2"/>
  <c r="DW84" i="2"/>
  <c r="DW85" i="2"/>
  <c r="DW86" i="2"/>
  <c r="DW87" i="2"/>
  <c r="DW88" i="2"/>
  <c r="DW89" i="2"/>
  <c r="DW90" i="2"/>
  <c r="DW91" i="2"/>
  <c r="DW92" i="2"/>
  <c r="DW93" i="2"/>
  <c r="DW94" i="2"/>
  <c r="DW95" i="2"/>
  <c r="DW96" i="2"/>
  <c r="DW97" i="2"/>
  <c r="DW98" i="2"/>
  <c r="DW99" i="2"/>
  <c r="DW100" i="2"/>
  <c r="DW101" i="2"/>
  <c r="DW102" i="2"/>
  <c r="DW103" i="2"/>
  <c r="DW104" i="2"/>
  <c r="DW9" i="2"/>
  <c r="DV10" i="2"/>
  <c r="DV11" i="2"/>
  <c r="DV12" i="2"/>
  <c r="DV13" i="2"/>
  <c r="DV14" i="2"/>
  <c r="DV15" i="2"/>
  <c r="DV16" i="2"/>
  <c r="DV17" i="2"/>
  <c r="DV18" i="2"/>
  <c r="DV19" i="2"/>
  <c r="DV20" i="2"/>
  <c r="DV21" i="2"/>
  <c r="DV22" i="2"/>
  <c r="DV23" i="2"/>
  <c r="DV24" i="2"/>
  <c r="DV25" i="2"/>
  <c r="DV26" i="2"/>
  <c r="DV27" i="2"/>
  <c r="DV28" i="2"/>
  <c r="DV29" i="2"/>
  <c r="DV30" i="2"/>
  <c r="DV31" i="2"/>
  <c r="DV32" i="2"/>
  <c r="DV33" i="2"/>
  <c r="DV34" i="2"/>
  <c r="DV35" i="2"/>
  <c r="DV36" i="2"/>
  <c r="DV37" i="2"/>
  <c r="DV38" i="2"/>
  <c r="DV39" i="2"/>
  <c r="DV40" i="2"/>
  <c r="DV41" i="2"/>
  <c r="DV42" i="2"/>
  <c r="DV43" i="2"/>
  <c r="DV44" i="2"/>
  <c r="DV45" i="2"/>
  <c r="DV46" i="2"/>
  <c r="DV47" i="2"/>
  <c r="DV48" i="2"/>
  <c r="DV49" i="2"/>
  <c r="DV50" i="2"/>
  <c r="DV51" i="2"/>
  <c r="DV52" i="2"/>
  <c r="DV53" i="2"/>
  <c r="DV54" i="2"/>
  <c r="DV55" i="2"/>
  <c r="DV56" i="2"/>
  <c r="DV57" i="2"/>
  <c r="DV58" i="2"/>
  <c r="DV59" i="2"/>
  <c r="DV60" i="2"/>
  <c r="DV61" i="2"/>
  <c r="DV62" i="2"/>
  <c r="DV63" i="2"/>
  <c r="DV64" i="2"/>
  <c r="DV65" i="2"/>
  <c r="DV66" i="2"/>
  <c r="DV67" i="2"/>
  <c r="DV68" i="2"/>
  <c r="DV69" i="2"/>
  <c r="DV70" i="2"/>
  <c r="DV71" i="2"/>
  <c r="DV72" i="2"/>
  <c r="DV73" i="2"/>
  <c r="DV74" i="2"/>
  <c r="DV75" i="2"/>
  <c r="DV76" i="2"/>
  <c r="DV77" i="2"/>
  <c r="DV78" i="2"/>
  <c r="DV79" i="2"/>
  <c r="DV80" i="2"/>
  <c r="DV81" i="2"/>
  <c r="DV82" i="2"/>
  <c r="DV83" i="2"/>
  <c r="DV84" i="2"/>
  <c r="DV85" i="2"/>
  <c r="DV86" i="2"/>
  <c r="DV87" i="2"/>
  <c r="DV88" i="2"/>
  <c r="DV89" i="2"/>
  <c r="DV90" i="2"/>
  <c r="DV91" i="2"/>
  <c r="DV92" i="2"/>
  <c r="DV93" i="2"/>
  <c r="DV94" i="2"/>
  <c r="DV95" i="2"/>
  <c r="DV96" i="2"/>
  <c r="DV97" i="2"/>
  <c r="DV98" i="2"/>
  <c r="DV99" i="2"/>
  <c r="DV100" i="2"/>
  <c r="DV101" i="2"/>
  <c r="DV102" i="2"/>
  <c r="DV103" i="2"/>
  <c r="DV104" i="2"/>
  <c r="DV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1" i="2"/>
  <c r="DU32" i="2"/>
  <c r="DU33" i="2"/>
  <c r="DU34" i="2"/>
  <c r="DU35" i="2"/>
  <c r="DU36" i="2"/>
  <c r="DU37" i="2"/>
  <c r="DU38" i="2"/>
  <c r="DU39" i="2"/>
  <c r="DU40" i="2"/>
  <c r="DU41" i="2"/>
  <c r="DU42" i="2"/>
  <c r="DU43" i="2"/>
  <c r="DU44" i="2"/>
  <c r="DU45" i="2"/>
  <c r="DU46" i="2"/>
  <c r="DU47" i="2"/>
  <c r="DU48" i="2"/>
  <c r="DU49" i="2"/>
  <c r="DU50" i="2"/>
  <c r="DU51" i="2"/>
  <c r="DU52" i="2"/>
  <c r="DU53" i="2"/>
  <c r="DU54" i="2"/>
  <c r="DU55" i="2"/>
  <c r="DU56" i="2"/>
  <c r="DU57" i="2"/>
  <c r="DU58" i="2"/>
  <c r="DU59" i="2"/>
  <c r="DU60" i="2"/>
  <c r="DU61" i="2"/>
  <c r="DU62" i="2"/>
  <c r="DU63" i="2"/>
  <c r="DU64" i="2"/>
  <c r="DU65" i="2"/>
  <c r="DU66" i="2"/>
  <c r="DU67" i="2"/>
  <c r="DU68" i="2"/>
  <c r="DU69" i="2"/>
  <c r="DU70" i="2"/>
  <c r="DU71" i="2"/>
  <c r="DU72" i="2"/>
  <c r="DU73" i="2"/>
  <c r="DU74" i="2"/>
  <c r="DU75" i="2"/>
  <c r="DU76" i="2"/>
  <c r="DU77" i="2"/>
  <c r="DU78" i="2"/>
  <c r="DU79" i="2"/>
  <c r="DU80" i="2"/>
  <c r="DU81" i="2"/>
  <c r="DU82" i="2"/>
  <c r="DU83" i="2"/>
  <c r="DU84" i="2"/>
  <c r="DU85" i="2"/>
  <c r="DU86" i="2"/>
  <c r="DU87" i="2"/>
  <c r="DU88" i="2"/>
  <c r="DU89" i="2"/>
  <c r="DU90" i="2"/>
  <c r="DU91" i="2"/>
  <c r="DU92" i="2"/>
  <c r="DU93" i="2"/>
  <c r="DU94" i="2"/>
  <c r="DU95" i="2"/>
  <c r="DU96" i="2"/>
  <c r="DU97" i="2"/>
  <c r="DU98" i="2"/>
  <c r="DU99" i="2"/>
  <c r="DU100" i="2"/>
  <c r="DU101" i="2"/>
  <c r="DU102" i="2"/>
  <c r="DU103" i="2"/>
  <c r="DU104" i="2"/>
  <c r="DU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5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2" i="2"/>
  <c r="DT73" i="2"/>
  <c r="DT74" i="2"/>
  <c r="DT75" i="2"/>
  <c r="DT76" i="2"/>
  <c r="DT77" i="2"/>
  <c r="DT78" i="2"/>
  <c r="DT79" i="2"/>
  <c r="DT80" i="2"/>
  <c r="DT81" i="2"/>
  <c r="DT82" i="2"/>
  <c r="DT83" i="2"/>
  <c r="DT84" i="2"/>
  <c r="DT85" i="2"/>
  <c r="DT86" i="2"/>
  <c r="DT87" i="2"/>
  <c r="DT88" i="2"/>
  <c r="DT89" i="2"/>
  <c r="DT90" i="2"/>
  <c r="DT91" i="2"/>
  <c r="DT92" i="2"/>
  <c r="DT93" i="2"/>
  <c r="DT94" i="2"/>
  <c r="DT95" i="2"/>
  <c r="DT96" i="2"/>
  <c r="DT97" i="2"/>
  <c r="DT98" i="2"/>
  <c r="DT99" i="2"/>
  <c r="DT100" i="2"/>
  <c r="DT101" i="2"/>
  <c r="DT102" i="2"/>
  <c r="DT103" i="2"/>
  <c r="DT104" i="2"/>
  <c r="DT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EG37" i="2" s="1"/>
  <c r="DS38" i="2"/>
  <c r="DS39" i="2"/>
  <c r="EG39" i="2" s="1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79" i="2"/>
  <c r="DS80" i="2"/>
  <c r="DS81" i="2"/>
  <c r="DS82" i="2"/>
  <c r="DS83" i="2"/>
  <c r="DS84" i="2"/>
  <c r="DS85" i="2"/>
  <c r="DS86" i="2"/>
  <c r="DS87" i="2"/>
  <c r="DS88" i="2"/>
  <c r="DS89" i="2"/>
  <c r="DS90" i="2"/>
  <c r="DS91" i="2"/>
  <c r="DS92" i="2"/>
  <c r="DS93" i="2"/>
  <c r="DS94" i="2"/>
  <c r="DS95" i="2"/>
  <c r="DS96" i="2"/>
  <c r="DS97" i="2"/>
  <c r="DS98" i="2"/>
  <c r="DS99" i="2"/>
  <c r="DS100" i="2"/>
  <c r="DS101" i="2"/>
  <c r="DS102" i="2"/>
  <c r="DS103" i="2"/>
  <c r="DS104" i="2"/>
  <c r="DS9" i="2"/>
  <c r="EI9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108" i="2"/>
  <c r="C107" i="2"/>
  <c r="C106" i="2"/>
  <c r="C105" i="2"/>
  <c r="CO7" i="5"/>
  <c r="CE7" i="5"/>
  <c r="BU7" i="5"/>
  <c r="BK7" i="5"/>
  <c r="BA7" i="5"/>
  <c r="AQ7" i="5"/>
  <c r="AG7" i="5"/>
  <c r="W7" i="5"/>
  <c r="M7" i="5"/>
  <c r="C7" i="5"/>
  <c r="CO7" i="4"/>
  <c r="CE7" i="4"/>
  <c r="BU7" i="4"/>
  <c r="BK7" i="4"/>
  <c r="BA7" i="4"/>
  <c r="AQ7" i="4"/>
  <c r="AG7" i="4"/>
  <c r="W7" i="4"/>
  <c r="M7" i="4"/>
  <c r="C7" i="4"/>
  <c r="CO7" i="3"/>
  <c r="CE7" i="3"/>
  <c r="BU7" i="3"/>
  <c r="BK7" i="3"/>
  <c r="BA7" i="3"/>
  <c r="AQ7" i="3"/>
  <c r="AG7" i="3"/>
  <c r="W7" i="3"/>
  <c r="M7" i="3"/>
  <c r="C7" i="3"/>
  <c r="CO7" i="2"/>
  <c r="EB8" i="2" s="1"/>
  <c r="CE7" i="2"/>
  <c r="EA8" i="2" s="1"/>
  <c r="BU7" i="2"/>
  <c r="DZ8" i="2" s="1"/>
  <c r="BK7" i="2"/>
  <c r="DY8" i="2" s="1"/>
  <c r="BA7" i="2"/>
  <c r="DX8" i="2" s="1"/>
  <c r="AQ7" i="2"/>
  <c r="DW8" i="2" s="1"/>
  <c r="AG7" i="2"/>
  <c r="DV8" i="2" s="1"/>
  <c r="W7" i="2"/>
  <c r="DU8" i="2" s="1"/>
  <c r="M7" i="2"/>
  <c r="DT8" i="2" s="1"/>
  <c r="C7" i="2"/>
  <c r="DS8" i="2" s="1"/>
  <c r="BA4" i="8"/>
  <c r="AN82" i="8" a="1"/>
  <c r="AM83" i="8" a="1"/>
  <c r="AP87" i="8" a="1"/>
  <c r="AM78" i="8" a="1"/>
  <c r="AO85" i="8" a="1"/>
  <c r="AL79" i="8" a="1"/>
  <c r="AR80" i="8" a="1"/>
  <c r="AQ79" i="8" a="1"/>
  <c r="AO77" i="8" a="1"/>
  <c r="AN76" i="8" a="1"/>
  <c r="AD82" i="8" a="1"/>
  <c r="AB82" i="8" a="1"/>
  <c r="AG87" i="8" a="1"/>
  <c r="AG83" i="8" a="1"/>
  <c r="AI79" i="8" a="1"/>
  <c r="AH83" i="8" a="1"/>
  <c r="AI82" i="8" a="1"/>
  <c r="AA82" i="8" a="1"/>
  <c r="Z84" i="8" a="1"/>
  <c r="AI76" i="8" a="1"/>
  <c r="T82" i="8" a="1"/>
  <c r="Q82" i="8" a="1"/>
  <c r="U77" i="8" a="1"/>
  <c r="W83" i="8" a="1"/>
  <c r="S77" i="8" a="1"/>
  <c r="R77" i="8" a="1"/>
  <c r="T84" i="8" a="1"/>
  <c r="Y82" i="8" a="1"/>
  <c r="W78" i="8" a="1"/>
  <c r="S76" i="8" a="1"/>
  <c r="BA4" i="9"/>
  <c r="AO81" i="9" a="1"/>
  <c r="F76" i="9" a="1"/>
  <c r="AJ83" i="9" a="1"/>
  <c r="Z86" i="9" a="1"/>
  <c r="I83" i="9" a="1"/>
  <c r="K78" i="9" a="1"/>
  <c r="AF82" i="9" a="1"/>
  <c r="W80" i="9" a="1"/>
  <c r="AM87" i="9" a="1"/>
  <c r="AH84" i="9" a="1"/>
  <c r="Q77" i="9" a="1"/>
  <c r="AA76" i="9" a="1"/>
  <c r="AP80" i="9" a="1"/>
  <c r="Y81" i="9" a="1"/>
  <c r="F83" i="9" a="1"/>
  <c r="AG85" i="9" a="1"/>
  <c r="BA4" i="6"/>
  <c r="U87" i="6" a="1"/>
  <c r="AC85" i="6" a="1"/>
  <c r="AE83" i="6" a="1"/>
  <c r="I81" i="6" a="1"/>
  <c r="AF85" i="6" a="1"/>
  <c r="AQ79" i="6" a="1"/>
  <c r="AJ77" i="6" a="1"/>
  <c r="F79" i="6" a="1"/>
  <c r="AD81" i="6" a="1"/>
  <c r="AG79" i="6" a="1"/>
  <c r="G78" i="6" a="1"/>
  <c r="Z84" i="6" a="1"/>
  <c r="AQ87" i="6" a="1"/>
  <c r="AE84" i="6" a="1"/>
  <c r="G81" i="6" a="1"/>
  <c r="V86" i="6" a="1"/>
  <c r="AF79" i="6" a="1"/>
  <c r="X79" i="6" a="1"/>
  <c r="AL84" i="6" a="1"/>
  <c r="N81" i="6" a="1"/>
  <c r="U77" i="6" a="1"/>
  <c r="U85" i="6" a="1"/>
  <c r="L77" i="6" a="1"/>
  <c r="V76" i="6" a="1"/>
  <c r="L80" i="6" a="1"/>
  <c r="V80" i="6" a="1"/>
  <c r="AN77" i="6" a="1"/>
  <c r="K84" i="6" a="1"/>
  <c r="R81" i="6" a="1"/>
  <c r="AR84" i="6" a="1"/>
  <c r="S77" i="6" a="1"/>
  <c r="K83" i="6" a="1"/>
  <c r="U76" i="6" a="1"/>
  <c r="V79" i="6" a="1"/>
  <c r="L78" i="6" a="1"/>
  <c r="P82" i="6" a="1"/>
  <c r="AG86" i="6" a="1"/>
  <c r="Q86" i="6" a="1"/>
  <c r="AS77" i="6" a="1"/>
  <c r="AD77" i="6" a="1"/>
  <c r="AP83" i="8" a="1"/>
  <c r="AO87" i="8" a="1"/>
  <c r="AS82" i="8" a="1"/>
  <c r="AO79" i="8" a="1"/>
  <c r="AQ86" i="8" a="1"/>
  <c r="AK78" i="8" a="1"/>
  <c r="AJ82" i="8" a="1"/>
  <c r="AK82" i="8" a="1"/>
  <c r="AM82" i="8" a="1"/>
  <c r="AJ76" i="8" a="1"/>
  <c r="AF83" i="8" a="1"/>
  <c r="AF87" i="8" a="1"/>
  <c r="AG77" i="8" a="1"/>
  <c r="AI84" i="8" a="1"/>
  <c r="AH77" i="8" a="1"/>
  <c r="Z85" i="8" a="1"/>
  <c r="AC85" i="8" a="1"/>
  <c r="AC83" i="8" a="1"/>
  <c r="AD86" i="8" a="1"/>
  <c r="Z76" i="8" a="1"/>
  <c r="V83" i="8" a="1"/>
  <c r="Y83" i="8" a="1"/>
  <c r="W77" i="8" a="1"/>
  <c r="Y84" i="8" a="1"/>
  <c r="S83" i="8" a="1"/>
  <c r="T78" i="8" a="1"/>
  <c r="V85" i="8" a="1"/>
  <c r="Y85" i="8" a="1"/>
  <c r="S82" i="8" a="1"/>
  <c r="K87" i="9" a="1"/>
  <c r="AP82" i="9" a="1"/>
  <c r="W81" i="9" a="1"/>
  <c r="J79" i="9" a="1"/>
  <c r="G80" i="9" a="1"/>
  <c r="AA85" i="9" a="1"/>
  <c r="AG82" i="9" a="1"/>
  <c r="N87" i="9" a="1"/>
  <c r="AS76" i="9" a="1"/>
  <c r="M79" i="9" a="1"/>
  <c r="AG83" i="9" a="1"/>
  <c r="AD78" i="9" a="1"/>
  <c r="AC79" i="9" a="1"/>
  <c r="AJ81" i="9" a="1"/>
  <c r="AF87" i="9" a="1"/>
  <c r="J85" i="9" a="1"/>
  <c r="H77" i="9" a="1"/>
  <c r="J77" i="9" a="1"/>
  <c r="AC82" i="6" a="1"/>
  <c r="I87" i="6" a="1"/>
  <c r="Q85" i="6" a="1"/>
  <c r="S83" i="6" a="1"/>
  <c r="Y80" i="6" a="1"/>
  <c r="X84" i="6" a="1"/>
  <c r="AB79" i="6" a="1"/>
  <c r="V77" i="6" a="1"/>
  <c r="J78" i="6" a="1"/>
  <c r="I78" i="6" a="1"/>
  <c r="AD78" i="6" a="1"/>
  <c r="AD76" i="6" a="1"/>
  <c r="Z81" i="6" a="1"/>
  <c r="Y87" i="6" a="1"/>
  <c r="G84" i="6" a="1"/>
  <c r="AI79" i="6" a="1"/>
  <c r="AD80" i="6" a="1"/>
  <c r="K77" i="6" a="1"/>
  <c r="G76" i="6" a="1"/>
  <c r="N84" i="6" a="1"/>
  <c r="AE80" i="6" a="1"/>
  <c r="R76" i="6" a="1"/>
  <c r="M84" i="6" a="1"/>
  <c r="I76" i="6" a="1"/>
  <c r="T86" i="6" a="1"/>
  <c r="AB78" i="6" a="1"/>
  <c r="P78" i="6" a="1"/>
  <c r="H76" i="6" a="1"/>
  <c r="K81" i="6" a="1"/>
  <c r="AE87" i="6" a="1"/>
  <c r="T84" i="6" a="1"/>
  <c r="AR85" i="6" a="1"/>
  <c r="AI80" i="6" a="1"/>
  <c r="AH86" i="6" a="1"/>
  <c r="H84" i="6" a="1"/>
  <c r="R87" i="6" a="1"/>
  <c r="T76" i="6" a="1"/>
  <c r="I83" i="6" a="1"/>
  <c r="R80" i="6" a="1"/>
  <c r="X83" i="6" a="1"/>
  <c r="AP77" i="8" a="1"/>
  <c r="AR84" i="8" a="1"/>
  <c r="AJ81" i="8" a="1"/>
  <c r="AQ87" i="8" a="1"/>
  <c r="AQ80" i="8" a="1"/>
  <c r="AS87" i="8" a="1"/>
  <c r="AM85" i="8" a="1"/>
  <c r="AL83" i="8" a="1"/>
  <c r="AM86" i="8" a="1"/>
  <c r="AS85" i="8" a="1"/>
  <c r="AF77" i="8" a="1"/>
  <c r="AH84" i="8" a="1"/>
  <c r="Z78" i="8" a="1"/>
  <c r="AI78" i="8" a="1"/>
  <c r="AA86" i="8" a="1"/>
  <c r="Z79" i="8" a="1"/>
  <c r="AB86" i="8" a="1"/>
  <c r="AC77" i="8" a="1"/>
  <c r="AE84" i="8" a="1"/>
  <c r="AI85" i="8" a="1"/>
  <c r="V77" i="8" a="1"/>
  <c r="X84" i="8" a="1"/>
  <c r="U87" i="8" a="1"/>
  <c r="Y78" i="8" a="1"/>
  <c r="Q86" i="8" a="1"/>
  <c r="W85" i="8" a="1"/>
  <c r="V79" i="8" a="1"/>
  <c r="X86" i="8" a="1"/>
  <c r="W79" i="8" a="1"/>
  <c r="U86" i="8" a="1"/>
  <c r="AI80" i="9" a="1"/>
  <c r="M81" i="9" a="1"/>
  <c r="AS77" i="9" a="1"/>
  <c r="AI77" i="9" a="1"/>
  <c r="P85" i="9" a="1"/>
  <c r="Y82" i="9" a="1"/>
  <c r="G85" i="9" a="1"/>
  <c r="AR86" i="9" a="1"/>
  <c r="Z81" i="9" a="1"/>
  <c r="AQ81" i="9" a="1"/>
  <c r="F78" i="9" a="1"/>
  <c r="U86" i="9" a="1"/>
  <c r="O79" i="9" a="1"/>
  <c r="J86" i="9" a="1"/>
  <c r="K76" i="9" a="1"/>
  <c r="V85" i="9" a="1"/>
  <c r="U82" i="9" a="1"/>
  <c r="K82" i="6" a="1"/>
  <c r="AQ86" i="6" a="1"/>
  <c r="K85" i="6" a="1"/>
  <c r="M83" i="6" a="1"/>
  <c r="AR87" i="6" a="1"/>
  <c r="AN83" i="6" a="1"/>
  <c r="U79" i="6" a="1"/>
  <c r="O77" i="6" a="1"/>
  <c r="AB77" i="6" a="1"/>
  <c r="M77" i="6" a="1"/>
  <c r="H78" i="6" a="1"/>
  <c r="AN87" i="6" a="1"/>
  <c r="AL79" i="6" a="1"/>
  <c r="Q87" i="6" a="1"/>
  <c r="AF83" i="6" a="1"/>
  <c r="AM78" i="6" a="1"/>
  <c r="AC86" i="6" a="1"/>
  <c r="O76" i="6" a="1"/>
  <c r="Z85" i="6" a="1"/>
  <c r="AM83" i="6" a="1"/>
  <c r="P80" i="6" a="1"/>
  <c r="AH87" i="6" a="1"/>
  <c r="AD82" i="6" a="1"/>
  <c r="M82" i="6" a="1"/>
  <c r="S84" i="6" a="1"/>
  <c r="AM77" i="6" a="1"/>
  <c r="T77" i="6" a="1"/>
  <c r="L87" i="6" a="1"/>
  <c r="T80" i="6" a="1"/>
  <c r="W87" i="6" a="1"/>
  <c r="AS83" i="6" a="1"/>
  <c r="AJ84" i="6" a="1"/>
  <c r="R86" i="6" a="1"/>
  <c r="R84" i="6" a="1"/>
  <c r="AF81" i="6" a="1"/>
  <c r="AO84" i="6" a="1"/>
  <c r="AO86" i="6" a="1"/>
  <c r="AO81" i="6" a="1"/>
  <c r="S78" i="6" a="1"/>
  <c r="I77" i="6" a="1"/>
  <c r="AL78" i="8" a="1"/>
  <c r="AN85" i="8" a="1"/>
  <c r="AP81" i="8" a="1"/>
  <c r="AK79" i="8" a="1"/>
  <c r="AM81" i="8" a="1"/>
  <c r="AM80" i="8" a="1"/>
  <c r="AK87" i="8" a="1"/>
  <c r="AR83" i="8" a="1"/>
  <c r="AR79" i="8" a="1"/>
  <c r="AK76" i="8" a="1"/>
  <c r="AB78" i="8" a="1"/>
  <c r="AD85" i="8" a="1"/>
  <c r="AF84" i="8" a="1"/>
  <c r="AE79" i="8" a="1"/>
  <c r="AG86" i="8" a="1"/>
  <c r="AF79" i="8" a="1"/>
  <c r="AH86" i="8" a="1"/>
  <c r="AI77" i="8" a="1"/>
  <c r="AA85" i="8" a="1"/>
  <c r="AA76" i="8" a="1"/>
  <c r="R78" i="8" a="1"/>
  <c r="T85" i="8" a="1"/>
  <c r="T80" i="8" a="1"/>
  <c r="U79" i="8" a="1"/>
  <c r="W86" i="8" a="1"/>
  <c r="X79" i="8" a="1"/>
  <c r="R80" i="8" a="1"/>
  <c r="T87" i="8" a="1"/>
  <c r="T77" i="8" a="1"/>
  <c r="Q76" i="8" a="1"/>
  <c r="AJ76" i="9" a="1"/>
  <c r="V86" i="9" a="1"/>
  <c r="AQ78" i="9" a="1"/>
  <c r="V76" i="9" a="1"/>
  <c r="AG86" i="9" a="1"/>
  <c r="AE84" i="9" a="1"/>
  <c r="G82" i="9" a="1"/>
  <c r="I79" i="9" a="1"/>
  <c r="U87" i="9" a="1"/>
  <c r="AQ85" i="9" a="1"/>
  <c r="AF85" i="9" a="1"/>
  <c r="AP76" i="9" a="1"/>
  <c r="F80" i="9" a="1"/>
  <c r="Z77" i="9" a="1"/>
  <c r="Q87" i="9" a="1"/>
  <c r="R81" i="9" a="1"/>
  <c r="AQ83" i="9" a="1"/>
  <c r="I77" i="9" a="1"/>
  <c r="AA81" i="6" a="1"/>
  <c r="AE86" i="6" a="1"/>
  <c r="AM84" i="6" a="1"/>
  <c r="AO82" i="6" a="1"/>
  <c r="AF87" i="6" a="1"/>
  <c r="AF82" i="6" a="1"/>
  <c r="G79" i="6" a="1"/>
  <c r="AN76" i="6" a="1"/>
  <c r="AF76" i="6" a="1"/>
  <c r="F85" i="6" a="1"/>
  <c r="AS76" i="6" a="1"/>
  <c r="L85" i="6" a="1"/>
  <c r="T78" i="6" a="1"/>
  <c r="AF86" i="6" a="1"/>
  <c r="H83" i="6" a="1"/>
  <c r="G77" i="6" a="1"/>
  <c r="AK81" i="6" a="1"/>
  <c r="AJ85" i="6" a="1"/>
  <c r="AM86" i="6" a="1"/>
  <c r="O83" i="6" a="1"/>
  <c r="AP79" i="6" a="1"/>
  <c r="N85" i="6" a="1"/>
  <c r="M81" i="6" a="1"/>
  <c r="K79" i="6" a="1"/>
  <c r="AQ81" i="6" a="1"/>
  <c r="N76" i="6" a="1"/>
  <c r="AJ80" i="6" a="1"/>
  <c r="AQ84" i="6" a="1"/>
  <c r="AI78" i="6" a="1"/>
  <c r="AS86" i="6" a="1"/>
  <c r="U83" i="6" a="1"/>
  <c r="U80" i="6" a="1"/>
  <c r="AH82" i="6" a="1"/>
  <c r="S80" i="6" a="1"/>
  <c r="W77" i="6" a="1"/>
  <c r="AH84" i="6" a="1"/>
  <c r="I82" i="6" a="1"/>
  <c r="Z78" i="6" a="1"/>
  <c r="H79" i="6" a="1"/>
  <c r="Q83" i="6" a="1"/>
  <c r="AN79" i="8" a="1"/>
  <c r="AP86" i="8" a="1"/>
  <c r="AR82" i="8" a="1"/>
  <c r="AN80" i="8" a="1"/>
  <c r="AO82" i="8" a="1"/>
  <c r="AO86" i="8" a="1"/>
  <c r="AR77" i="8" a="1"/>
  <c r="AJ85" i="8" a="1"/>
  <c r="AS77" i="8" a="1"/>
  <c r="AP76" i="8" a="1"/>
  <c r="AD79" i="8" a="1"/>
  <c r="AF86" i="8" a="1"/>
  <c r="AA81" i="8" a="1"/>
  <c r="AG80" i="8" a="1"/>
  <c r="AI87" i="8" a="1"/>
  <c r="AH80" i="8" a="1"/>
  <c r="AH79" i="8" a="1"/>
  <c r="AA79" i="8" a="1"/>
  <c r="AC86" i="8" a="1"/>
  <c r="AE76" i="8" a="1"/>
  <c r="T79" i="8" a="1"/>
  <c r="V86" i="8" a="1"/>
  <c r="T83" i="8" a="1"/>
  <c r="W80" i="8" a="1"/>
  <c r="Y87" i="8" a="1"/>
  <c r="X82" i="8" a="1"/>
  <c r="T81" i="8" a="1"/>
  <c r="S86" i="8" a="1"/>
  <c r="U80" i="8" a="1"/>
  <c r="T76" i="8" a="1"/>
  <c r="AE81" i="9" a="1"/>
  <c r="AQ82" i="9" a="1"/>
  <c r="P78" i="9" a="1"/>
  <c r="P77" i="9" a="1"/>
  <c r="U84" i="6" a="1"/>
  <c r="AK80" i="6" a="1"/>
  <c r="AE78" i="6" a="1"/>
  <c r="R83" i="6" a="1"/>
  <c r="AD84" i="6" a="1"/>
  <c r="AM80" i="6" a="1"/>
  <c r="AD87" i="6" a="1"/>
  <c r="AQ82" i="6" a="1"/>
  <c r="L82" i="6" a="1"/>
  <c r="H81" i="6" a="1"/>
  <c r="AJ77" i="8" a="1"/>
  <c r="AK80" i="8" a="1"/>
  <c r="AS83" i="8" a="1"/>
  <c r="AC79" i="8" a="1"/>
  <c r="AF85" i="8" a="1"/>
  <c r="P77" i="8" a="1"/>
  <c r="U85" i="8" a="1"/>
  <c r="W87" i="8" a="1"/>
  <c r="F80" i="8" a="1"/>
  <c r="H87" i="8" a="1"/>
  <c r="M77" i="8" a="1"/>
  <c r="O84" i="8" a="1"/>
  <c r="G78" i="8" a="1"/>
  <c r="H80" i="8" a="1"/>
  <c r="J87" i="8" a="1"/>
  <c r="M85" i="8" a="1"/>
  <c r="K78" i="8" a="1"/>
  <c r="K76" i="8" a="1"/>
  <c r="AQ79" i="9" a="1"/>
  <c r="AL83" i="9" a="1"/>
  <c r="AC81" i="9" a="1"/>
  <c r="AH86" i="9" a="1"/>
  <c r="AD77" i="9" a="1"/>
  <c r="AE85" i="9" a="1"/>
  <c r="K77" i="9" a="1"/>
  <c r="Q79" i="9" a="1"/>
  <c r="AJ79" i="9" a="1"/>
  <c r="U83" i="9" a="1"/>
  <c r="AO87" i="9" a="1"/>
  <c r="T79" i="9" a="1"/>
  <c r="J83" i="9" a="1"/>
  <c r="F87" i="9" a="1"/>
  <c r="M76" i="9" a="1"/>
  <c r="AR78" i="9" a="1"/>
  <c r="AH82" i="9" a="1"/>
  <c r="AD86" i="9" a="1"/>
  <c r="F85" i="9" a="1"/>
  <c r="AK87" i="9" a="1"/>
  <c r="AR76" i="9" a="1"/>
  <c r="AH80" i="9" a="1"/>
  <c r="AD84" i="9" a="1"/>
  <c r="AJ84" i="9" a="1"/>
  <c r="G86" i="9" a="1"/>
  <c r="P86" i="9" a="1"/>
  <c r="AG84" i="9" a="1"/>
  <c r="AN81" i="9" a="1"/>
  <c r="Y85" i="9" a="1"/>
  <c r="AP82" i="8" a="1"/>
  <c r="AG78" i="8" a="1"/>
  <c r="R86" i="8" a="1"/>
  <c r="N82" i="8" a="1"/>
  <c r="L85" i="8" a="1"/>
  <c r="G76" i="8" a="1"/>
  <c r="AB77" i="9" a="1"/>
  <c r="S81" i="9" a="1"/>
  <c r="AC85" i="9" a="1"/>
  <c r="S87" i="9" a="1"/>
  <c r="AH85" i="6" a="1"/>
  <c r="N86" i="8" a="1"/>
  <c r="L76" i="9" a="1"/>
  <c r="N79" i="9" a="1"/>
  <c r="AB82" i="9" a="1"/>
  <c r="X84" i="9" a="1"/>
  <c r="R79" i="9" a="1"/>
  <c r="O82" i="9" a="1"/>
  <c r="V79" i="9" a="1"/>
  <c r="AK84" i="9" a="1"/>
  <c r="AM81" i="6" a="1"/>
  <c r="AL87" i="6" a="1"/>
  <c r="F77" i="6" a="1"/>
  <c r="I79" i="6" a="1"/>
  <c r="AC83" i="6" a="1"/>
  <c r="I80" i="6" a="1"/>
  <c r="T83" i="6" a="1"/>
  <c r="AE79" i="6" a="1"/>
  <c r="J85" i="6" a="1"/>
  <c r="Y84" i="6" a="1"/>
  <c r="AR78" i="8" a="1"/>
  <c r="AS81" i="8" a="1"/>
  <c r="AO80" i="8" a="1"/>
  <c r="AA78" i="8" a="1"/>
  <c r="AD87" i="8" a="1"/>
  <c r="X78" i="8" a="1"/>
  <c r="S87" i="8" a="1"/>
  <c r="R85" i="8" a="1"/>
  <c r="L80" i="8" a="1"/>
  <c r="N87" i="8" a="1"/>
  <c r="I78" i="8" a="1"/>
  <c r="K85" i="8" a="1"/>
  <c r="M81" i="8" a="1"/>
  <c r="N80" i="8" a="1"/>
  <c r="I77" i="8" a="1"/>
  <c r="I86" i="8" a="1"/>
  <c r="F78" i="8" a="1"/>
  <c r="H76" i="8" a="1"/>
  <c r="K80" i="9" a="1"/>
  <c r="N84" i="9" a="1"/>
  <c r="Y78" i="9" a="1"/>
  <c r="AP79" i="9" a="1"/>
  <c r="AM77" i="9" a="1"/>
  <c r="AM85" i="9" a="1"/>
  <c r="J78" i="9" a="1"/>
  <c r="T81" i="9" a="1"/>
  <c r="AS79" i="9" a="1"/>
  <c r="AE83" i="9" a="1"/>
  <c r="Q86" i="9" a="1"/>
  <c r="Z79" i="9" a="1"/>
  <c r="P83" i="9" a="1"/>
  <c r="L87" i="9" a="1"/>
  <c r="S76" i="9" a="1"/>
  <c r="I80" i="9" a="1"/>
  <c r="AN82" i="9" a="1"/>
  <c r="AJ86" i="9" a="1"/>
  <c r="L85" i="9" a="1"/>
  <c r="AQ87" i="9" a="1"/>
  <c r="I78" i="9" a="1"/>
  <c r="AN80" i="9" a="1"/>
  <c r="Q82" i="9" a="1"/>
  <c r="S86" i="9" a="1"/>
  <c r="N81" i="9" a="1"/>
  <c r="Y77" i="9" a="1"/>
  <c r="AI84" i="9" a="1"/>
  <c r="Y86" i="9" a="1"/>
  <c r="Y83" i="6" a="1"/>
  <c r="AM86" i="9" a="1"/>
  <c r="AS80" i="8" a="1"/>
  <c r="O76" i="9" a="1"/>
  <c r="AI78" i="9" a="1"/>
  <c r="U85" i="9" a="1"/>
  <c r="J87" i="9" a="1"/>
  <c r="AA87" i="6" a="1"/>
  <c r="P86" i="6" a="1"/>
  <c r="N82" i="6" a="1"/>
  <c r="W79" i="6" a="1"/>
  <c r="AJ81" i="6" a="1"/>
  <c r="AI77" i="6" a="1"/>
  <c r="S82" i="6" a="1"/>
  <c r="AP84" i="6" a="1"/>
  <c r="J77" i="6" a="1"/>
  <c r="M76" i="6" a="1"/>
  <c r="AJ83" i="8" a="1"/>
  <c r="AK86" i="8" a="1"/>
  <c r="AQ81" i="8" a="1"/>
  <c r="AA77" i="8" a="1"/>
  <c r="AA84" i="8" a="1"/>
  <c r="P83" i="8" a="1"/>
  <c r="U81" i="8" a="1"/>
  <c r="Q81" i="8" a="1"/>
  <c r="H81" i="8" a="1"/>
  <c r="J80" i="8" a="1"/>
  <c r="O78" i="8" a="1"/>
  <c r="G86" i="8" a="1"/>
  <c r="O82" i="8" a="1"/>
  <c r="J81" i="8" a="1"/>
  <c r="G79" i="8" a="1"/>
  <c r="O86" i="8" a="1"/>
  <c r="J83" i="8" a="1"/>
  <c r="N76" i="8" a="1"/>
  <c r="AC80" i="9" a="1"/>
  <c r="V84" i="9" a="1"/>
  <c r="X79" i="9" a="1"/>
  <c r="W76" i="9" a="1"/>
  <c r="AC78" i="9" a="1"/>
  <c r="H86" i="9" a="1"/>
  <c r="AH78" i="9" a="1"/>
  <c r="AJ77" i="9" a="1"/>
  <c r="L80" i="9" a="1"/>
  <c r="AM83" i="9" a="1"/>
  <c r="AC86" i="9" a="1"/>
  <c r="AF79" i="9" a="1"/>
  <c r="V83" i="9" a="1"/>
  <c r="R87" i="9" a="1"/>
  <c r="Y76" i="9" a="1"/>
  <c r="O80" i="9" a="1"/>
  <c r="K84" i="9" a="1"/>
  <c r="AP86" i="9" a="1"/>
  <c r="R85" i="9" a="1"/>
  <c r="J81" i="9" a="1"/>
  <c r="O78" i="9" a="1"/>
  <c r="K82" i="9" a="1"/>
  <c r="AP84" i="9" a="1"/>
  <c r="V81" i="9" a="1"/>
  <c r="AC82" i="9" a="1"/>
  <c r="H83" i="9" a="1"/>
  <c r="O81" i="9" a="1"/>
  <c r="AP85" i="9" a="1"/>
  <c r="AK79" i="9" a="1"/>
  <c r="AG81" i="9" a="1"/>
  <c r="AF84" i="6" a="1"/>
  <c r="G77" i="8" a="1"/>
  <c r="AD83" i="9" a="1"/>
  <c r="AR77" i="9" a="1"/>
  <c r="AR87" i="9" a="1"/>
  <c r="G76" i="9" a="1"/>
  <c r="AB80" i="9" a="1"/>
  <c r="H80" i="9" a="1"/>
  <c r="U77" i="9" a="1"/>
  <c r="H84" i="9" a="1"/>
  <c r="AI76" i="9" a="1"/>
  <c r="O87" i="6" a="1"/>
  <c r="H85" i="6" a="1"/>
  <c r="AS78" i="6" a="1"/>
  <c r="AI87" i="6" a="1"/>
  <c r="V78" i="6" a="1"/>
  <c r="AM76" i="6" a="1"/>
  <c r="P79" i="6" a="1"/>
  <c r="AO87" i="6" a="1"/>
  <c r="K87" i="6" a="1"/>
  <c r="Q84" i="6" a="1"/>
  <c r="AL84" i="8" a="1"/>
  <c r="AM87" i="8" a="1"/>
  <c r="AK84" i="8" a="1"/>
  <c r="AC78" i="8" a="1"/>
  <c r="AA87" i="8" a="1"/>
  <c r="R84" i="8" a="1"/>
  <c r="U84" i="8" a="1"/>
  <c r="U83" i="8" a="1"/>
  <c r="N81" i="8" a="1"/>
  <c r="K77" i="8" a="1"/>
  <c r="K79" i="8" a="1"/>
  <c r="M86" i="8" a="1"/>
  <c r="G84" i="8" a="1"/>
  <c r="F82" i="8" a="1"/>
  <c r="M79" i="8" a="1"/>
  <c r="J77" i="8" a="1"/>
  <c r="H85" i="8" a="1"/>
  <c r="I76" i="8" a="1"/>
  <c r="AK80" i="9" a="1"/>
  <c r="AF84" i="9" a="1"/>
  <c r="Q80" i="9" a="1"/>
  <c r="V77" i="9" a="1"/>
  <c r="S79" i="9" a="1"/>
  <c r="P87" i="9" a="1"/>
  <c r="AO79" i="9" a="1"/>
  <c r="Y79" i="9" a="1"/>
  <c r="T80" i="9" a="1"/>
  <c r="G84" i="9" a="1"/>
  <c r="G77" i="9" a="1"/>
  <c r="AL79" i="9" a="1"/>
  <c r="AB83" i="9" a="1"/>
  <c r="X87" i="9" a="1"/>
  <c r="AE76" i="9" a="1"/>
  <c r="U80" i="9" a="1"/>
  <c r="Q84" i="9" a="1"/>
  <c r="AM79" i="9" a="1"/>
  <c r="X85" i="9" a="1"/>
  <c r="U78" i="9" a="1"/>
  <c r="K79" i="9" a="1"/>
  <c r="AP87" i="9" a="1"/>
  <c r="AM78" i="9" a="1"/>
  <c r="AF80" i="6" a="1"/>
  <c r="AL76" i="6" a="1"/>
  <c r="AR76" i="6" a="1"/>
  <c r="W76" i="6" a="1"/>
  <c r="AQ84" i="8" a="1"/>
  <c r="AD78" i="8" a="1"/>
  <c r="S78" i="8" a="1"/>
  <c r="H78" i="8" a="1"/>
  <c r="G85" i="8" a="1"/>
  <c r="I83" i="8" a="1"/>
  <c r="AJ78" i="9" a="1"/>
  <c r="AK82" i="9" a="1"/>
  <c r="P82" i="9" a="1"/>
  <c r="L84" i="9" a="1"/>
  <c r="AF76" i="8" a="1"/>
  <c r="L77" i="9" a="1"/>
  <c r="L81" i="9" a="1"/>
  <c r="X77" i="9" a="1"/>
  <c r="N83" i="9" a="1"/>
  <c r="AK86" i="6" a="1"/>
  <c r="P83" i="6" a="1"/>
  <c r="AD85" i="6" a="1"/>
  <c r="G87" i="6" a="1"/>
  <c r="AR86" i="6" a="1"/>
  <c r="P87" i="6" a="1"/>
  <c r="AQ76" i="6" a="1"/>
  <c r="M87" i="6" a="1"/>
  <c r="AP81" i="6" a="1"/>
  <c r="AC79" i="6" a="1"/>
  <c r="AJ86" i="8" a="1"/>
  <c r="AM79" i="8" a="1"/>
  <c r="AQ76" i="8" a="1"/>
  <c r="AA80" i="8" a="1"/>
  <c r="AE78" i="8" a="1"/>
  <c r="P86" i="8" a="1"/>
  <c r="V81" i="8" a="1"/>
  <c r="W76" i="8" a="1"/>
  <c r="J82" i="8" a="1"/>
  <c r="I82" i="8" a="1"/>
  <c r="G80" i="8" a="1"/>
  <c r="I87" i="8" a="1"/>
  <c r="I85" i="8" a="1"/>
  <c r="L82" i="8" a="1"/>
  <c r="I80" i="8" a="1"/>
  <c r="H79" i="8" a="1"/>
  <c r="J86" i="8" a="1"/>
  <c r="O76" i="8" a="1"/>
  <c r="H82" i="9" a="1"/>
  <c r="AN84" i="9" a="1"/>
  <c r="N82" i="9" a="1"/>
  <c r="AL77" i="9" a="1"/>
  <c r="AB79" i="9" a="1"/>
  <c r="AA87" i="9" a="1"/>
  <c r="Y80" i="9" a="1"/>
  <c r="I76" i="9" a="1"/>
  <c r="AD80" i="9" a="1"/>
  <c r="O84" i="9" a="1"/>
  <c r="M77" i="9" a="1"/>
  <c r="AR79" i="9" a="1"/>
  <c r="AH83" i="9" a="1"/>
  <c r="AD87" i="9" a="1"/>
  <c r="AK76" i="9" a="1"/>
  <c r="AA80" i="9" a="1"/>
  <c r="W84" i="9" a="1"/>
  <c r="P81" i="9" a="1"/>
  <c r="AD85" i="9" a="1"/>
  <c r="AH81" i="9" a="1"/>
  <c r="AA78" i="9" a="1"/>
  <c r="W82" i="9" a="1"/>
  <c r="M86" i="9" a="1"/>
  <c r="AB81" i="9" a="1"/>
  <c r="W83" i="9" a="1"/>
  <c r="R77" i="9" a="1"/>
  <c r="K85" i="9" a="1"/>
  <c r="H76" i="9" a="1"/>
  <c r="O86" i="9" a="1"/>
  <c r="J78" i="8" a="1"/>
  <c r="AP81" i="9" a="1"/>
  <c r="AC83" i="9" a="1"/>
  <c r="AG80" i="6" a="1"/>
  <c r="S84" i="8" a="1"/>
  <c r="T85" i="9" a="1"/>
  <c r="AO83" i="9" a="1"/>
  <c r="AL84" i="9" a="1"/>
  <c r="Z83" i="9" a="1"/>
  <c r="M80" i="9" a="1"/>
  <c r="U79" i="9" a="1"/>
  <c r="AI85" i="6" a="1"/>
  <c r="J80" i="6" a="1"/>
  <c r="O80" i="6" a="1"/>
  <c r="AN84" i="6" a="1"/>
  <c r="AI81" i="6" a="1"/>
  <c r="AS85" i="6" a="1"/>
  <c r="N83" i="6" a="1"/>
  <c r="M85" i="6" a="1"/>
  <c r="AH81" i="6" a="1"/>
  <c r="AH76" i="6" a="1"/>
  <c r="AQ85" i="8" a="1"/>
  <c r="AJ87" i="8" a="1"/>
  <c r="AO76" i="8" a="1"/>
  <c r="AC84" i="8" a="1"/>
  <c r="AG82" i="8" a="1"/>
  <c r="W82" i="8" a="1"/>
  <c r="X77" i="8" a="1"/>
  <c r="Y76" i="8" a="1"/>
  <c r="F83" i="8" a="1"/>
  <c r="K83" i="8" a="1"/>
  <c r="M80" i="8" a="1"/>
  <c r="O87" i="8" a="1"/>
  <c r="K86" i="8" a="1"/>
  <c r="H83" i="8" a="1"/>
  <c r="O80" i="8" a="1"/>
  <c r="F81" i="8" a="1"/>
  <c r="L87" i="8" a="1"/>
  <c r="L76" i="8" a="1"/>
  <c r="R82" i="9" a="1"/>
  <c r="AB85" i="9" a="1"/>
  <c r="R83" i="9" a="1"/>
  <c r="L78" i="9" a="1"/>
  <c r="F81" i="9" a="1"/>
  <c r="AL87" i="9" a="1"/>
  <c r="F82" i="9" a="1"/>
  <c r="X76" i="9" a="1"/>
  <c r="AL80" i="9" a="1"/>
  <c r="Y84" i="9" a="1"/>
  <c r="S77" i="9" a="1"/>
  <c r="I81" i="9" a="1"/>
  <c r="AN83" i="9" a="1"/>
  <c r="AJ87" i="9" a="1"/>
  <c r="AQ76" i="9" a="1"/>
  <c r="AG80" i="9" a="1"/>
  <c r="AC84" i="9" a="1"/>
  <c r="AJ85" i="9" a="1"/>
  <c r="AG78" i="9" a="1"/>
  <c r="AG76" i="9" a="1"/>
  <c r="AM80" i="9" a="1"/>
  <c r="AI82" i="9" a="1"/>
  <c r="AC77" i="6" a="1"/>
  <c r="AD84" i="8" a="1"/>
  <c r="X82" i="9" a="1"/>
  <c r="AQ80" i="9" a="1"/>
  <c r="Z84" i="9" a="1"/>
  <c r="X80" i="9" a="1"/>
  <c r="W85" i="6" a="1"/>
  <c r="AJ79" i="6" a="1"/>
  <c r="L79" i="6" a="1"/>
  <c r="P84" i="6" a="1"/>
  <c r="X77" i="6" a="1"/>
  <c r="AK84" i="6" a="1"/>
  <c r="S79" i="6" a="1"/>
  <c r="AC84" i="6" a="1"/>
  <c r="AI76" i="6" a="1"/>
  <c r="AG82" i="6" a="1"/>
  <c r="AN77" i="8" a="1"/>
  <c r="AO83" i="8" a="1"/>
  <c r="Z77" i="8" a="1"/>
  <c r="AE85" i="8" a="1"/>
  <c r="AI83" i="8" a="1"/>
  <c r="Q85" i="8" a="1"/>
  <c r="P79" i="8" a="1"/>
  <c r="P76" i="8" a="1"/>
  <c r="L83" i="8" a="1"/>
  <c r="M84" i="8" a="1"/>
  <c r="I81" i="8" a="1"/>
  <c r="L81" i="8" a="1"/>
  <c r="M87" i="8" a="1"/>
  <c r="N83" i="8" a="1"/>
  <c r="K81" i="8" a="1"/>
  <c r="H82" i="8" a="1"/>
  <c r="O79" i="8" a="1"/>
  <c r="F76" i="8" a="1"/>
  <c r="Z82" i="9" a="1"/>
  <c r="J84" i="9" a="1"/>
  <c r="I82" i="9" a="1"/>
  <c r="H78" i="9" a="1"/>
  <c r="W84" i="6" a="1"/>
  <c r="AA76" i="6" a="1"/>
  <c r="AI87" i="9" a="1"/>
  <c r="AI86" i="9" a="1"/>
  <c r="P80" i="9" a="1"/>
  <c r="J79" i="8" a="1"/>
  <c r="AL81" i="9" a="1"/>
  <c r="X86" i="9" a="1"/>
  <c r="U76" i="9" a="1"/>
  <c r="AB76" i="9" a="1"/>
  <c r="AD82" i="9" a="1"/>
  <c r="AE78" i="9" a="1"/>
  <c r="AS84" i="6" a="1"/>
  <c r="N79" i="6" a="1"/>
  <c r="AA77" i="6" a="1"/>
  <c r="W83" i="6" a="1"/>
  <c r="Z82" i="6" a="1"/>
  <c r="F82" i="6" a="1"/>
  <c r="P76" i="6" a="1"/>
  <c r="AJ83" i="6" a="1"/>
  <c r="Z80" i="6" a="1"/>
  <c r="AB87" i="6" a="1"/>
  <c r="AL82" i="8" a="1"/>
  <c r="AL77" i="8" a="1"/>
  <c r="AH78" i="8" a="1"/>
  <c r="AC87" i="8" a="1"/>
  <c r="AG85" i="8" a="1"/>
  <c r="R82" i="8" a="1"/>
  <c r="X80" i="8" a="1"/>
  <c r="F77" i="8" a="1"/>
  <c r="H84" i="8" a="1"/>
  <c r="O85" i="8" a="1"/>
  <c r="O81" i="8" a="1"/>
  <c r="K80" i="8" a="1"/>
  <c r="H77" i="8" a="1"/>
  <c r="J84" i="8" a="1"/>
  <c r="G82" i="8" a="1"/>
  <c r="F84" i="8" a="1"/>
  <c r="L78" i="8" a="1"/>
  <c r="AG79" i="9" a="1"/>
  <c r="AJ82" i="9" a="1"/>
  <c r="AA86" i="9" a="1"/>
  <c r="N86" i="9" a="1"/>
  <c r="S80" i="9" a="1"/>
  <c r="X81" i="9" a="1"/>
  <c r="Q78" i="9" a="1"/>
  <c r="AR83" i="9" a="1"/>
  <c r="W77" i="9" a="1"/>
  <c r="S82" i="9" a="1"/>
  <c r="AQ84" i="9" a="1"/>
  <c r="AE77" i="9" a="1"/>
  <c r="U81" i="9" a="1"/>
  <c r="Q85" i="9" a="1"/>
  <c r="K86" i="9" a="1"/>
  <c r="N78" i="9" a="1"/>
  <c r="AS80" i="9" a="1"/>
  <c r="AO84" i="9" a="1"/>
  <c r="K83" i="9" a="1"/>
  <c r="G87" i="9" a="1"/>
  <c r="N76" i="9" a="1"/>
  <c r="AS78" i="9" a="1"/>
  <c r="AO82" i="9" a="1"/>
  <c r="AE86" i="9" a="1"/>
  <c r="M87" i="9" a="1"/>
  <c r="J80" i="9" a="1"/>
  <c r="AK86" i="9" a="1"/>
  <c r="R77" i="6" a="1"/>
  <c r="AB84" i="8" a="1"/>
  <c r="G83" i="8" a="1"/>
  <c r="N85" i="8" a="1"/>
  <c r="L83" i="9" a="1"/>
  <c r="V78" i="9" a="1"/>
  <c r="Z78" i="9" a="1"/>
  <c r="Z76" i="9" a="1"/>
  <c r="AI86" i="6" a="1"/>
  <c r="N79" i="8" a="1"/>
  <c r="AE79" i="9" a="1"/>
  <c r="L79" i="9" a="1"/>
  <c r="AS81" i="9" a="1"/>
  <c r="AL78" i="9" a="1"/>
  <c r="AL76" i="9" a="1"/>
  <c r="W87" i="9" a="1"/>
  <c r="G81" i="9" a="1"/>
  <c r="AC87" i="9" a="1"/>
  <c r="AH76" i="9" a="1"/>
  <c r="AK83" i="6" a="1"/>
  <c r="AR77" i="6" a="1"/>
  <c r="J79" i="6" a="1"/>
  <c r="P81" i="6" a="1"/>
  <c r="G85" i="6" a="1"/>
  <c r="AO77" i="6" a="1"/>
  <c r="AC78" i="6" a="1"/>
  <c r="AC80" i="6" a="1"/>
  <c r="K80" i="6" a="1"/>
  <c r="J81" i="6" a="1"/>
  <c r="AQ78" i="8" a="1"/>
  <c r="AN81" i="8" a="1"/>
  <c r="Z83" i="8" a="1"/>
  <c r="AB77" i="8" a="1"/>
  <c r="AH85" i="8" a="1"/>
  <c r="Q77" i="8" a="1"/>
  <c r="P85" i="8" a="1"/>
  <c r="L77" i="8" a="1"/>
  <c r="N84" i="8" a="1"/>
  <c r="G87" i="8" a="1"/>
  <c r="K82" i="8" a="1"/>
  <c r="O77" i="8" a="1"/>
  <c r="N77" i="8" a="1"/>
  <c r="F85" i="8" a="1"/>
  <c r="M82" i="8" a="1"/>
  <c r="L84" i="8" a="1"/>
  <c r="G81" i="8" a="1"/>
  <c r="N77" i="9" a="1"/>
  <c r="AR82" i="9" a="1"/>
  <c r="AL86" i="9" a="1"/>
  <c r="AG87" i="9" a="1"/>
  <c r="P76" i="9" a="1"/>
  <c r="AF81" i="9" a="1"/>
  <c r="G79" i="9" a="1"/>
  <c r="AB84" i="9" a="1"/>
  <c r="M78" i="9" a="1"/>
  <c r="AA82" i="9" a="1"/>
  <c r="AB86" i="9" a="1"/>
  <c r="AK77" i="9" a="1"/>
  <c r="AA81" i="9" a="1"/>
  <c r="W85" i="9" a="1"/>
  <c r="W86" i="9" a="1"/>
  <c r="T78" i="9" a="1"/>
  <c r="J82" i="9" a="1"/>
  <c r="F86" i="9" a="1"/>
  <c r="Q83" i="9" a="1"/>
  <c r="T76" i="9" a="1"/>
  <c r="F84" i="9" a="1"/>
  <c r="AN78" i="9" a="1"/>
  <c r="AN85" i="6" a="1"/>
  <c r="J85" i="8" a="1"/>
  <c r="AN76" i="9" a="1"/>
  <c r="Z85" i="9" a="1"/>
  <c r="AQ77" i="9" a="1"/>
  <c r="L86" i="9" a="1"/>
  <c r="AQ86" i="9" a="1"/>
  <c r="AS78" i="8" a="1"/>
  <c r="J76" i="8" a="1"/>
  <c r="O77" i="9" a="1"/>
  <c r="AM84" i="9" a="1"/>
  <c r="N80" i="9" a="1"/>
  <c r="I84" i="9" a="1"/>
  <c r="AR84" i="9" a="1"/>
  <c r="G83" i="6" a="1"/>
  <c r="H77" i="6" a="1"/>
  <c r="K86" i="6" a="1"/>
  <c r="AQ77" i="6" a="1"/>
  <c r="AD83" i="6" a="1"/>
  <c r="G80" i="6" a="1"/>
  <c r="AA85" i="6" a="1"/>
  <c r="L84" i="6" a="1"/>
  <c r="Y82" i="6" a="1"/>
  <c r="AG85" i="6" a="1"/>
  <c r="AO84" i="8" a="1"/>
  <c r="AN84" i="8" a="1"/>
  <c r="Z86" i="8" a="1"/>
  <c r="AB80" i="8" a="1"/>
  <c r="AG76" i="8" a="1"/>
  <c r="Q80" i="8" a="1"/>
  <c r="S80" i="8" a="1"/>
  <c r="N78" i="8" a="1"/>
  <c r="F86" i="8" a="1"/>
  <c r="I79" i="8" a="1"/>
  <c r="M83" i="8" a="1"/>
  <c r="K87" i="8" a="1"/>
  <c r="F79" i="8" a="1"/>
  <c r="H86" i="8" a="1"/>
  <c r="O83" i="8" a="1"/>
  <c r="F87" i="8" a="1"/>
  <c r="M76" i="8" a="1"/>
  <c r="AA79" i="9" a="1"/>
  <c r="T83" i="9" a="1"/>
  <c r="AP77" i="9" a="1"/>
  <c r="AP78" i="9" a="1"/>
  <c r="F77" i="9" a="1"/>
  <c r="I85" i="9" a="1"/>
  <c r="AH85" i="9" a="1"/>
  <c r="V87" i="9" a="1"/>
  <c r="AK78" i="9" a="1"/>
  <c r="AS82" i="9" a="1"/>
  <c r="H87" i="9" a="1"/>
  <c r="H79" i="9" a="1"/>
  <c r="AM81" i="9" a="1"/>
  <c r="AI85" i="9" a="1"/>
  <c r="AO86" i="9" a="1"/>
  <c r="AF78" i="9" a="1"/>
  <c r="V82" i="9" a="1"/>
  <c r="R86" i="9" a="1"/>
  <c r="AI83" i="9" a="1"/>
  <c r="Y87" i="9" a="1"/>
  <c r="AF76" i="9" a="1"/>
  <c r="V80" i="9" a="1"/>
  <c r="R84" i="9" a="1"/>
  <c r="S83" i="9" a="1"/>
  <c r="W79" i="9" a="1"/>
  <c r="L82" i="9" a="1"/>
  <c r="U81" i="6" a="1"/>
  <c r="AA79" i="6" a="1"/>
  <c r="S85" i="6" a="1"/>
  <c r="X87" i="6" a="1"/>
  <c r="W81" i="6" a="1"/>
  <c r="Z77" i="6" a="1"/>
  <c r="AB85" i="8" a="1"/>
  <c r="Q84" i="8" a="1"/>
  <c r="L86" i="8" a="1"/>
  <c r="I84" i="8" a="1"/>
  <c r="L79" i="8" a="1"/>
  <c r="K84" i="8" a="1"/>
  <c r="M78" i="8" a="1"/>
  <c r="AI79" i="9" a="1"/>
  <c r="M83" i="9" a="1"/>
  <c r="AO85" i="9" a="1"/>
  <c r="AE87" i="9" a="1"/>
  <c r="V76" i="8" a="1"/>
  <c r="T86" i="8" a="1"/>
  <c r="W81" i="8" a="1"/>
  <c r="X83" i="8" a="1"/>
  <c r="S85" i="8" a="1"/>
  <c r="Y79" i="8" a="1"/>
  <c r="Q83" i="8" a="1"/>
  <c r="P84" i="8" a="1"/>
  <c r="Y80" i="8" a="1"/>
  <c r="X81" i="8" a="1"/>
  <c r="AC76" i="8" a="1"/>
  <c r="AF81" i="8" a="1"/>
  <c r="AE81" i="8" a="1"/>
  <c r="AG81" i="8" a="1"/>
  <c r="AB83" i="8" a="1"/>
  <c r="AD83" i="8" a="1"/>
  <c r="AA83" i="8" a="1"/>
  <c r="AE86" i="8" a="1"/>
  <c r="Z81" i="8" a="1"/>
  <c r="AH81" i="8" a="1"/>
  <c r="AS76" i="8" a="1"/>
  <c r="AP78" i="8" a="1"/>
  <c r="AN87" i="8" a="1"/>
  <c r="AL80" i="8" a="1"/>
  <c r="AS86" i="8" a="1"/>
  <c r="AS84" i="8" a="1"/>
  <c r="AQ77" i="8" a="1"/>
  <c r="AR85" i="8" a="1"/>
  <c r="AO81" i="8" a="1"/>
  <c r="AR81" i="8" a="1"/>
  <c r="X76" i="8" a="1"/>
  <c r="V78" i="8" a="1"/>
  <c r="Q78" i="8" a="1"/>
  <c r="R83" i="8" a="1"/>
  <c r="S79" i="8" a="1"/>
  <c r="P81" i="8" a="1"/>
  <c r="U82" i="8" a="1"/>
  <c r="P78" i="8" a="1"/>
  <c r="Y77" i="8" a="1"/>
  <c r="R81" i="8" a="1"/>
  <c r="AD76" i="8" a="1"/>
  <c r="AF78" i="8" a="1"/>
  <c r="AI80" i="8" a="1"/>
  <c r="AE77" i="8" a="1"/>
  <c r="AF82" i="8" a="1"/>
  <c r="AD77" i="8" a="1"/>
  <c r="AE82" i="8" a="1"/>
  <c r="AG84" i="8" a="1"/>
  <c r="AB79" i="8" a="1"/>
  <c r="AB81" i="8" a="1"/>
  <c r="AR76" i="8" a="1"/>
  <c r="AS79" i="8" a="1"/>
  <c r="AR86" i="8" a="1"/>
  <c r="AP79" i="8" a="1"/>
  <c r="AK85" i="8" a="1"/>
  <c r="AM84" i="8" a="1"/>
  <c r="AK77" i="8" a="1"/>
  <c r="AP84" i="8" a="1"/>
  <c r="AM77" i="8" a="1"/>
  <c r="AL81" i="8" a="1"/>
  <c r="R76" i="8" a="1"/>
  <c r="Q87" i="8" a="1"/>
  <c r="X85" i="8" a="1"/>
  <c r="V82" i="8" a="1"/>
  <c r="V87" i="8" a="1"/>
  <c r="Y86" i="8" a="1"/>
  <c r="Y81" i="8" a="1"/>
  <c r="Q79" i="8" a="1"/>
  <c r="X87" i="8" a="1"/>
  <c r="V80" i="8" a="1"/>
  <c r="AH76" i="8" a="1"/>
  <c r="AE87" i="8" a="1"/>
  <c r="AC80" i="8" a="1"/>
  <c r="Z87" i="8" a="1"/>
  <c r="Z82" i="8" a="1"/>
  <c r="AE80" i="8" a="1"/>
  <c r="AI81" i="8" a="1"/>
  <c r="AE83" i="8" a="1"/>
  <c r="AH87" i="8" a="1"/>
  <c r="AF80" i="8" a="1"/>
  <c r="AL76" i="8" a="1"/>
  <c r="AL85" i="8" a="1"/>
  <c r="AL86" i="8" a="1"/>
  <c r="AJ79" i="8" a="1"/>
  <c r="AQ82" i="8" a="1"/>
  <c r="AQ83" i="8" a="1"/>
  <c r="AK81" i="8" a="1"/>
  <c r="AJ84" i="8" a="1"/>
  <c r="AR87" i="8" a="1"/>
  <c r="AP80" i="8" a="1"/>
  <c r="U76" i="8" a="1"/>
  <c r="W84" i="8" a="1"/>
  <c r="R79" i="8" a="1"/>
  <c r="P82" i="8" a="1"/>
  <c r="V84" i="8" a="1"/>
  <c r="U78" i="8" a="1"/>
  <c r="S81" i="8" a="1"/>
  <c r="P87" i="8" a="1"/>
  <c r="R87" i="8" a="1"/>
  <c r="P80" i="8" a="1"/>
  <c r="AB76" i="8" a="1"/>
  <c r="AI86" i="8" a="1"/>
  <c r="AG79" i="8" a="1"/>
  <c r="AH82" i="8" a="1"/>
  <c r="AD81" i="8" a="1"/>
  <c r="AD80" i="8" a="1"/>
  <c r="AC81" i="8" a="1"/>
  <c r="AC82" i="8" a="1"/>
  <c r="AB87" i="8" a="1"/>
  <c r="Z80" i="8" a="1"/>
  <c r="AM76" i="8" a="1"/>
  <c r="AJ78" i="8" a="1"/>
  <c r="AP85" i="8" a="1"/>
  <c r="AN78" i="8" a="1"/>
  <c r="AO78" i="8" a="1"/>
  <c r="AK83" i="8" a="1"/>
  <c r="AN86" i="8" a="1"/>
  <c r="AN83" i="8" a="1"/>
  <c r="AL87" i="8" a="1"/>
  <c r="AJ80" i="8" a="1"/>
  <c r="H85" i="9" a="1"/>
  <c r="AF80" i="9" a="1"/>
  <c r="P84" i="9" a="1"/>
  <c r="Q76" i="9" a="1"/>
  <c r="X83" i="9" a="1"/>
  <c r="Q81" i="9" a="1"/>
  <c r="O83" i="9" a="1"/>
  <c r="AN86" i="9" a="1"/>
  <c r="AR81" i="9" a="1"/>
  <c r="AI81" i="9" a="1"/>
  <c r="T84" i="9" a="1"/>
  <c r="AH79" i="9" a="1"/>
  <c r="AA83" i="9" a="1"/>
  <c r="AH87" i="9" a="1"/>
  <c r="AS85" i="9" a="1"/>
  <c r="AD76" i="9" a="1"/>
  <c r="S85" i="9" a="1"/>
  <c r="G78" i="9" a="1"/>
  <c r="I87" i="9" a="1"/>
  <c r="AE80" i="9" a="1"/>
  <c r="AO76" i="9" a="1"/>
  <c r="N85" i="9" a="1"/>
  <c r="G83" i="9" a="1"/>
  <c r="M85" i="9" a="1"/>
  <c r="AF77" i="9" a="1"/>
  <c r="AP83" i="9" a="1"/>
  <c r="M82" i="9" a="1"/>
  <c r="O85" i="9" a="1"/>
  <c r="R80" i="9" a="1"/>
  <c r="AK83" i="9" a="1"/>
  <c r="AA77" i="9" a="1"/>
  <c r="R78" i="9" a="1"/>
  <c r="AM76" i="9" a="1"/>
  <c r="AL85" i="9" a="1"/>
  <c r="AB87" i="9" a="1"/>
  <c r="AN85" i="9" a="1"/>
  <c r="T86" i="9" a="1"/>
  <c r="F79" i="9" a="1"/>
  <c r="AR85" i="9" a="1"/>
  <c r="J76" i="9" a="1"/>
  <c r="X78" i="9" a="1"/>
  <c r="H81" i="9" a="1"/>
  <c r="AN87" i="9" a="1"/>
  <c r="AM82" i="9" a="1"/>
  <c r="AS87" i="9" a="1"/>
  <c r="Z80" i="9" a="1"/>
  <c r="AS83" i="9" a="1"/>
  <c r="P79" i="9" a="1"/>
  <c r="AD81" i="9" a="1"/>
  <c r="AC77" i="9" a="1"/>
  <c r="O87" i="9" a="1"/>
  <c r="AN79" i="9" a="1"/>
  <c r="W78" i="9" a="1"/>
  <c r="AS84" i="9" a="1"/>
  <c r="AD79" i="9" a="1"/>
  <c r="AF86" i="9" a="1"/>
  <c r="AH77" i="9" a="1"/>
  <c r="AL82" i="9" a="1"/>
  <c r="AF83" i="9" a="1"/>
  <c r="AO77" i="9" a="1"/>
  <c r="Y83" i="9" a="1"/>
  <c r="AC76" i="9" a="1"/>
  <c r="AJ80" i="9" a="1"/>
  <c r="M84" i="9" a="1"/>
  <c r="K81" i="9" a="1"/>
  <c r="AK85" i="9" a="1"/>
  <c r="S78" i="9" a="1"/>
  <c r="Z87" i="9" a="1"/>
  <c r="T82" i="9" a="1"/>
  <c r="AE82" i="9" a="1"/>
  <c r="AN77" i="9" a="1"/>
  <c r="AA84" i="9" a="1"/>
  <c r="T87" i="9" a="1"/>
  <c r="S84" i="9" a="1"/>
  <c r="R76" i="9" a="1"/>
  <c r="AG77" i="9" a="1"/>
  <c r="AO80" i="9" a="1"/>
  <c r="I86" i="9" a="1"/>
  <c r="T77" i="9" a="1"/>
  <c r="AR80" i="9" a="1"/>
  <c r="U84" i="9" a="1"/>
  <c r="AK81" i="9" a="1"/>
  <c r="AS86" i="9" a="1"/>
  <c r="AB78" i="9" a="1"/>
  <c r="AO78" i="9" a="1"/>
  <c r="Y85" i="6" a="1"/>
  <c r="AP85" i="6" a="1"/>
  <c r="AN82" i="6" a="1"/>
  <c r="AE77" i="6" a="1"/>
  <c r="J87" i="6" a="1"/>
  <c r="O79" i="6" a="1"/>
  <c r="AP82" i="6" a="1"/>
  <c r="M78" i="6" a="1"/>
  <c r="V87" i="6" a="1"/>
  <c r="AS80" i="6" a="1"/>
  <c r="AB85" i="6" a="1"/>
  <c r="J86" i="6" a="1"/>
  <c r="AA86" i="6" a="1"/>
  <c r="R79" i="6" a="1"/>
  <c r="N86" i="6" a="1"/>
  <c r="AA83" i="6" a="1"/>
  <c r="N78" i="6" a="1"/>
  <c r="W78" i="6" a="1"/>
  <c r="Q76" i="6" a="1"/>
  <c r="Q78" i="6" a="1"/>
  <c r="AL81" i="6" a="1"/>
  <c r="V85" i="6" a="1"/>
  <c r="AP83" i="6" a="1"/>
  <c r="T81" i="6" a="1"/>
  <c r="Y76" i="6" a="1"/>
  <c r="AE81" i="6" a="1"/>
  <c r="O85" i="6" a="1"/>
  <c r="AA80" i="6" a="1"/>
  <c r="AC76" i="6" a="1"/>
  <c r="F80" i="6" a="1"/>
  <c r="V81" i="6" a="1"/>
  <c r="V83" i="6" a="1"/>
  <c r="W80" i="6" a="1"/>
  <c r="K78" i="6" a="1"/>
  <c r="Q80" i="6" a="1"/>
  <c r="AN86" i="6" a="1"/>
  <c r="AG81" i="6" a="1"/>
  <c r="AQ83" i="6" a="1"/>
  <c r="AO85" i="6" a="1"/>
  <c r="AG87" i="6" a="1"/>
  <c r="AP76" i="6" a="1"/>
  <c r="Q81" i="6" a="1"/>
  <c r="P85" i="6" a="1"/>
  <c r="AD79" i="6" a="1"/>
  <c r="AO78" i="6" a="1"/>
  <c r="Y81" i="6" a="1"/>
  <c r="J84" i="6" a="1"/>
  <c r="AP78" i="6" a="1"/>
  <c r="AK76" i="6" a="1"/>
  <c r="AC81" i="6" a="1"/>
  <c r="AK85" i="6" a="1"/>
  <c r="S87" i="6" a="1"/>
  <c r="Y77" i="6" a="1"/>
  <c r="N80" i="6" a="1"/>
  <c r="AL86" i="6" a="1"/>
  <c r="AI84" i="6" a="1"/>
  <c r="AQ78" i="6" a="1"/>
  <c r="AR78" i="6" a="1"/>
  <c r="AO79" i="6" a="1"/>
  <c r="X78" i="6" a="1"/>
  <c r="G82" i="6" a="1"/>
  <c r="AE85" i="6" a="1"/>
  <c r="AP86" i="6" a="1"/>
  <c r="AE76" i="6" a="1"/>
  <c r="N77" i="6" a="1"/>
  <c r="AN81" i="6" a="1"/>
  <c r="X85" i="6" a="1"/>
  <c r="AH83" i="6" a="1"/>
  <c r="U78" i="6" a="1"/>
  <c r="AB83" i="6" a="1"/>
  <c r="U82" i="6" a="1"/>
  <c r="AL85" i="6" a="1"/>
  <c r="L76" i="6" a="1"/>
  <c r="R78" i="6" a="1"/>
  <c r="X80" i="6" a="1"/>
  <c r="H87" i="6" a="1"/>
  <c r="AS81" i="6" a="1"/>
  <c r="I84" i="6" a="1"/>
  <c r="G86" i="6" a="1"/>
  <c r="AM87" i="6" a="1"/>
  <c r="AG78" i="6" a="1"/>
  <c r="AG83" i="6" a="1"/>
  <c r="X86" i="6" a="1"/>
  <c r="AH78" i="6" a="1"/>
  <c r="AR79" i="6" a="1"/>
  <c r="AO83" i="6" a="1"/>
  <c r="R85" i="6" a="1"/>
  <c r="AS79" i="6" a="1"/>
  <c r="AG77" i="6" a="1"/>
  <c r="AR81" i="6" a="1"/>
  <c r="L86" i="6" a="1"/>
  <c r="AB76" i="6" a="1"/>
  <c r="AB80" i="6" a="1"/>
  <c r="T82" i="6" a="1"/>
  <c r="AH80" i="6" a="1"/>
  <c r="AQ85" i="6" a="1"/>
  <c r="AM79" i="6" a="1"/>
  <c r="Z79" i="6" a="1"/>
  <c r="F81" i="6" a="1"/>
  <c r="AL78" i="6" a="1"/>
  <c r="V82" i="6" a="1"/>
  <c r="F86" i="6" a="1"/>
  <c r="M80" i="6" a="1"/>
  <c r="AH77" i="6" a="1"/>
  <c r="AP77" i="6" a="1"/>
  <c r="O82" i="6" a="1"/>
  <c r="AM85" i="6" a="1"/>
  <c r="AK87" i="6" a="1"/>
  <c r="S81" i="6" a="1"/>
  <c r="O78" i="6" a="1"/>
  <c r="AS82" i="6" a="1"/>
  <c r="F87" i="6" a="1"/>
  <c r="S76" i="6" a="1"/>
  <c r="Y78" i="6" a="1"/>
  <c r="AN80" i="6" a="1"/>
  <c r="N87" i="6" a="1"/>
  <c r="Q82" i="6" a="1"/>
  <c r="O84" i="6" a="1"/>
  <c r="M86" i="6" a="1"/>
  <c r="AS87" i="6" a="1"/>
  <c r="AK77" i="6" a="1"/>
  <c r="I86" i="6" a="1"/>
  <c r="AJ87" i="6" a="1"/>
  <c r="AL77" i="6" a="1"/>
  <c r="R82" i="6" a="1"/>
  <c r="I85" i="6" a="1"/>
  <c r="Z86" i="6" a="1"/>
  <c r="AP80" i="6" a="1"/>
  <c r="AJ78" i="6" a="1"/>
  <c r="AK82" i="6" a="1"/>
  <c r="U86" i="6" a="1"/>
  <c r="Q77" i="6" a="1"/>
  <c r="AJ82" i="6" a="1"/>
  <c r="T85" i="6" a="1"/>
  <c r="J83" i="6" a="1"/>
  <c r="Q79" i="6" a="1"/>
  <c r="L81" i="6" a="1"/>
  <c r="AN79" i="6" a="1"/>
  <c r="AL82" i="6" a="1"/>
  <c r="M79" i="6" a="1"/>
  <c r="AE82" i="6" a="1"/>
  <c r="O86" i="6" a="1"/>
  <c r="AB81" i="6" a="1"/>
  <c r="AK78" i="6" a="1"/>
  <c r="T79" i="6" a="1"/>
  <c r="X82" i="6" a="1"/>
  <c r="H86" i="6" a="1"/>
  <c r="AJ76" i="6" a="1"/>
  <c r="AA82" i="6" a="1"/>
  <c r="AB82" i="6" a="1"/>
  <c r="AL83" i="6" a="1"/>
  <c r="AP87" i="6" a="1"/>
  <c r="Z76" i="6" a="1"/>
  <c r="AF78" i="6" a="1"/>
  <c r="X81" i="6" a="1"/>
  <c r="T87" i="6" a="1"/>
  <c r="W82" i="6" a="1"/>
  <c r="AA84" i="6" a="1"/>
  <c r="S86" i="6" a="1"/>
  <c r="AQ80" i="6" a="1"/>
  <c r="AK79" i="6" a="1"/>
  <c r="P77" i="6" a="1"/>
  <c r="AO76" i="6" a="1"/>
  <c r="AO80" i="6" a="1"/>
  <c r="Z83" i="6" a="1"/>
  <c r="F76" i="6" a="1"/>
  <c r="AA78" i="6" a="1"/>
  <c r="J82" i="6" a="1"/>
  <c r="Y79" i="6" a="1"/>
  <c r="L83" i="6" a="1"/>
  <c r="AJ86" i="6" a="1"/>
  <c r="F78" i="6" a="1"/>
  <c r="AR83" i="6" a="1"/>
  <c r="AB86" i="6" a="1"/>
  <c r="AC87" i="6" a="1"/>
  <c r="AR80" i="6" a="1"/>
  <c r="AR82" i="6" a="1"/>
  <c r="AL80" i="6" a="1"/>
  <c r="F84" i="6" a="1"/>
  <c r="AH79" i="6" a="1"/>
  <c r="F83" i="6" a="1"/>
  <c r="AD86" i="6" a="1"/>
  <c r="AB84" i="6" a="1"/>
  <c r="H80" i="6" a="1"/>
  <c r="K76" i="6" a="1"/>
  <c r="AM82" i="6" a="1"/>
  <c r="W86" i="6" a="1"/>
  <c r="AF77" i="6" a="1"/>
  <c r="AI83" i="6" a="1"/>
  <c r="X76" i="6" a="1"/>
  <c r="V84" i="6" a="1"/>
  <c r="J76" i="6" a="1"/>
  <c r="AG76" i="6" a="1"/>
  <c r="AN78" i="6" a="1"/>
  <c r="H82" i="6" a="1"/>
  <c r="Z87" i="6" a="1"/>
  <c r="AI82" i="6" a="1"/>
  <c r="AG84" i="6" a="1"/>
  <c r="Y86" i="6" a="1"/>
  <c r="O81" i="6" a="1"/>
  <c r="EG84" i="2" l="1"/>
  <c r="EG91" i="2"/>
  <c r="EG77" i="4"/>
  <c r="EG9" i="3"/>
  <c r="EG10" i="3"/>
  <c r="EG11" i="3"/>
  <c r="EG12" i="3"/>
  <c r="EG13" i="3"/>
  <c r="EG14" i="3"/>
  <c r="EG15" i="3"/>
  <c r="EG19" i="3"/>
  <c r="EG20" i="3"/>
  <c r="EG21" i="3"/>
  <c r="EG22" i="3"/>
  <c r="EG23" i="3"/>
  <c r="EG24" i="3"/>
  <c r="EG25" i="3"/>
  <c r="EG26" i="3"/>
  <c r="EG27" i="3"/>
  <c r="EG31" i="3"/>
  <c r="EG32" i="3"/>
  <c r="EG33" i="3"/>
  <c r="EG34" i="3"/>
  <c r="EG35" i="3"/>
  <c r="EG36" i="3"/>
  <c r="EG37" i="3"/>
  <c r="EG38" i="3"/>
  <c r="EG39" i="3"/>
  <c r="EG44" i="3"/>
  <c r="EG45" i="3"/>
  <c r="EG46" i="3"/>
  <c r="EG47" i="3"/>
  <c r="EG48" i="3"/>
  <c r="EG49" i="3"/>
  <c r="EG50" i="3"/>
  <c r="EG51" i="3"/>
  <c r="EG52" i="3"/>
  <c r="EG56" i="3"/>
  <c r="EG57" i="3"/>
  <c r="EG58" i="3"/>
  <c r="EG59" i="3"/>
  <c r="EG60" i="3"/>
  <c r="EG61" i="3"/>
  <c r="EG62" i="3"/>
  <c r="EG63" i="3"/>
  <c r="EG64" i="3"/>
  <c r="EG68" i="3"/>
  <c r="EG69" i="3"/>
  <c r="EG70" i="3"/>
  <c r="EG71" i="3"/>
  <c r="EG73" i="3"/>
  <c r="EG74" i="3"/>
  <c r="EG75" i="3"/>
  <c r="EG76" i="3"/>
  <c r="EG77" i="3"/>
  <c r="EG16" i="3"/>
  <c r="EG30" i="3"/>
  <c r="EG41" i="3"/>
  <c r="EG42" i="3"/>
  <c r="EG55" i="3"/>
  <c r="EG65" i="3"/>
  <c r="EG90" i="3"/>
  <c r="EG91" i="3"/>
  <c r="EG95" i="2"/>
  <c r="EG83" i="2"/>
  <c r="EG35" i="2"/>
  <c r="EG23" i="2"/>
  <c r="EG11" i="2"/>
  <c r="EG71" i="2"/>
  <c r="EG59" i="2"/>
  <c r="EG47" i="2"/>
  <c r="EG23" i="5"/>
  <c r="EG24" i="5"/>
  <c r="EG48" i="5"/>
  <c r="EG61" i="5"/>
  <c r="EG62" i="5"/>
  <c r="EG63" i="5"/>
  <c r="EG75" i="5"/>
  <c r="EG77" i="5"/>
  <c r="EG87" i="5"/>
  <c r="EG88" i="5"/>
  <c r="EG94" i="5"/>
  <c r="EG99" i="5"/>
  <c r="EG101" i="5"/>
  <c r="EG45" i="2"/>
  <c r="EG10" i="2"/>
  <c r="EG101" i="2"/>
  <c r="EG89" i="2"/>
  <c r="EG77" i="2"/>
  <c r="EG65" i="2"/>
  <c r="EG53" i="2"/>
  <c r="EG41" i="2"/>
  <c r="EG29" i="2"/>
  <c r="EG17" i="2"/>
  <c r="EG25" i="4"/>
  <c r="EG26" i="4"/>
  <c r="EG27" i="4"/>
  <c r="EG50" i="4"/>
  <c r="EG51" i="4"/>
  <c r="EG63" i="4"/>
  <c r="EG64" i="4"/>
  <c r="EG65" i="4"/>
  <c r="EG78" i="4"/>
  <c r="EG90" i="4"/>
  <c r="EG97" i="4"/>
  <c r="EG102" i="4"/>
  <c r="EG103" i="4"/>
  <c r="EG87" i="2"/>
  <c r="EG51" i="2"/>
  <c r="EG98" i="2"/>
  <c r="EG74" i="2"/>
  <c r="EG50" i="2"/>
  <c r="EG14" i="2"/>
  <c r="EG17" i="3"/>
  <c r="EG28" i="3"/>
  <c r="EG43" i="3"/>
  <c r="EG53" i="3"/>
  <c r="EG54" i="3"/>
  <c r="EG66" i="3"/>
  <c r="EG67" i="3"/>
  <c r="EG78" i="3"/>
  <c r="EG79" i="3"/>
  <c r="EG92" i="3"/>
  <c r="EG102" i="3"/>
  <c r="EG103" i="3"/>
  <c r="EG11" i="5"/>
  <c r="EG12" i="5"/>
  <c r="EG13" i="5"/>
  <c r="EG35" i="5"/>
  <c r="EG36" i="5"/>
  <c r="EG37" i="5"/>
  <c r="EG50" i="5"/>
  <c r="EG51" i="5"/>
  <c r="EG52" i="5"/>
  <c r="EG60" i="5"/>
  <c r="EG64" i="5"/>
  <c r="EG73" i="5"/>
  <c r="EG74" i="5"/>
  <c r="EG85" i="5"/>
  <c r="EG86" i="5"/>
  <c r="EG95" i="5"/>
  <c r="EG97" i="5"/>
  <c r="EG98" i="5"/>
  <c r="EG75" i="2"/>
  <c r="EG38" i="2"/>
  <c r="EG86" i="2"/>
  <c r="EG62" i="2"/>
  <c r="EG26" i="2"/>
  <c r="EG18" i="3"/>
  <c r="EG29" i="3"/>
  <c r="EG48" i="2"/>
  <c r="EG36" i="2"/>
  <c r="EG93" i="2"/>
  <c r="EG21" i="2"/>
  <c r="EG69" i="2"/>
  <c r="EG57" i="2"/>
  <c r="EG33" i="2"/>
  <c r="EG104" i="2"/>
  <c r="EG92" i="2"/>
  <c r="EG80" i="2"/>
  <c r="EG68" i="2"/>
  <c r="EG56" i="2"/>
  <c r="EG32" i="2"/>
  <c r="EG20" i="2"/>
  <c r="EG13" i="4"/>
  <c r="EG14" i="4"/>
  <c r="EG15" i="4"/>
  <c r="EG37" i="4"/>
  <c r="EG38" i="4"/>
  <c r="EG39" i="4"/>
  <c r="EG52" i="4"/>
  <c r="EG53" i="4"/>
  <c r="EG54" i="4"/>
  <c r="EG62" i="4"/>
  <c r="EG66" i="4"/>
  <c r="EG75" i="4"/>
  <c r="EG76" i="4"/>
  <c r="EG79" i="4"/>
  <c r="EG87" i="4"/>
  <c r="EG88" i="4"/>
  <c r="EG89" i="4"/>
  <c r="EG99" i="4"/>
  <c r="EG100" i="4"/>
  <c r="EG101" i="4"/>
  <c r="EG9" i="2"/>
  <c r="EG81" i="2"/>
  <c r="EG44" i="2"/>
  <c r="EG9" i="4"/>
  <c r="EG10" i="4"/>
  <c r="EG11" i="4"/>
  <c r="EG12" i="4"/>
  <c r="EG16" i="4"/>
  <c r="EG17" i="4"/>
  <c r="EG18" i="4"/>
  <c r="EG19" i="4"/>
  <c r="EG20" i="4"/>
  <c r="EG21" i="4"/>
  <c r="EG22" i="4"/>
  <c r="EG23" i="4"/>
  <c r="EG24" i="4"/>
  <c r="EG28" i="4"/>
  <c r="EG29" i="4"/>
  <c r="EG30" i="4"/>
  <c r="EG31" i="4"/>
  <c r="EG32" i="4"/>
  <c r="EG33" i="4"/>
  <c r="EG34" i="4"/>
  <c r="EG35" i="4"/>
  <c r="EG36" i="4"/>
  <c r="EG40" i="4"/>
  <c r="EG41" i="4"/>
  <c r="EG42" i="4"/>
  <c r="EG43" i="4"/>
  <c r="EG44" i="4"/>
  <c r="EG45" i="4"/>
  <c r="EG46" i="4"/>
  <c r="EG47" i="4"/>
  <c r="EG48" i="4"/>
  <c r="EG49" i="4"/>
  <c r="EG55" i="4"/>
  <c r="EG56" i="4"/>
  <c r="EG57" i="4"/>
  <c r="EG58" i="4"/>
  <c r="EG59" i="4"/>
  <c r="EG60" i="4"/>
  <c r="EG61" i="4"/>
  <c r="EG67" i="4"/>
  <c r="EG68" i="4"/>
  <c r="EG69" i="4"/>
  <c r="EG70" i="4"/>
  <c r="EG71" i="4"/>
  <c r="EG73" i="4"/>
  <c r="EG74" i="4"/>
  <c r="EG80" i="4"/>
  <c r="EG81" i="4"/>
  <c r="EG82" i="4"/>
  <c r="EG83" i="4"/>
  <c r="EG84" i="4"/>
  <c r="EG85" i="4"/>
  <c r="EG86" i="4"/>
  <c r="EG92" i="4"/>
  <c r="EG93" i="4"/>
  <c r="EG94" i="4"/>
  <c r="EG95" i="4"/>
  <c r="EG96" i="4"/>
  <c r="EG98" i="4"/>
  <c r="EG104" i="4"/>
  <c r="EG81" i="3"/>
  <c r="EG82" i="3"/>
  <c r="EG83" i="3"/>
  <c r="EG84" i="3"/>
  <c r="EG85" i="3"/>
  <c r="EG86" i="3"/>
  <c r="EG87" i="3"/>
  <c r="EG88" i="3"/>
  <c r="EG89" i="3"/>
  <c r="EG93" i="3"/>
  <c r="EG94" i="3"/>
  <c r="EG95" i="3"/>
  <c r="EG96" i="3"/>
  <c r="EG97" i="3"/>
  <c r="EG98" i="3"/>
  <c r="EG99" i="3"/>
  <c r="EG100" i="3"/>
  <c r="EG101" i="3"/>
  <c r="EG9" i="5"/>
  <c r="EG10" i="5"/>
  <c r="EG14" i="5"/>
  <c r="EG15" i="5"/>
  <c r="EG16" i="5"/>
  <c r="EG17" i="5"/>
  <c r="EG18" i="5"/>
  <c r="EG19" i="5"/>
  <c r="EG20" i="5"/>
  <c r="EH23" i="5" s="1"/>
  <c r="EG21" i="5"/>
  <c r="EG22" i="5"/>
  <c r="EG26" i="5"/>
  <c r="EG27" i="5"/>
  <c r="EG28" i="5"/>
  <c r="EG29" i="5"/>
  <c r="EG30" i="5"/>
  <c r="EG31" i="5"/>
  <c r="EH32" i="5" s="1"/>
  <c r="EG32" i="5"/>
  <c r="EG33" i="5"/>
  <c r="EG34" i="5"/>
  <c r="EG38" i="5"/>
  <c r="EG39" i="5"/>
  <c r="EG41" i="5"/>
  <c r="EG42" i="5"/>
  <c r="EG43" i="5"/>
  <c r="EG44" i="5"/>
  <c r="EG45" i="5"/>
  <c r="EG46" i="5"/>
  <c r="EG47" i="5"/>
  <c r="EG53" i="5"/>
  <c r="EG54" i="5"/>
  <c r="EG55" i="5"/>
  <c r="EG56" i="5"/>
  <c r="EG57" i="5"/>
  <c r="EG58" i="5"/>
  <c r="EG59" i="5"/>
  <c r="EG65" i="5"/>
  <c r="EG66" i="5"/>
  <c r="EG67" i="5"/>
  <c r="EG68" i="5"/>
  <c r="EG69" i="5"/>
  <c r="EG70" i="5"/>
  <c r="EG71" i="5"/>
  <c r="EG78" i="5"/>
  <c r="EG79" i="5"/>
  <c r="EG80" i="5"/>
  <c r="EG81" i="5"/>
  <c r="EG82" i="5"/>
  <c r="EG83" i="5"/>
  <c r="EG84" i="5"/>
  <c r="EG90" i="5"/>
  <c r="EG91" i="5"/>
  <c r="EG92" i="5"/>
  <c r="EG93" i="5"/>
  <c r="EG96" i="5"/>
  <c r="EG102" i="5"/>
  <c r="EG103" i="5"/>
  <c r="EG104" i="5"/>
  <c r="O81" i="6"/>
  <c r="Y86" i="6"/>
  <c r="AG84" i="6"/>
  <c r="AI82" i="6"/>
  <c r="Z87" i="6"/>
  <c r="H82" i="6"/>
  <c r="AN78" i="6"/>
  <c r="AG76" i="6"/>
  <c r="J76" i="6"/>
  <c r="V84" i="6"/>
  <c r="X76" i="6"/>
  <c r="AI83" i="6"/>
  <c r="AF77" i="6"/>
  <c r="W86" i="6"/>
  <c r="AM82" i="6"/>
  <c r="K76" i="6"/>
  <c r="H80" i="6"/>
  <c r="AB84" i="6"/>
  <c r="AD86" i="6"/>
  <c r="F83" i="6"/>
  <c r="AT83" i="6" s="1"/>
  <c r="AH79" i="6"/>
  <c r="F84" i="6"/>
  <c r="AT84" i="6" s="1"/>
  <c r="AL80" i="6"/>
  <c r="AR82" i="6"/>
  <c r="AR80" i="6"/>
  <c r="AC87" i="6"/>
  <c r="AB86" i="6"/>
  <c r="AR83" i="6"/>
  <c r="F78" i="6"/>
  <c r="AT78" i="6" s="1"/>
  <c r="AJ86" i="6"/>
  <c r="L83" i="6"/>
  <c r="Y79" i="6"/>
  <c r="J82" i="6"/>
  <c r="AA78" i="6"/>
  <c r="F76" i="6"/>
  <c r="Z83" i="6"/>
  <c r="AO80" i="6"/>
  <c r="AO76" i="6"/>
  <c r="P77" i="6"/>
  <c r="AK79" i="6"/>
  <c r="AQ80" i="6"/>
  <c r="S86" i="6"/>
  <c r="AA84" i="6"/>
  <c r="W82" i="6"/>
  <c r="T87" i="6"/>
  <c r="X81" i="6"/>
  <c r="AF78" i="6"/>
  <c r="Z76" i="6"/>
  <c r="AP87" i="6"/>
  <c r="AL83" i="6"/>
  <c r="AB82" i="6"/>
  <c r="AA82" i="6"/>
  <c r="AJ76" i="6"/>
  <c r="H86" i="6"/>
  <c r="X82" i="6"/>
  <c r="T79" i="6"/>
  <c r="AK78" i="6"/>
  <c r="AB81" i="6"/>
  <c r="O86" i="6"/>
  <c r="AE82" i="6"/>
  <c r="M79" i="6"/>
  <c r="AL82" i="6"/>
  <c r="AN79" i="6"/>
  <c r="L81" i="6"/>
  <c r="Q79" i="6"/>
  <c r="J83" i="6"/>
  <c r="T85" i="6"/>
  <c r="AJ82" i="6"/>
  <c r="Q77" i="6"/>
  <c r="U86" i="6"/>
  <c r="AK82" i="6"/>
  <c r="AJ78" i="6"/>
  <c r="AP80" i="6"/>
  <c r="Z86" i="6"/>
  <c r="I85" i="6"/>
  <c r="R82" i="6"/>
  <c r="AL77" i="6"/>
  <c r="AJ87" i="6"/>
  <c r="I86" i="6"/>
  <c r="AK77" i="6"/>
  <c r="AS87" i="6"/>
  <c r="M86" i="6"/>
  <c r="O84" i="6"/>
  <c r="Q82" i="6"/>
  <c r="N87" i="6"/>
  <c r="AN80" i="6"/>
  <c r="Y78" i="6"/>
  <c r="S76" i="6"/>
  <c r="F87" i="6"/>
  <c r="AT87" i="6" s="1"/>
  <c r="AS82" i="6"/>
  <c r="O78" i="6"/>
  <c r="S81" i="6"/>
  <c r="AK87" i="6"/>
  <c r="AM85" i="6"/>
  <c r="O82" i="6"/>
  <c r="AP77" i="6"/>
  <c r="AH77" i="6"/>
  <c r="M80" i="6"/>
  <c r="F86" i="6"/>
  <c r="AT86" i="6" s="1"/>
  <c r="V82" i="6"/>
  <c r="AL78" i="6"/>
  <c r="F81" i="6"/>
  <c r="AT81" i="6" s="1"/>
  <c r="Z79" i="6"/>
  <c r="AM79" i="6"/>
  <c r="AQ85" i="6"/>
  <c r="AH80" i="6"/>
  <c r="T82" i="6"/>
  <c r="AB80" i="6"/>
  <c r="AB76" i="6"/>
  <c r="L86" i="6"/>
  <c r="AR81" i="6"/>
  <c r="AG77" i="6"/>
  <c r="AS79" i="6"/>
  <c r="R85" i="6"/>
  <c r="AO83" i="6"/>
  <c r="AR79" i="6"/>
  <c r="AH78" i="6"/>
  <c r="X86" i="6"/>
  <c r="AG83" i="6"/>
  <c r="AG78" i="6"/>
  <c r="AM87" i="6"/>
  <c r="G86" i="6"/>
  <c r="I84" i="6"/>
  <c r="AS81" i="6"/>
  <c r="H87" i="6"/>
  <c r="X80" i="6"/>
  <c r="R78" i="6"/>
  <c r="L76" i="6"/>
  <c r="AL85" i="6"/>
  <c r="U82" i="6"/>
  <c r="AB83" i="6"/>
  <c r="U78" i="6"/>
  <c r="AH83" i="6"/>
  <c r="X85" i="6"/>
  <c r="AN81" i="6"/>
  <c r="N77" i="6"/>
  <c r="AE76" i="6"/>
  <c r="AP86" i="6"/>
  <c r="AE85" i="6"/>
  <c r="G82" i="6"/>
  <c r="X78" i="6"/>
  <c r="AO79" i="6"/>
  <c r="AR78" i="6"/>
  <c r="AQ78" i="6"/>
  <c r="AI84" i="6"/>
  <c r="AL86" i="6"/>
  <c r="N80" i="6"/>
  <c r="Y77" i="6"/>
  <c r="S87" i="6"/>
  <c r="AK85" i="6"/>
  <c r="AC81" i="6"/>
  <c r="AK76" i="6"/>
  <c r="AP78" i="6"/>
  <c r="J84" i="6"/>
  <c r="Y81" i="6"/>
  <c r="AO78" i="6"/>
  <c r="AD79" i="6"/>
  <c r="P85" i="6"/>
  <c r="Q81" i="6"/>
  <c r="AP76" i="6"/>
  <c r="AG87" i="6"/>
  <c r="AO85" i="6"/>
  <c r="AQ83" i="6"/>
  <c r="AG81" i="6"/>
  <c r="AN86" i="6"/>
  <c r="Q80" i="6"/>
  <c r="K78" i="6"/>
  <c r="W80" i="6"/>
  <c r="V83" i="6"/>
  <c r="V81" i="6"/>
  <c r="F80" i="6"/>
  <c r="AT80" i="6" s="1"/>
  <c r="AC76" i="6"/>
  <c r="AA80" i="6"/>
  <c r="O85" i="6"/>
  <c r="AE81" i="6"/>
  <c r="Y76" i="6"/>
  <c r="T81" i="6"/>
  <c r="AP83" i="6"/>
  <c r="V85" i="6"/>
  <c r="AL81" i="6"/>
  <c r="Q78" i="6"/>
  <c r="Q76" i="6"/>
  <c r="W78" i="6"/>
  <c r="N78" i="6"/>
  <c r="AA83" i="6"/>
  <c r="N86" i="6"/>
  <c r="R79" i="6"/>
  <c r="AA86" i="6"/>
  <c r="J86" i="6"/>
  <c r="AB85" i="6"/>
  <c r="AS80" i="6"/>
  <c r="V87" i="6"/>
  <c r="M78" i="6"/>
  <c r="AP82" i="6"/>
  <c r="O79" i="6"/>
  <c r="J87" i="6"/>
  <c r="AE77" i="6"/>
  <c r="AN82" i="6"/>
  <c r="AP85" i="6"/>
  <c r="Y85" i="6"/>
  <c r="AO78" i="9"/>
  <c r="AB78" i="9"/>
  <c r="AS86" i="9"/>
  <c r="AK81" i="9"/>
  <c r="U84" i="9"/>
  <c r="AR80" i="9"/>
  <c r="T77" i="9"/>
  <c r="I86" i="9"/>
  <c r="AO80" i="9"/>
  <c r="AG77" i="9"/>
  <c r="R76" i="9"/>
  <c r="S84" i="9"/>
  <c r="T87" i="9"/>
  <c r="AA84" i="9"/>
  <c r="AN77" i="9"/>
  <c r="AE82" i="9"/>
  <c r="T82" i="9"/>
  <c r="Z87" i="9"/>
  <c r="S78" i="9"/>
  <c r="AK85" i="9"/>
  <c r="K81" i="9"/>
  <c r="M84" i="9"/>
  <c r="AJ80" i="9"/>
  <c r="AC76" i="9"/>
  <c r="Y83" i="9"/>
  <c r="AO77" i="9"/>
  <c r="AF83" i="9"/>
  <c r="AL82" i="9"/>
  <c r="AH77" i="9"/>
  <c r="AF86" i="9"/>
  <c r="AD79" i="9"/>
  <c r="AS84" i="9"/>
  <c r="W78" i="9"/>
  <c r="AN79" i="9"/>
  <c r="O87" i="9"/>
  <c r="AC77" i="9"/>
  <c r="AD81" i="9"/>
  <c r="P79" i="9"/>
  <c r="AS83" i="9"/>
  <c r="Z80" i="9"/>
  <c r="AS87" i="9"/>
  <c r="AM82" i="9"/>
  <c r="AN87" i="9"/>
  <c r="H81" i="9"/>
  <c r="X78" i="9"/>
  <c r="J76" i="9"/>
  <c r="AR85" i="9"/>
  <c r="F79" i="9"/>
  <c r="AT79" i="9" s="1"/>
  <c r="T86" i="9"/>
  <c r="AN85" i="9"/>
  <c r="AB87" i="9"/>
  <c r="AL85" i="9"/>
  <c r="AM76" i="9"/>
  <c r="R78" i="9"/>
  <c r="AA77" i="9"/>
  <c r="AK83" i="9"/>
  <c r="R80" i="9"/>
  <c r="O85" i="9"/>
  <c r="M82" i="9"/>
  <c r="AP83" i="9"/>
  <c r="AF77" i="9"/>
  <c r="M85" i="9"/>
  <c r="G83" i="9"/>
  <c r="N85" i="9"/>
  <c r="AO76" i="9"/>
  <c r="AE80" i="9"/>
  <c r="I87" i="9"/>
  <c r="G78" i="9"/>
  <c r="S85" i="9"/>
  <c r="AD76" i="9"/>
  <c r="AS85" i="9"/>
  <c r="AH87" i="9"/>
  <c r="AA83" i="9"/>
  <c r="AH79" i="9"/>
  <c r="T84" i="9"/>
  <c r="AI81" i="9"/>
  <c r="AR81" i="9"/>
  <c r="AN86" i="9"/>
  <c r="O83" i="9"/>
  <c r="Q81" i="9"/>
  <c r="X83" i="9"/>
  <c r="Q76" i="9"/>
  <c r="P84" i="9"/>
  <c r="AF80" i="9"/>
  <c r="H85" i="9"/>
  <c r="AJ80" i="8"/>
  <c r="AL87" i="8"/>
  <c r="AN83" i="8"/>
  <c r="AN86" i="8"/>
  <c r="AK83" i="8"/>
  <c r="AO78" i="8"/>
  <c r="AN78" i="8"/>
  <c r="AP85" i="8"/>
  <c r="AJ78" i="8"/>
  <c r="AM76" i="8"/>
  <c r="Z80" i="8"/>
  <c r="AB87" i="8"/>
  <c r="AC82" i="8"/>
  <c r="AC81" i="8"/>
  <c r="AD80" i="8"/>
  <c r="AD81" i="8"/>
  <c r="AH82" i="8"/>
  <c r="AG79" i="8"/>
  <c r="AI86" i="8"/>
  <c r="AB76" i="8"/>
  <c r="P80" i="8"/>
  <c r="R87" i="8"/>
  <c r="P87" i="8"/>
  <c r="S81" i="8"/>
  <c r="U78" i="8"/>
  <c r="V84" i="8"/>
  <c r="P82" i="8"/>
  <c r="R79" i="8"/>
  <c r="W84" i="8"/>
  <c r="U76" i="8"/>
  <c r="AP80" i="8"/>
  <c r="AR87" i="8"/>
  <c r="AJ84" i="8"/>
  <c r="AK81" i="8"/>
  <c r="AQ83" i="8"/>
  <c r="AQ82" i="8"/>
  <c r="AJ79" i="8"/>
  <c r="AL86" i="8"/>
  <c r="AL85" i="8"/>
  <c r="AL76" i="8"/>
  <c r="AF80" i="8"/>
  <c r="AH87" i="8"/>
  <c r="AE83" i="8"/>
  <c r="AI81" i="8"/>
  <c r="AE80" i="8"/>
  <c r="Z82" i="8"/>
  <c r="Z87" i="8"/>
  <c r="AC80" i="8"/>
  <c r="AE87" i="8"/>
  <c r="AH76" i="8"/>
  <c r="V80" i="8"/>
  <c r="X87" i="8"/>
  <c r="Q79" i="8"/>
  <c r="Y81" i="8"/>
  <c r="Y86" i="8"/>
  <c r="V87" i="8"/>
  <c r="V82" i="8"/>
  <c r="X85" i="8"/>
  <c r="Q87" i="8"/>
  <c r="R76" i="8"/>
  <c r="AL81" i="8"/>
  <c r="AM77" i="8"/>
  <c r="AP84" i="8"/>
  <c r="AK77" i="8"/>
  <c r="AM84" i="8"/>
  <c r="AK85" i="8"/>
  <c r="AP79" i="8"/>
  <c r="AR86" i="8"/>
  <c r="AS79" i="8"/>
  <c r="AR76" i="8"/>
  <c r="AB81" i="8"/>
  <c r="AB79" i="8"/>
  <c r="AG84" i="8"/>
  <c r="AE82" i="8"/>
  <c r="AD77" i="8"/>
  <c r="AF82" i="8"/>
  <c r="AE77" i="8"/>
  <c r="AI80" i="8"/>
  <c r="AF78" i="8"/>
  <c r="AD76" i="8"/>
  <c r="R81" i="8"/>
  <c r="Y77" i="8"/>
  <c r="P78" i="8"/>
  <c r="U82" i="8"/>
  <c r="P81" i="8"/>
  <c r="S79" i="8"/>
  <c r="R83" i="8"/>
  <c r="Q78" i="8"/>
  <c r="V78" i="8"/>
  <c r="X76" i="8"/>
  <c r="AR81" i="8"/>
  <c r="AO81" i="8"/>
  <c r="AR85" i="8"/>
  <c r="AQ77" i="8"/>
  <c r="AS84" i="8"/>
  <c r="AS86" i="8"/>
  <c r="AL80" i="8"/>
  <c r="AN87" i="8"/>
  <c r="AP78" i="8"/>
  <c r="AS76" i="8"/>
  <c r="AH81" i="8"/>
  <c r="Z81" i="8"/>
  <c r="AE86" i="8"/>
  <c r="AA83" i="8"/>
  <c r="AD83" i="8"/>
  <c r="AB83" i="8"/>
  <c r="AG81" i="8"/>
  <c r="AE81" i="8"/>
  <c r="AF81" i="8"/>
  <c r="AC76" i="8"/>
  <c r="X81" i="8"/>
  <c r="Y80" i="8"/>
  <c r="P84" i="8"/>
  <c r="Q83" i="8"/>
  <c r="Y79" i="8"/>
  <c r="S85" i="8"/>
  <c r="X83" i="8"/>
  <c r="W81" i="8"/>
  <c r="T86" i="8"/>
  <c r="V76" i="8"/>
  <c r="AE87" i="9"/>
  <c r="AO85" i="9"/>
  <c r="M83" i="9"/>
  <c r="AI79" i="9"/>
  <c r="M78" i="8"/>
  <c r="K84" i="8"/>
  <c r="L79" i="8"/>
  <c r="I84" i="8"/>
  <c r="L86" i="8"/>
  <c r="Q84" i="8"/>
  <c r="AB85" i="8"/>
  <c r="Z77" i="6"/>
  <c r="W81" i="6"/>
  <c r="X87" i="6"/>
  <c r="S85" i="6"/>
  <c r="AA79" i="6"/>
  <c r="U81" i="6"/>
  <c r="L82" i="9"/>
  <c r="W79" i="9"/>
  <c r="S83" i="9"/>
  <c r="R84" i="9"/>
  <c r="V80" i="9"/>
  <c r="AF76" i="9"/>
  <c r="Y87" i="9"/>
  <c r="AI83" i="9"/>
  <c r="R86" i="9"/>
  <c r="V82" i="9"/>
  <c r="AF78" i="9"/>
  <c r="AO86" i="9"/>
  <c r="AI85" i="9"/>
  <c r="AM81" i="9"/>
  <c r="H79" i="9"/>
  <c r="H87" i="9"/>
  <c r="AS82" i="9"/>
  <c r="AK78" i="9"/>
  <c r="V87" i="9"/>
  <c r="AH85" i="9"/>
  <c r="I85" i="9"/>
  <c r="F77" i="9"/>
  <c r="AT77" i="9" s="1"/>
  <c r="AP78" i="9"/>
  <c r="AP77" i="9"/>
  <c r="T83" i="9"/>
  <c r="AA79" i="9"/>
  <c r="M76" i="8"/>
  <c r="F87" i="8"/>
  <c r="AT87" i="8" s="1"/>
  <c r="O83" i="8"/>
  <c r="H86" i="8"/>
  <c r="F79" i="8"/>
  <c r="AT79" i="8" s="1"/>
  <c r="K87" i="8"/>
  <c r="M83" i="8"/>
  <c r="I79" i="8"/>
  <c r="F86" i="8"/>
  <c r="AT86" i="8" s="1"/>
  <c r="N78" i="8"/>
  <c r="S80" i="8"/>
  <c r="Q80" i="8"/>
  <c r="AG76" i="8"/>
  <c r="AB80" i="8"/>
  <c r="Z86" i="8"/>
  <c r="AN84" i="8"/>
  <c r="AO84" i="8"/>
  <c r="AG85" i="6"/>
  <c r="Y82" i="6"/>
  <c r="L84" i="6"/>
  <c r="AA85" i="6"/>
  <c r="G80" i="6"/>
  <c r="AD83" i="6"/>
  <c r="AQ77" i="6"/>
  <c r="K86" i="6"/>
  <c r="H77" i="6"/>
  <c r="G83" i="6"/>
  <c r="AR84" i="9"/>
  <c r="I84" i="9"/>
  <c r="N80" i="9"/>
  <c r="AM84" i="9"/>
  <c r="O77" i="9"/>
  <c r="J76" i="8"/>
  <c r="AS78" i="8"/>
  <c r="AQ86" i="9"/>
  <c r="L86" i="9"/>
  <c r="AQ77" i="9"/>
  <c r="Z85" i="9"/>
  <c r="AN76" i="9"/>
  <c r="J85" i="8"/>
  <c r="AN85" i="6"/>
  <c r="AN78" i="9"/>
  <c r="F84" i="9"/>
  <c r="AT84" i="9" s="1"/>
  <c r="T76" i="9"/>
  <c r="Q83" i="9"/>
  <c r="F86" i="9"/>
  <c r="AT86" i="9" s="1"/>
  <c r="J82" i="9"/>
  <c r="T78" i="9"/>
  <c r="W86" i="9"/>
  <c r="W85" i="9"/>
  <c r="AA81" i="9"/>
  <c r="AK77" i="9"/>
  <c r="AB86" i="9"/>
  <c r="AA82" i="9"/>
  <c r="M78" i="9"/>
  <c r="AB84" i="9"/>
  <c r="G79" i="9"/>
  <c r="AF81" i="9"/>
  <c r="P76" i="9"/>
  <c r="AG87" i="9"/>
  <c r="AL86" i="9"/>
  <c r="AR82" i="9"/>
  <c r="N77" i="9"/>
  <c r="G81" i="8"/>
  <c r="L84" i="8"/>
  <c r="M82" i="8"/>
  <c r="F85" i="8"/>
  <c r="AT85" i="8" s="1"/>
  <c r="N77" i="8"/>
  <c r="O77" i="8"/>
  <c r="K82" i="8"/>
  <c r="G87" i="8"/>
  <c r="N84" i="8"/>
  <c r="L77" i="8"/>
  <c r="P85" i="8"/>
  <c r="Q77" i="8"/>
  <c r="AH85" i="8"/>
  <c r="AB77" i="8"/>
  <c r="Z83" i="8"/>
  <c r="AN81" i="8"/>
  <c r="AQ78" i="8"/>
  <c r="J81" i="6"/>
  <c r="K80" i="6"/>
  <c r="AC80" i="6"/>
  <c r="AC78" i="6"/>
  <c r="AO77" i="6"/>
  <c r="G85" i="6"/>
  <c r="P81" i="6"/>
  <c r="J79" i="6"/>
  <c r="AR77" i="6"/>
  <c r="AK83" i="6"/>
  <c r="AH76" i="9"/>
  <c r="AC87" i="9"/>
  <c r="G81" i="9"/>
  <c r="W87" i="9"/>
  <c r="AL76" i="9"/>
  <c r="AL78" i="9"/>
  <c r="AS81" i="9"/>
  <c r="L79" i="9"/>
  <c r="AE79" i="9"/>
  <c r="N79" i="8"/>
  <c r="AI86" i="6"/>
  <c r="Z76" i="9"/>
  <c r="Z78" i="9"/>
  <c r="V78" i="9"/>
  <c r="L83" i="9"/>
  <c r="N85" i="8"/>
  <c r="G83" i="8"/>
  <c r="AB84" i="8"/>
  <c r="R77" i="6"/>
  <c r="AK86" i="9"/>
  <c r="J80" i="9"/>
  <c r="M87" i="9"/>
  <c r="AE86" i="9"/>
  <c r="AO82" i="9"/>
  <c r="AS78" i="9"/>
  <c r="N76" i="9"/>
  <c r="G87" i="9"/>
  <c r="K83" i="9"/>
  <c r="AO84" i="9"/>
  <c r="AS80" i="9"/>
  <c r="N78" i="9"/>
  <c r="K86" i="9"/>
  <c r="Q85" i="9"/>
  <c r="U81" i="9"/>
  <c r="AE77" i="9"/>
  <c r="AQ84" i="9"/>
  <c r="S82" i="9"/>
  <c r="W77" i="9"/>
  <c r="AR83" i="9"/>
  <c r="Q78" i="9"/>
  <c r="X81" i="9"/>
  <c r="S80" i="9"/>
  <c r="N86" i="9"/>
  <c r="AA86" i="9"/>
  <c r="AJ82" i="9"/>
  <c r="AG79" i="9"/>
  <c r="L78" i="8"/>
  <c r="F84" i="8"/>
  <c r="AT84" i="8" s="1"/>
  <c r="G82" i="8"/>
  <c r="J84" i="8"/>
  <c r="H77" i="8"/>
  <c r="K80" i="8"/>
  <c r="O81" i="8"/>
  <c r="O85" i="8"/>
  <c r="H84" i="8"/>
  <c r="F77" i="8"/>
  <c r="AT77" i="8" s="1"/>
  <c r="X80" i="8"/>
  <c r="R82" i="8"/>
  <c r="AG85" i="8"/>
  <c r="AC87" i="8"/>
  <c r="AH78" i="8"/>
  <c r="AL77" i="8"/>
  <c r="AL82" i="8"/>
  <c r="AB87" i="6"/>
  <c r="Z80" i="6"/>
  <c r="AJ83" i="6"/>
  <c r="P76" i="6"/>
  <c r="F82" i="6"/>
  <c r="AT82" i="6" s="1"/>
  <c r="Z82" i="6"/>
  <c r="W83" i="6"/>
  <c r="AA77" i="6"/>
  <c r="N79" i="6"/>
  <c r="AS84" i="6"/>
  <c r="AE78" i="9"/>
  <c r="AD82" i="9"/>
  <c r="AB76" i="9"/>
  <c r="U76" i="9"/>
  <c r="X86" i="9"/>
  <c r="AL81" i="9"/>
  <c r="J79" i="8"/>
  <c r="P80" i="9"/>
  <c r="AI86" i="9"/>
  <c r="AI87" i="9"/>
  <c r="AA76" i="6"/>
  <c r="W84" i="6"/>
  <c r="H78" i="9"/>
  <c r="I82" i="9"/>
  <c r="J84" i="9"/>
  <c r="Z82" i="9"/>
  <c r="F76" i="8"/>
  <c r="O79" i="8"/>
  <c r="H82" i="8"/>
  <c r="K81" i="8"/>
  <c r="N83" i="8"/>
  <c r="M87" i="8"/>
  <c r="L81" i="8"/>
  <c r="I81" i="8"/>
  <c r="M84" i="8"/>
  <c r="L83" i="8"/>
  <c r="P76" i="8"/>
  <c r="P79" i="8"/>
  <c r="Q85" i="8"/>
  <c r="AI83" i="8"/>
  <c r="AE85" i="8"/>
  <c r="Z77" i="8"/>
  <c r="AO83" i="8"/>
  <c r="AN77" i="8"/>
  <c r="AG82" i="6"/>
  <c r="AI76" i="6"/>
  <c r="AC84" i="6"/>
  <c r="S79" i="6"/>
  <c r="AK84" i="6"/>
  <c r="X77" i="6"/>
  <c r="P84" i="6"/>
  <c r="L79" i="6"/>
  <c r="AJ79" i="6"/>
  <c r="W85" i="6"/>
  <c r="X80" i="9"/>
  <c r="Z84" i="9"/>
  <c r="AQ80" i="9"/>
  <c r="X82" i="9"/>
  <c r="AD84" i="8"/>
  <c r="AC77" i="6"/>
  <c r="AI82" i="9"/>
  <c r="AM80" i="9"/>
  <c r="AG76" i="9"/>
  <c r="AG78" i="9"/>
  <c r="AJ85" i="9"/>
  <c r="AC84" i="9"/>
  <c r="AG80" i="9"/>
  <c r="AQ76" i="9"/>
  <c r="AJ87" i="9"/>
  <c r="AN83" i="9"/>
  <c r="I81" i="9"/>
  <c r="S77" i="9"/>
  <c r="Y84" i="9"/>
  <c r="AL80" i="9"/>
  <c r="X76" i="9"/>
  <c r="F82" i="9"/>
  <c r="AT82" i="9" s="1"/>
  <c r="AL87" i="9"/>
  <c r="F81" i="9"/>
  <c r="AT81" i="9" s="1"/>
  <c r="L78" i="9"/>
  <c r="R83" i="9"/>
  <c r="AB85" i="9"/>
  <c r="R82" i="9"/>
  <c r="L76" i="8"/>
  <c r="L88" i="8" s="1"/>
  <c r="L87" i="8"/>
  <c r="F81" i="8"/>
  <c r="AT81" i="8" s="1"/>
  <c r="O80" i="8"/>
  <c r="H83" i="8"/>
  <c r="K86" i="8"/>
  <c r="O87" i="8"/>
  <c r="M80" i="8"/>
  <c r="K83" i="8"/>
  <c r="F83" i="8"/>
  <c r="AT83" i="8" s="1"/>
  <c r="Y76" i="8"/>
  <c r="X77" i="8"/>
  <c r="W82" i="8"/>
  <c r="AG82" i="8"/>
  <c r="AC84" i="8"/>
  <c r="AO76" i="8"/>
  <c r="AJ87" i="8"/>
  <c r="AQ85" i="8"/>
  <c r="AH76" i="6"/>
  <c r="AH81" i="6"/>
  <c r="M85" i="6"/>
  <c r="N83" i="6"/>
  <c r="AS85" i="6"/>
  <c r="AI81" i="6"/>
  <c r="AN84" i="6"/>
  <c r="O80" i="6"/>
  <c r="J80" i="6"/>
  <c r="AI85" i="6"/>
  <c r="U79" i="9"/>
  <c r="M80" i="9"/>
  <c r="Z83" i="9"/>
  <c r="AL84" i="9"/>
  <c r="AO83" i="9"/>
  <c r="T85" i="9"/>
  <c r="S84" i="8"/>
  <c r="AG80" i="6"/>
  <c r="AC83" i="9"/>
  <c r="AP81" i="9"/>
  <c r="J78" i="8"/>
  <c r="O86" i="9"/>
  <c r="H76" i="9"/>
  <c r="K85" i="9"/>
  <c r="R77" i="9"/>
  <c r="W83" i="9"/>
  <c r="AB81" i="9"/>
  <c r="M86" i="9"/>
  <c r="W82" i="9"/>
  <c r="AA78" i="9"/>
  <c r="AH81" i="9"/>
  <c r="AD85" i="9"/>
  <c r="P81" i="9"/>
  <c r="W84" i="9"/>
  <c r="AA80" i="9"/>
  <c r="AK76" i="9"/>
  <c r="AD87" i="9"/>
  <c r="AH83" i="9"/>
  <c r="AR79" i="9"/>
  <c r="M77" i="9"/>
  <c r="O84" i="9"/>
  <c r="AD80" i="9"/>
  <c r="I76" i="9"/>
  <c r="Y80" i="9"/>
  <c r="AA87" i="9"/>
  <c r="AB79" i="9"/>
  <c r="AL77" i="9"/>
  <c r="N82" i="9"/>
  <c r="AN84" i="9"/>
  <c r="H82" i="9"/>
  <c r="O76" i="8"/>
  <c r="J86" i="8"/>
  <c r="H79" i="8"/>
  <c r="I80" i="8"/>
  <c r="L82" i="8"/>
  <c r="I85" i="8"/>
  <c r="I87" i="8"/>
  <c r="G80" i="8"/>
  <c r="I82" i="8"/>
  <c r="J82" i="8"/>
  <c r="W76" i="8"/>
  <c r="V81" i="8"/>
  <c r="P86" i="8"/>
  <c r="AE78" i="8"/>
  <c r="AA80" i="8"/>
  <c r="AQ76" i="8"/>
  <c r="AM79" i="8"/>
  <c r="AJ86" i="8"/>
  <c r="AC79" i="6"/>
  <c r="AP81" i="6"/>
  <c r="M87" i="6"/>
  <c r="AQ76" i="6"/>
  <c r="P87" i="6"/>
  <c r="AR86" i="6"/>
  <c r="G87" i="6"/>
  <c r="AD85" i="6"/>
  <c r="P83" i="6"/>
  <c r="AK86" i="6"/>
  <c r="N83" i="9"/>
  <c r="X77" i="9"/>
  <c r="L81" i="9"/>
  <c r="L77" i="9"/>
  <c r="AF76" i="8"/>
  <c r="L84" i="9"/>
  <c r="P82" i="9"/>
  <c r="AK82" i="9"/>
  <c r="AJ78" i="9"/>
  <c r="I83" i="8"/>
  <c r="G85" i="8"/>
  <c r="H78" i="8"/>
  <c r="S78" i="8"/>
  <c r="AD78" i="8"/>
  <c r="AQ84" i="8"/>
  <c r="W76" i="6"/>
  <c r="AR76" i="6"/>
  <c r="AL76" i="6"/>
  <c r="AF80" i="6"/>
  <c r="AM78" i="9"/>
  <c r="AP87" i="9"/>
  <c r="K79" i="9"/>
  <c r="U78" i="9"/>
  <c r="X85" i="9"/>
  <c r="AM79" i="9"/>
  <c r="Q84" i="9"/>
  <c r="U80" i="9"/>
  <c r="AE76" i="9"/>
  <c r="X87" i="9"/>
  <c r="AB83" i="9"/>
  <c r="AL79" i="9"/>
  <c r="G77" i="9"/>
  <c r="G84" i="9"/>
  <c r="T80" i="9"/>
  <c r="Y79" i="9"/>
  <c r="AO79" i="9"/>
  <c r="P87" i="9"/>
  <c r="S79" i="9"/>
  <c r="V77" i="9"/>
  <c r="Q80" i="9"/>
  <c r="AF84" i="9"/>
  <c r="AK80" i="9"/>
  <c r="I76" i="8"/>
  <c r="H85" i="8"/>
  <c r="J77" i="8"/>
  <c r="M79" i="8"/>
  <c r="F82" i="8"/>
  <c r="AT82" i="8" s="1"/>
  <c r="G84" i="8"/>
  <c r="M86" i="8"/>
  <c r="K79" i="8"/>
  <c r="K77" i="8"/>
  <c r="N81" i="8"/>
  <c r="U83" i="8"/>
  <c r="U84" i="8"/>
  <c r="R84" i="8"/>
  <c r="AA87" i="8"/>
  <c r="AC78" i="8"/>
  <c r="AK84" i="8"/>
  <c r="AM87" i="8"/>
  <c r="AL84" i="8"/>
  <c r="Q84" i="6"/>
  <c r="K87" i="6"/>
  <c r="AO87" i="6"/>
  <c r="P79" i="6"/>
  <c r="AM76" i="6"/>
  <c r="V78" i="6"/>
  <c r="AI87" i="6"/>
  <c r="AS78" i="6"/>
  <c r="H85" i="6"/>
  <c r="O87" i="6"/>
  <c r="AI76" i="9"/>
  <c r="H84" i="9"/>
  <c r="U77" i="9"/>
  <c r="H80" i="9"/>
  <c r="AB80" i="9"/>
  <c r="G76" i="9"/>
  <c r="AR87" i="9"/>
  <c r="AR77" i="9"/>
  <c r="AD83" i="9"/>
  <c r="G77" i="8"/>
  <c r="AF84" i="6"/>
  <c r="AG81" i="9"/>
  <c r="AK79" i="9"/>
  <c r="AP85" i="9"/>
  <c r="O81" i="9"/>
  <c r="H83" i="9"/>
  <c r="AC82" i="9"/>
  <c r="V81" i="9"/>
  <c r="AP84" i="9"/>
  <c r="K82" i="9"/>
  <c r="O78" i="9"/>
  <c r="J81" i="9"/>
  <c r="R85" i="9"/>
  <c r="AP86" i="9"/>
  <c r="K84" i="9"/>
  <c r="O80" i="9"/>
  <c r="Y76" i="9"/>
  <c r="R87" i="9"/>
  <c r="V83" i="9"/>
  <c r="AF79" i="9"/>
  <c r="AC86" i="9"/>
  <c r="AM83" i="9"/>
  <c r="L80" i="9"/>
  <c r="AJ77" i="9"/>
  <c r="AH78" i="9"/>
  <c r="H86" i="9"/>
  <c r="AC78" i="9"/>
  <c r="W76" i="9"/>
  <c r="X79" i="9"/>
  <c r="V84" i="9"/>
  <c r="AC80" i="9"/>
  <c r="N76" i="8"/>
  <c r="J83" i="8"/>
  <c r="O86" i="8"/>
  <c r="G79" i="8"/>
  <c r="J81" i="8"/>
  <c r="O82" i="8"/>
  <c r="G86" i="8"/>
  <c r="O78" i="8"/>
  <c r="J80" i="8"/>
  <c r="H81" i="8"/>
  <c r="Q81" i="8"/>
  <c r="U81" i="8"/>
  <c r="P83" i="8"/>
  <c r="AA84" i="8"/>
  <c r="AA77" i="8"/>
  <c r="AQ81" i="8"/>
  <c r="AK86" i="8"/>
  <c r="AJ83" i="8"/>
  <c r="M76" i="6"/>
  <c r="J77" i="6"/>
  <c r="AP84" i="6"/>
  <c r="S82" i="6"/>
  <c r="AI77" i="6"/>
  <c r="AJ81" i="6"/>
  <c r="W79" i="6"/>
  <c r="N82" i="6"/>
  <c r="P86" i="6"/>
  <c r="AA87" i="6"/>
  <c r="J87" i="9"/>
  <c r="U85" i="9"/>
  <c r="AI78" i="9"/>
  <c r="O76" i="9"/>
  <c r="AS80" i="8"/>
  <c r="AM86" i="9"/>
  <c r="Y83" i="6"/>
  <c r="Y86" i="9"/>
  <c r="AI84" i="9"/>
  <c r="Y77" i="9"/>
  <c r="N81" i="9"/>
  <c r="S86" i="9"/>
  <c r="Q82" i="9"/>
  <c r="AN80" i="9"/>
  <c r="I78" i="9"/>
  <c r="AQ87" i="9"/>
  <c r="L85" i="9"/>
  <c r="AJ86" i="9"/>
  <c r="AN82" i="9"/>
  <c r="I80" i="9"/>
  <c r="S76" i="9"/>
  <c r="L87" i="9"/>
  <c r="P83" i="9"/>
  <c r="Z79" i="9"/>
  <c r="Q86" i="9"/>
  <c r="AE83" i="9"/>
  <c r="AS79" i="9"/>
  <c r="T81" i="9"/>
  <c r="J78" i="9"/>
  <c r="AM85" i="9"/>
  <c r="AM77" i="9"/>
  <c r="AP79" i="9"/>
  <c r="Y78" i="9"/>
  <c r="N84" i="9"/>
  <c r="K80" i="9"/>
  <c r="H76" i="8"/>
  <c r="F78" i="8"/>
  <c r="AT78" i="8" s="1"/>
  <c r="I86" i="8"/>
  <c r="I77" i="8"/>
  <c r="N80" i="8"/>
  <c r="M81" i="8"/>
  <c r="K85" i="8"/>
  <c r="I78" i="8"/>
  <c r="N87" i="8"/>
  <c r="L80" i="8"/>
  <c r="R85" i="8"/>
  <c r="S87" i="8"/>
  <c r="X78" i="8"/>
  <c r="AD87" i="8"/>
  <c r="AA78" i="8"/>
  <c r="AO80" i="8"/>
  <c r="AS81" i="8"/>
  <c r="AR78" i="8"/>
  <c r="Y84" i="6"/>
  <c r="J85" i="6"/>
  <c r="AE79" i="6"/>
  <c r="T83" i="6"/>
  <c r="I80" i="6"/>
  <c r="AC83" i="6"/>
  <c r="I79" i="6"/>
  <c r="F77" i="6"/>
  <c r="AT77" i="6" s="1"/>
  <c r="AL87" i="6"/>
  <c r="AM81" i="6"/>
  <c r="AK84" i="9"/>
  <c r="V79" i="9"/>
  <c r="O82" i="9"/>
  <c r="R79" i="9"/>
  <c r="X84" i="9"/>
  <c r="AB82" i="9"/>
  <c r="N79" i="9"/>
  <c r="L76" i="9"/>
  <c r="N86" i="8"/>
  <c r="AH85" i="6"/>
  <c r="S87" i="9"/>
  <c r="AC85" i="9"/>
  <c r="S81" i="9"/>
  <c r="AB77" i="9"/>
  <c r="G76" i="8"/>
  <c r="L85" i="8"/>
  <c r="N82" i="8"/>
  <c r="R86" i="8"/>
  <c r="AG78" i="8"/>
  <c r="AP82" i="8"/>
  <c r="Y85" i="9"/>
  <c r="AN81" i="9"/>
  <c r="AG84" i="9"/>
  <c r="P86" i="9"/>
  <c r="G86" i="9"/>
  <c r="AJ84" i="9"/>
  <c r="AD84" i="9"/>
  <c r="AH80" i="9"/>
  <c r="AR76" i="9"/>
  <c r="AK87" i="9"/>
  <c r="F85" i="9"/>
  <c r="AT85" i="9" s="1"/>
  <c r="AD86" i="9"/>
  <c r="AH82" i="9"/>
  <c r="AR78" i="9"/>
  <c r="M76" i="9"/>
  <c r="F87" i="9"/>
  <c r="AT87" i="9" s="1"/>
  <c r="J83" i="9"/>
  <c r="T79" i="9"/>
  <c r="AO87" i="9"/>
  <c r="U83" i="9"/>
  <c r="AJ79" i="9"/>
  <c r="Q79" i="9"/>
  <c r="K77" i="9"/>
  <c r="AE85" i="9"/>
  <c r="AD77" i="9"/>
  <c r="AH86" i="9"/>
  <c r="AC81" i="9"/>
  <c r="AL83" i="9"/>
  <c r="AQ79" i="9"/>
  <c r="K76" i="8"/>
  <c r="K78" i="8"/>
  <c r="M85" i="8"/>
  <c r="J87" i="8"/>
  <c r="H80" i="8"/>
  <c r="G78" i="8"/>
  <c r="O84" i="8"/>
  <c r="M77" i="8"/>
  <c r="H87" i="8"/>
  <c r="F80" i="8"/>
  <c r="AT80" i="8" s="1"/>
  <c r="W87" i="8"/>
  <c r="U85" i="8"/>
  <c r="P77" i="8"/>
  <c r="AF85" i="8"/>
  <c r="AC79" i="8"/>
  <c r="AS83" i="8"/>
  <c r="AK80" i="8"/>
  <c r="AJ77" i="8"/>
  <c r="H81" i="6"/>
  <c r="L82" i="6"/>
  <c r="AQ82" i="6"/>
  <c r="AD87" i="6"/>
  <c r="AM80" i="6"/>
  <c r="AD84" i="6"/>
  <c r="R83" i="6"/>
  <c r="AE78" i="6"/>
  <c r="AK80" i="6"/>
  <c r="U84" i="6"/>
  <c r="P77" i="9"/>
  <c r="P78" i="9"/>
  <c r="AQ82" i="9"/>
  <c r="AE81" i="9"/>
  <c r="T76" i="8"/>
  <c r="U80" i="8"/>
  <c r="S86" i="8"/>
  <c r="T81" i="8"/>
  <c r="X82" i="8"/>
  <c r="Y87" i="8"/>
  <c r="W80" i="8"/>
  <c r="T83" i="8"/>
  <c r="V86" i="8"/>
  <c r="T79" i="8"/>
  <c r="AE76" i="8"/>
  <c r="AC86" i="8"/>
  <c r="AA79" i="8"/>
  <c r="AH79" i="8"/>
  <c r="AH80" i="8"/>
  <c r="AI87" i="8"/>
  <c r="AG80" i="8"/>
  <c r="AA81" i="8"/>
  <c r="AF86" i="8"/>
  <c r="AD79" i="8"/>
  <c r="AP76" i="8"/>
  <c r="AS77" i="8"/>
  <c r="AJ85" i="8"/>
  <c r="AR77" i="8"/>
  <c r="AO86" i="8"/>
  <c r="AO82" i="8"/>
  <c r="AN80" i="8"/>
  <c r="AR82" i="8"/>
  <c r="AP86" i="8"/>
  <c r="AN79" i="8"/>
  <c r="Q83" i="6"/>
  <c r="H79" i="6"/>
  <c r="Z78" i="6"/>
  <c r="I82" i="6"/>
  <c r="AH84" i="6"/>
  <c r="W77" i="6"/>
  <c r="S80" i="6"/>
  <c r="AH82" i="6"/>
  <c r="U80" i="6"/>
  <c r="U83" i="6"/>
  <c r="AS86" i="6"/>
  <c r="AI78" i="6"/>
  <c r="AQ84" i="6"/>
  <c r="AJ80" i="6"/>
  <c r="N76" i="6"/>
  <c r="AQ81" i="6"/>
  <c r="K79" i="6"/>
  <c r="M81" i="6"/>
  <c r="N85" i="6"/>
  <c r="AP79" i="6"/>
  <c r="O83" i="6"/>
  <c r="AM86" i="6"/>
  <c r="AJ85" i="6"/>
  <c r="AK81" i="6"/>
  <c r="G77" i="6"/>
  <c r="H83" i="6"/>
  <c r="AF86" i="6"/>
  <c r="T78" i="6"/>
  <c r="L85" i="6"/>
  <c r="AS76" i="6"/>
  <c r="F85" i="6"/>
  <c r="AT85" i="6" s="1"/>
  <c r="AF76" i="6"/>
  <c r="AN76" i="6"/>
  <c r="G79" i="6"/>
  <c r="AF82" i="6"/>
  <c r="AF87" i="6"/>
  <c r="AO82" i="6"/>
  <c r="AM84" i="6"/>
  <c r="AE86" i="6"/>
  <c r="AA81" i="6"/>
  <c r="I77" i="9"/>
  <c r="AQ83" i="9"/>
  <c r="R81" i="9"/>
  <c r="Q87" i="9"/>
  <c r="Z77" i="9"/>
  <c r="F80" i="9"/>
  <c r="AT80" i="9" s="1"/>
  <c r="AP76" i="9"/>
  <c r="AF85" i="9"/>
  <c r="AQ85" i="9"/>
  <c r="U87" i="9"/>
  <c r="I79" i="9"/>
  <c r="G82" i="9"/>
  <c r="AE84" i="9"/>
  <c r="AG86" i="9"/>
  <c r="V76" i="9"/>
  <c r="AQ78" i="9"/>
  <c r="V86" i="9"/>
  <c r="AJ76" i="9"/>
  <c r="Q76" i="8"/>
  <c r="T77" i="8"/>
  <c r="T87" i="8"/>
  <c r="R80" i="8"/>
  <c r="X79" i="8"/>
  <c r="W86" i="8"/>
  <c r="U79" i="8"/>
  <c r="T80" i="8"/>
  <c r="T85" i="8"/>
  <c r="R78" i="8"/>
  <c r="AA76" i="8"/>
  <c r="AA85" i="8"/>
  <c r="AI77" i="8"/>
  <c r="AH86" i="8"/>
  <c r="AF79" i="8"/>
  <c r="AG86" i="8"/>
  <c r="AE79" i="8"/>
  <c r="AF84" i="8"/>
  <c r="AD85" i="8"/>
  <c r="AB78" i="8"/>
  <c r="AK76" i="8"/>
  <c r="AR79" i="8"/>
  <c r="AR83" i="8"/>
  <c r="AK87" i="8"/>
  <c r="AM80" i="8"/>
  <c r="AM81" i="8"/>
  <c r="AK79" i="8"/>
  <c r="AP81" i="8"/>
  <c r="AN85" i="8"/>
  <c r="AL78" i="8"/>
  <c r="I77" i="6"/>
  <c r="S78" i="6"/>
  <c r="AO81" i="6"/>
  <c r="AO86" i="6"/>
  <c r="AO84" i="6"/>
  <c r="AF81" i="6"/>
  <c r="R84" i="6"/>
  <c r="R86" i="6"/>
  <c r="AJ84" i="6"/>
  <c r="AS83" i="6"/>
  <c r="W87" i="6"/>
  <c r="T80" i="6"/>
  <c r="L87" i="6"/>
  <c r="T77" i="6"/>
  <c r="AM77" i="6"/>
  <c r="S84" i="6"/>
  <c r="M82" i="6"/>
  <c r="AD82" i="6"/>
  <c r="AH87" i="6"/>
  <c r="P80" i="6"/>
  <c r="AM83" i="6"/>
  <c r="Z85" i="6"/>
  <c r="O76" i="6"/>
  <c r="AC86" i="6"/>
  <c r="AM78" i="6"/>
  <c r="AF83" i="6"/>
  <c r="Q87" i="6"/>
  <c r="AL79" i="6"/>
  <c r="AN87" i="6"/>
  <c r="H78" i="6"/>
  <c r="M77" i="6"/>
  <c r="AB77" i="6"/>
  <c r="O77" i="6"/>
  <c r="U79" i="6"/>
  <c r="AN83" i="6"/>
  <c r="AR87" i="6"/>
  <c r="M83" i="6"/>
  <c r="K85" i="6"/>
  <c r="AQ86" i="6"/>
  <c r="K82" i="6"/>
  <c r="U82" i="9"/>
  <c r="V85" i="9"/>
  <c r="K76" i="9"/>
  <c r="J86" i="9"/>
  <c r="O79" i="9"/>
  <c r="U86" i="9"/>
  <c r="F78" i="9"/>
  <c r="AT78" i="9" s="1"/>
  <c r="AQ81" i="9"/>
  <c r="Z81" i="9"/>
  <c r="AR86" i="9"/>
  <c r="G85" i="9"/>
  <c r="Y82" i="9"/>
  <c r="P85" i="9"/>
  <c r="AI77" i="9"/>
  <c r="AS77" i="9"/>
  <c r="M81" i="9"/>
  <c r="AI80" i="9"/>
  <c r="U86" i="8"/>
  <c r="W79" i="8"/>
  <c r="X86" i="8"/>
  <c r="V79" i="8"/>
  <c r="W85" i="8"/>
  <c r="Q86" i="8"/>
  <c r="Y78" i="8"/>
  <c r="U87" i="8"/>
  <c r="X84" i="8"/>
  <c r="V77" i="8"/>
  <c r="AI85" i="8"/>
  <c r="AE84" i="8"/>
  <c r="AC77" i="8"/>
  <c r="AB86" i="8"/>
  <c r="Z79" i="8"/>
  <c r="AA86" i="8"/>
  <c r="AI78" i="8"/>
  <c r="Z78" i="8"/>
  <c r="AH84" i="8"/>
  <c r="AF77" i="8"/>
  <c r="AS85" i="8"/>
  <c r="AM86" i="8"/>
  <c r="AL83" i="8"/>
  <c r="AM85" i="8"/>
  <c r="AS87" i="8"/>
  <c r="AQ80" i="8"/>
  <c r="AQ87" i="8"/>
  <c r="AJ81" i="8"/>
  <c r="AR84" i="8"/>
  <c r="AP77" i="8"/>
  <c r="X83" i="6"/>
  <c r="R80" i="6"/>
  <c r="I83" i="6"/>
  <c r="T76" i="6"/>
  <c r="R87" i="6"/>
  <c r="H84" i="6"/>
  <c r="AH86" i="6"/>
  <c r="AI80" i="6"/>
  <c r="AR85" i="6"/>
  <c r="T84" i="6"/>
  <c r="AE87" i="6"/>
  <c r="K81" i="6"/>
  <c r="H76" i="6"/>
  <c r="P78" i="6"/>
  <c r="AB78" i="6"/>
  <c r="T86" i="6"/>
  <c r="I76" i="6"/>
  <c r="M84" i="6"/>
  <c r="R76" i="6"/>
  <c r="AE80" i="6"/>
  <c r="N84" i="6"/>
  <c r="G76" i="6"/>
  <c r="K77" i="6"/>
  <c r="AD80" i="6"/>
  <c r="AI79" i="6"/>
  <c r="G84" i="6"/>
  <c r="Y87" i="6"/>
  <c r="Z81" i="6"/>
  <c r="AD76" i="6"/>
  <c r="AD78" i="6"/>
  <c r="I78" i="6"/>
  <c r="J78" i="6"/>
  <c r="V77" i="6"/>
  <c r="AB79" i="6"/>
  <c r="X84" i="6"/>
  <c r="Y80" i="6"/>
  <c r="S83" i="6"/>
  <c r="Q85" i="6"/>
  <c r="I87" i="6"/>
  <c r="AC82" i="6"/>
  <c r="J77" i="9"/>
  <c r="H77" i="9"/>
  <c r="J85" i="9"/>
  <c r="AF87" i="9"/>
  <c r="AJ81" i="9"/>
  <c r="AC79" i="9"/>
  <c r="AD78" i="9"/>
  <c r="AG83" i="9"/>
  <c r="M79" i="9"/>
  <c r="AS76" i="9"/>
  <c r="N87" i="9"/>
  <c r="AG82" i="9"/>
  <c r="AA85" i="9"/>
  <c r="G80" i="9"/>
  <c r="J79" i="9"/>
  <c r="W81" i="9"/>
  <c r="AP82" i="9"/>
  <c r="K87" i="9"/>
  <c r="S82" i="8"/>
  <c r="Y85" i="8"/>
  <c r="V85" i="8"/>
  <c r="T78" i="8"/>
  <c r="S83" i="8"/>
  <c r="Y84" i="8"/>
  <c r="W77" i="8"/>
  <c r="Y83" i="8"/>
  <c r="V83" i="8"/>
  <c r="Z76" i="8"/>
  <c r="AD86" i="8"/>
  <c r="AC83" i="8"/>
  <c r="AC85" i="8"/>
  <c r="Z85" i="8"/>
  <c r="AH77" i="8"/>
  <c r="AI84" i="8"/>
  <c r="AG77" i="8"/>
  <c r="AF87" i="8"/>
  <c r="AF83" i="8"/>
  <c r="AJ76" i="8"/>
  <c r="AM82" i="8"/>
  <c r="AK82" i="8"/>
  <c r="AJ82" i="8"/>
  <c r="AK78" i="8"/>
  <c r="AQ86" i="8"/>
  <c r="AO79" i="8"/>
  <c r="AS82" i="8"/>
  <c r="AO87" i="8"/>
  <c r="AP83" i="8"/>
  <c r="AD77" i="6"/>
  <c r="AS77" i="6"/>
  <c r="Q86" i="6"/>
  <c r="AG86" i="6"/>
  <c r="P82" i="6"/>
  <c r="L78" i="6"/>
  <c r="V79" i="6"/>
  <c r="U76" i="6"/>
  <c r="K83" i="6"/>
  <c r="S77" i="6"/>
  <c r="AR84" i="6"/>
  <c r="R81" i="6"/>
  <c r="K84" i="6"/>
  <c r="AN77" i="6"/>
  <c r="V80" i="6"/>
  <c r="L80" i="6"/>
  <c r="V76" i="6"/>
  <c r="L77" i="6"/>
  <c r="U85" i="6"/>
  <c r="U77" i="6"/>
  <c r="N81" i="6"/>
  <c r="AL84" i="6"/>
  <c r="X79" i="6"/>
  <c r="AF79" i="6"/>
  <c r="V86" i="6"/>
  <c r="G81" i="6"/>
  <c r="AE84" i="6"/>
  <c r="AQ87" i="6"/>
  <c r="Z84" i="6"/>
  <c r="G78" i="6"/>
  <c r="AG79" i="6"/>
  <c r="AD81" i="6"/>
  <c r="F79" i="6"/>
  <c r="AT79" i="6" s="1"/>
  <c r="AJ77" i="6"/>
  <c r="AQ79" i="6"/>
  <c r="AF85" i="6"/>
  <c r="I81" i="6"/>
  <c r="AE83" i="6"/>
  <c r="AC85" i="6"/>
  <c r="U87" i="6"/>
  <c r="BA5" i="6"/>
  <c r="BA6" i="6"/>
  <c r="AG85" i="9"/>
  <c r="F83" i="9"/>
  <c r="AT83" i="9" s="1"/>
  <c r="Y81" i="9"/>
  <c r="AP80" i="9"/>
  <c r="AA76" i="9"/>
  <c r="Q77" i="9"/>
  <c r="AH84" i="9"/>
  <c r="AM87" i="9"/>
  <c r="W80" i="9"/>
  <c r="AF82" i="9"/>
  <c r="K78" i="9"/>
  <c r="I83" i="9"/>
  <c r="Z86" i="9"/>
  <c r="AJ83" i="9"/>
  <c r="F76" i="9"/>
  <c r="AT76" i="9" s="1"/>
  <c r="AO81" i="9"/>
  <c r="BA6" i="9"/>
  <c r="BA5" i="9"/>
  <c r="S76" i="8"/>
  <c r="W78" i="8"/>
  <c r="Y82" i="8"/>
  <c r="T84" i="8"/>
  <c r="R77" i="8"/>
  <c r="S77" i="8"/>
  <c r="W83" i="8"/>
  <c r="U77" i="8"/>
  <c r="Q82" i="8"/>
  <c r="T82" i="8"/>
  <c r="AI76" i="8"/>
  <c r="Z84" i="8"/>
  <c r="AA82" i="8"/>
  <c r="AI82" i="8"/>
  <c r="AH83" i="8"/>
  <c r="AI79" i="8"/>
  <c r="AG83" i="8"/>
  <c r="AG87" i="8"/>
  <c r="AB82" i="8"/>
  <c r="AD82" i="8"/>
  <c r="AN76" i="8"/>
  <c r="AO77" i="8"/>
  <c r="AQ79" i="8"/>
  <c r="AR80" i="8"/>
  <c r="AL79" i="8"/>
  <c r="AO85" i="8"/>
  <c r="AM78" i="8"/>
  <c r="AP87" i="8"/>
  <c r="AM83" i="8"/>
  <c r="AN82" i="8"/>
  <c r="BA6" i="8"/>
  <c r="BA5" i="8"/>
  <c r="AR88" i="8"/>
  <c r="AB88" i="8"/>
  <c r="R88" i="8"/>
  <c r="AM88" i="8"/>
  <c r="EG72" i="5"/>
  <c r="EG72" i="4"/>
  <c r="EG72" i="3"/>
  <c r="EG72" i="2"/>
  <c r="EG40" i="5"/>
  <c r="EH43" i="5" s="1"/>
  <c r="EG40" i="3"/>
  <c r="EG40" i="2"/>
  <c r="EF11" i="5"/>
  <c r="EF13" i="5"/>
  <c r="EF97" i="5"/>
  <c r="EF86" i="5"/>
  <c r="EF98" i="5"/>
  <c r="EF75" i="5"/>
  <c r="EF87" i="5"/>
  <c r="EF99" i="5"/>
  <c r="EF64" i="5"/>
  <c r="EF76" i="5"/>
  <c r="EF88" i="5"/>
  <c r="EF100" i="5"/>
  <c r="EF89" i="5"/>
  <c r="EF101" i="5"/>
  <c r="EF21" i="5"/>
  <c r="EF33" i="5"/>
  <c r="EF45" i="5"/>
  <c r="EF57" i="5"/>
  <c r="EF22" i="5"/>
  <c r="EF34" i="5"/>
  <c r="EF46" i="5"/>
  <c r="EF23" i="5"/>
  <c r="EF35" i="5"/>
  <c r="EF53" i="5"/>
  <c r="EF65" i="5"/>
  <c r="EF77" i="5"/>
  <c r="EF42" i="5"/>
  <c r="EF54" i="5"/>
  <c r="EF66" i="5"/>
  <c r="EF78" i="5"/>
  <c r="EF90" i="5"/>
  <c r="EF31" i="5"/>
  <c r="EF43" i="5"/>
  <c r="EF55" i="5"/>
  <c r="EF67" i="5"/>
  <c r="EF79" i="5"/>
  <c r="EF20" i="5"/>
  <c r="EF32" i="5"/>
  <c r="EF44" i="5"/>
  <c r="EF56" i="5"/>
  <c r="EF68" i="5"/>
  <c r="EF18" i="5"/>
  <c r="EF28" i="5"/>
  <c r="EF39" i="5"/>
  <c r="EF50" i="5"/>
  <c r="EF61" i="5"/>
  <c r="EF73" i="5"/>
  <c r="EF94" i="5"/>
  <c r="EF29" i="5"/>
  <c r="EF40" i="5"/>
  <c r="EF51" i="5"/>
  <c r="EF62" i="5"/>
  <c r="EF74" i="5"/>
  <c r="EF84" i="5"/>
  <c r="EF95" i="5"/>
  <c r="EF19" i="5"/>
  <c r="EF30" i="5"/>
  <c r="EF41" i="5"/>
  <c r="EF52" i="5"/>
  <c r="EF63" i="5"/>
  <c r="EF85" i="5"/>
  <c r="EF96" i="5"/>
  <c r="EF14" i="5"/>
  <c r="EF24" i="5"/>
  <c r="EF36" i="5"/>
  <c r="EF47" i="5"/>
  <c r="EF69" i="5"/>
  <c r="EF80" i="5"/>
  <c r="EF91" i="5"/>
  <c r="EF102" i="5"/>
  <c r="EF15" i="5"/>
  <c r="EF25" i="5"/>
  <c r="EF37" i="5"/>
  <c r="EF58" i="5"/>
  <c r="EF70" i="5"/>
  <c r="EF81" i="5"/>
  <c r="EF92" i="5"/>
  <c r="EF103" i="5"/>
  <c r="EF16" i="5"/>
  <c r="EF26" i="5"/>
  <c r="EF38" i="5"/>
  <c r="EF48" i="5"/>
  <c r="EF59" i="5"/>
  <c r="EF71" i="5"/>
  <c r="EF82" i="5"/>
  <c r="EF104" i="5"/>
  <c r="EF17" i="5"/>
  <c r="EF27" i="5"/>
  <c r="EF49" i="5"/>
  <c r="EF60" i="5"/>
  <c r="EF72" i="5"/>
  <c r="EF83" i="5"/>
  <c r="EF93" i="5"/>
  <c r="EF77" i="4"/>
  <c r="EF101" i="4"/>
  <c r="EF55" i="4"/>
  <c r="EF103" i="4"/>
  <c r="EF99" i="4"/>
  <c r="EF78" i="4"/>
  <c r="EF90" i="4"/>
  <c r="EF102" i="4"/>
  <c r="EF72" i="4"/>
  <c r="EF20" i="4"/>
  <c r="EF21" i="4"/>
  <c r="EF45" i="4"/>
  <c r="EF88" i="4"/>
  <c r="EF57" i="4"/>
  <c r="EF69" i="4"/>
  <c r="EF22" i="4"/>
  <c r="EF70" i="4"/>
  <c r="EF81" i="4"/>
  <c r="EF15" i="4"/>
  <c r="EF47" i="4"/>
  <c r="EF59" i="4"/>
  <c r="EF71" i="4"/>
  <c r="EI84" i="2"/>
  <c r="EI72" i="2"/>
  <c r="EI36" i="2"/>
  <c r="EF11" i="4"/>
  <c r="EF36" i="4"/>
  <c r="EF60" i="4"/>
  <c r="EF29" i="4"/>
  <c r="EF53" i="4"/>
  <c r="EF86" i="4"/>
  <c r="EF30" i="4"/>
  <c r="EF54" i="4"/>
  <c r="EF87" i="4"/>
  <c r="EH9" i="4"/>
  <c r="EF14" i="4"/>
  <c r="EF61" i="4"/>
  <c r="EF94" i="4"/>
  <c r="EF27" i="4"/>
  <c r="EF39" i="4"/>
  <c r="EF51" i="4"/>
  <c r="EF62" i="4"/>
  <c r="EF95" i="4"/>
  <c r="EF28" i="4"/>
  <c r="EF52" i="4"/>
  <c r="EF63" i="4"/>
  <c r="EF85" i="4"/>
  <c r="EF96" i="4"/>
  <c r="EF26" i="4"/>
  <c r="EF34" i="4"/>
  <c r="EF50" i="4"/>
  <c r="EF58" i="4"/>
  <c r="EF92" i="4"/>
  <c r="EF100" i="4"/>
  <c r="EF35" i="4"/>
  <c r="EF67" i="4"/>
  <c r="EF19" i="4"/>
  <c r="EF24" i="4"/>
  <c r="EF43" i="4"/>
  <c r="EF48" i="4"/>
  <c r="EF68" i="4"/>
  <c r="EF76" i="4"/>
  <c r="EF37" i="4"/>
  <c r="EF42" i="4"/>
  <c r="EF75" i="4"/>
  <c r="EF66" i="4"/>
  <c r="EF13" i="4"/>
  <c r="EF18" i="4"/>
  <c r="EF38" i="4"/>
  <c r="EF46" i="4"/>
  <c r="EF79" i="4"/>
  <c r="EF84" i="4"/>
  <c r="EF93" i="4"/>
  <c r="EF23" i="4"/>
  <c r="EF31" i="4"/>
  <c r="EF56" i="4"/>
  <c r="EF64" i="4"/>
  <c r="EF89" i="4"/>
  <c r="EF97" i="4"/>
  <c r="EF12" i="4"/>
  <c r="EF32" i="4"/>
  <c r="EF40" i="4"/>
  <c r="EF65" i="4"/>
  <c r="EF98" i="4"/>
  <c r="EF33" i="4"/>
  <c r="EF16" i="4"/>
  <c r="EF41" i="4"/>
  <c r="EF73" i="4"/>
  <c r="EF82" i="4"/>
  <c r="EF9" i="4"/>
  <c r="EF17" i="4"/>
  <c r="EF25" i="4"/>
  <c r="EF49" i="4"/>
  <c r="EF74" i="4"/>
  <c r="EF83" i="4"/>
  <c r="EF91" i="4"/>
  <c r="EI92" i="2"/>
  <c r="EI94" i="2"/>
  <c r="EI104" i="2"/>
  <c r="EI46" i="2"/>
  <c r="EI82" i="2"/>
  <c r="EI58" i="2"/>
  <c r="EF104" i="3"/>
  <c r="EI73" i="2"/>
  <c r="EI61" i="2"/>
  <c r="EF13" i="3"/>
  <c r="EF97" i="3"/>
  <c r="EF57" i="3"/>
  <c r="EF69" i="3"/>
  <c r="EF81" i="3"/>
  <c r="EF48" i="3"/>
  <c r="EF84" i="3"/>
  <c r="EF96" i="3"/>
  <c r="EI42" i="2"/>
  <c r="EI30" i="2"/>
  <c r="EI18" i="2"/>
  <c r="EF42" i="3"/>
  <c r="EI52" i="2"/>
  <c r="EF37" i="3"/>
  <c r="EI64" i="2"/>
  <c r="EI39" i="2"/>
  <c r="EF46" i="3"/>
  <c r="EF70" i="3"/>
  <c r="EF82" i="3"/>
  <c r="EF75" i="3"/>
  <c r="EI27" i="2"/>
  <c r="EF24" i="3"/>
  <c r="EF36" i="3"/>
  <c r="EF47" i="3"/>
  <c r="EI81" i="2"/>
  <c r="EI69" i="2"/>
  <c r="EI57" i="2"/>
  <c r="EI45" i="2"/>
  <c r="EI15" i="2"/>
  <c r="EF19" i="3"/>
  <c r="EI40" i="2"/>
  <c r="EI28" i="2"/>
  <c r="EF90" i="3"/>
  <c r="EI75" i="2"/>
  <c r="EI63" i="2"/>
  <c r="EI51" i="2"/>
  <c r="EF79" i="3"/>
  <c r="EF103" i="3"/>
  <c r="EF33" i="3"/>
  <c r="EF15" i="3"/>
  <c r="EF27" i="3"/>
  <c r="EI68" i="2"/>
  <c r="EI20" i="2"/>
  <c r="EF40" i="3"/>
  <c r="EF63" i="3"/>
  <c r="EI103" i="2"/>
  <c r="EI31" i="2"/>
  <c r="EI19" i="2"/>
  <c r="EF29" i="3"/>
  <c r="EF41" i="3"/>
  <c r="EF64" i="3"/>
  <c r="EF18" i="3"/>
  <c r="EF30" i="3"/>
  <c r="EI24" i="2"/>
  <c r="EF11" i="3"/>
  <c r="EF23" i="3"/>
  <c r="EF45" i="3"/>
  <c r="EF56" i="3"/>
  <c r="EF89" i="3"/>
  <c r="EI33" i="2"/>
  <c r="EI79" i="2"/>
  <c r="EF38" i="3"/>
  <c r="EF49" i="3"/>
  <c r="EF72" i="3"/>
  <c r="EI21" i="2"/>
  <c r="EI102" i="2"/>
  <c r="EI90" i="2"/>
  <c r="EI78" i="2"/>
  <c r="EI66" i="2"/>
  <c r="EI54" i="2"/>
  <c r="EF28" i="3"/>
  <c r="EF39" i="3"/>
  <c r="EF50" i="3"/>
  <c r="EF62" i="3"/>
  <c r="EF73" i="3"/>
  <c r="EI44" i="2"/>
  <c r="EI88" i="2"/>
  <c r="EI99" i="2"/>
  <c r="EF20" i="3"/>
  <c r="EF31" i="3"/>
  <c r="EF65" i="3"/>
  <c r="EF87" i="3"/>
  <c r="EF98" i="3"/>
  <c r="EF66" i="3"/>
  <c r="EI56" i="2"/>
  <c r="EI87" i="2"/>
  <c r="EF21" i="3"/>
  <c r="EF32" i="3"/>
  <c r="EF51" i="3"/>
  <c r="EF99" i="3"/>
  <c r="EI37" i="2"/>
  <c r="EI13" i="2"/>
  <c r="EF22" i="3"/>
  <c r="EF78" i="3"/>
  <c r="EF88" i="3"/>
  <c r="EI100" i="2"/>
  <c r="EI76" i="2"/>
  <c r="EI16" i="2"/>
  <c r="EF61" i="3"/>
  <c r="EF95" i="3"/>
  <c r="EI25" i="2"/>
  <c r="EF55" i="3"/>
  <c r="EF60" i="3"/>
  <c r="EF71" i="3"/>
  <c r="EF80" i="3"/>
  <c r="EF93" i="3"/>
  <c r="EF102" i="3"/>
  <c r="EF9" i="3"/>
  <c r="EI34" i="2"/>
  <c r="EF54" i="3"/>
  <c r="EI60" i="2"/>
  <c r="EI93" i="2"/>
  <c r="EF14" i="3"/>
  <c r="EF58" i="3"/>
  <c r="EF74" i="3"/>
  <c r="EF83" i="3"/>
  <c r="EF91" i="3"/>
  <c r="EI85" i="2"/>
  <c r="EF59" i="3"/>
  <c r="EF92" i="3"/>
  <c r="EF100" i="3"/>
  <c r="EI67" i="2"/>
  <c r="EI43" i="2"/>
  <c r="EF12" i="3"/>
  <c r="EF67" i="3"/>
  <c r="EF101" i="3"/>
  <c r="EF16" i="3"/>
  <c r="EF25" i="3"/>
  <c r="EF34" i="3"/>
  <c r="EF43" i="3"/>
  <c r="EF52" i="3"/>
  <c r="EF68" i="3"/>
  <c r="EF76" i="3"/>
  <c r="EF85" i="3"/>
  <c r="EF17" i="3"/>
  <c r="EF26" i="3"/>
  <c r="EF35" i="3"/>
  <c r="EF44" i="3"/>
  <c r="EF53" i="3"/>
  <c r="EF77" i="3"/>
  <c r="EF86" i="3"/>
  <c r="EF94" i="3"/>
  <c r="EF81" i="2"/>
  <c r="EF33" i="2"/>
  <c r="EF102" i="2"/>
  <c r="EF101" i="2"/>
  <c r="EF12" i="2"/>
  <c r="EF91" i="2"/>
  <c r="EF31" i="2"/>
  <c r="EF55" i="2"/>
  <c r="EF56" i="2"/>
  <c r="EF18" i="2"/>
  <c r="EF53" i="2"/>
  <c r="EI10" i="2"/>
  <c r="EF66" i="2"/>
  <c r="EF77" i="2"/>
  <c r="EF17" i="2"/>
  <c r="EF100" i="2"/>
  <c r="EF88" i="2"/>
  <c r="EF76" i="2"/>
  <c r="EF64" i="2"/>
  <c r="EF52" i="2"/>
  <c r="EF40" i="2"/>
  <c r="EF28" i="2"/>
  <c r="EF16" i="2"/>
  <c r="EF29" i="2"/>
  <c r="EF99" i="2"/>
  <c r="EF87" i="2"/>
  <c r="EF75" i="2"/>
  <c r="EF63" i="2"/>
  <c r="EF51" i="2"/>
  <c r="EF39" i="2"/>
  <c r="EF27" i="2"/>
  <c r="EF10" i="2"/>
  <c r="EI97" i="2"/>
  <c r="EI49" i="2"/>
  <c r="EF92" i="2"/>
  <c r="EF78" i="2"/>
  <c r="EF89" i="2"/>
  <c r="EF41" i="2"/>
  <c r="EF15" i="2"/>
  <c r="EF98" i="2"/>
  <c r="EF86" i="2"/>
  <c r="EF74" i="2"/>
  <c r="EF62" i="2"/>
  <c r="EF50" i="2"/>
  <c r="EF38" i="2"/>
  <c r="EF26" i="2"/>
  <c r="EF13" i="2"/>
  <c r="EI96" i="2"/>
  <c r="EI48" i="2"/>
  <c r="EF42" i="2"/>
  <c r="EF65" i="2"/>
  <c r="EF14" i="2"/>
  <c r="EF73" i="2"/>
  <c r="EF25" i="2"/>
  <c r="EF57" i="2"/>
  <c r="EJ9" i="2"/>
  <c r="EF69" i="2"/>
  <c r="EF21" i="2"/>
  <c r="EF104" i="2"/>
  <c r="EF68" i="2"/>
  <c r="EF32" i="2"/>
  <c r="EF90" i="2"/>
  <c r="EF54" i="2"/>
  <c r="EF30" i="2"/>
  <c r="EI70" i="2"/>
  <c r="EI22" i="2"/>
  <c r="EF9" i="2"/>
  <c r="EF97" i="2"/>
  <c r="EF85" i="2"/>
  <c r="EF61" i="2"/>
  <c r="EF49" i="2"/>
  <c r="EF37" i="2"/>
  <c r="EI101" i="2"/>
  <c r="EI89" i="2"/>
  <c r="EI77" i="2"/>
  <c r="EI65" i="2"/>
  <c r="EI53" i="2"/>
  <c r="EI41" i="2"/>
  <c r="EI29" i="2"/>
  <c r="EI17" i="2"/>
  <c r="EF96" i="2"/>
  <c r="EF72" i="2"/>
  <c r="EF48" i="2"/>
  <c r="EF24" i="2"/>
  <c r="EF11" i="2"/>
  <c r="EF95" i="2"/>
  <c r="EF83" i="2"/>
  <c r="EF59" i="2"/>
  <c r="EF47" i="2"/>
  <c r="EF35" i="2"/>
  <c r="EF23" i="2"/>
  <c r="EF84" i="2"/>
  <c r="EF60" i="2"/>
  <c r="EF36" i="2"/>
  <c r="EF71" i="2"/>
  <c r="EF94" i="2"/>
  <c r="EF82" i="2"/>
  <c r="EF70" i="2"/>
  <c r="EF58" i="2"/>
  <c r="EF46" i="2"/>
  <c r="EF34" i="2"/>
  <c r="EF22" i="2"/>
  <c r="EI98" i="2"/>
  <c r="EI86" i="2"/>
  <c r="EI74" i="2"/>
  <c r="EI62" i="2"/>
  <c r="EI50" i="2"/>
  <c r="EI38" i="2"/>
  <c r="EI26" i="2"/>
  <c r="EI14" i="2"/>
  <c r="EF45" i="2"/>
  <c r="EF80" i="2"/>
  <c r="EF44" i="2"/>
  <c r="EF20" i="2"/>
  <c r="EI12" i="2"/>
  <c r="EF103" i="2"/>
  <c r="EF79" i="2"/>
  <c r="EF67" i="2"/>
  <c r="EF43" i="2"/>
  <c r="EF19" i="2"/>
  <c r="EI95" i="2"/>
  <c r="EI83" i="2"/>
  <c r="EI71" i="2"/>
  <c r="EI59" i="2"/>
  <c r="EI47" i="2"/>
  <c r="EI35" i="2"/>
  <c r="EI23" i="2"/>
  <c r="EI11" i="2"/>
  <c r="EF93" i="2"/>
  <c r="EI80" i="2"/>
  <c r="EI32" i="2"/>
  <c r="EI91" i="2"/>
  <c r="EI55" i="2"/>
  <c r="EH48" i="5"/>
  <c r="EF9" i="5"/>
  <c r="EF12" i="5"/>
  <c r="EF10" i="5"/>
  <c r="EF10" i="4"/>
  <c r="EF10" i="3"/>
  <c r="EH67" i="5" l="1"/>
  <c r="EH30" i="5"/>
  <c r="EH50" i="5"/>
  <c r="EH61" i="5"/>
  <c r="EH55" i="5"/>
  <c r="EH36" i="5"/>
  <c r="EH56" i="5"/>
  <c r="EH49" i="5"/>
  <c r="EH37" i="5"/>
  <c r="Y88" i="8"/>
  <c r="Y89" i="8"/>
  <c r="AN88" i="8"/>
  <c r="AN89" i="8"/>
  <c r="AI88" i="8"/>
  <c r="AI89" i="8"/>
  <c r="AA88" i="8"/>
  <c r="AA89" i="8"/>
  <c r="X88" i="8"/>
  <c r="X89" i="8"/>
  <c r="U88" i="8"/>
  <c r="U89" i="8"/>
  <c r="T88" i="8"/>
  <c r="T89" i="8"/>
  <c r="AS88" i="8"/>
  <c r="AS89" i="8"/>
  <c r="AL88" i="8"/>
  <c r="AL89" i="8"/>
  <c r="H88" i="8"/>
  <c r="H89" i="8"/>
  <c r="I88" i="8"/>
  <c r="I89" i="8"/>
  <c r="W88" i="8"/>
  <c r="W89" i="8"/>
  <c r="AE88" i="8"/>
  <c r="AE89" i="8"/>
  <c r="AG88" i="8"/>
  <c r="AG89" i="8"/>
  <c r="M88" i="8"/>
  <c r="M89" i="8"/>
  <c r="AC88" i="8"/>
  <c r="AC89" i="8"/>
  <c r="AH88" i="8"/>
  <c r="AH89" i="8"/>
  <c r="AF88" i="8"/>
  <c r="AF89" i="8"/>
  <c r="AT76" i="8"/>
  <c r="F89" i="8"/>
  <c r="AP88" i="8"/>
  <c r="AP89" i="8"/>
  <c r="N88" i="8"/>
  <c r="N89" i="8"/>
  <c r="AO88" i="8"/>
  <c r="AO89" i="8"/>
  <c r="V88" i="8"/>
  <c r="V89" i="8"/>
  <c r="R89" i="8"/>
  <c r="P88" i="8"/>
  <c r="P89" i="8"/>
  <c r="J88" i="8"/>
  <c r="J89" i="8"/>
  <c r="AR89" i="8"/>
  <c r="AM89" i="8"/>
  <c r="O88" i="8"/>
  <c r="O89" i="8"/>
  <c r="AJ88" i="8"/>
  <c r="AJ89" i="8"/>
  <c r="G88" i="8"/>
  <c r="G89" i="8"/>
  <c r="L89" i="8"/>
  <c r="AK88" i="8"/>
  <c r="AK89" i="8"/>
  <c r="Z88" i="8"/>
  <c r="Z89" i="8"/>
  <c r="S88" i="8"/>
  <c r="S89" i="8"/>
  <c r="Q88" i="8"/>
  <c r="Q89" i="8"/>
  <c r="K88" i="8"/>
  <c r="K89" i="8"/>
  <c r="AQ88" i="8"/>
  <c r="AQ89" i="8"/>
  <c r="AD88" i="8"/>
  <c r="AD89" i="8"/>
  <c r="AB89" i="8"/>
  <c r="AQ89" i="9"/>
  <c r="AF89" i="9"/>
  <c r="AS89" i="9"/>
  <c r="G88" i="6"/>
  <c r="G89" i="6"/>
  <c r="AA88" i="6"/>
  <c r="AA89" i="6"/>
  <c r="AC88" i="6"/>
  <c r="AC89" i="6"/>
  <c r="AP88" i="6"/>
  <c r="AP89" i="6"/>
  <c r="S88" i="6"/>
  <c r="S89" i="6"/>
  <c r="K88" i="6"/>
  <c r="K89" i="6"/>
  <c r="AN88" i="6"/>
  <c r="AN89" i="6"/>
  <c r="AF88" i="6"/>
  <c r="AF89" i="6"/>
  <c r="Q88" i="6"/>
  <c r="Q89" i="6"/>
  <c r="AO88" i="6"/>
  <c r="AO89" i="6"/>
  <c r="AB88" i="6"/>
  <c r="AB89" i="6"/>
  <c r="U88" i="6"/>
  <c r="U89" i="6"/>
  <c r="AL88" i="6"/>
  <c r="AL89" i="6"/>
  <c r="AQ88" i="6"/>
  <c r="AQ89" i="6"/>
  <c r="P88" i="6"/>
  <c r="P89" i="6"/>
  <c r="AT76" i="6"/>
  <c r="AT88" i="6" s="1"/>
  <c r="AU86" i="6" s="1"/>
  <c r="F89" i="6"/>
  <c r="X88" i="6"/>
  <c r="X89" i="6"/>
  <c r="M88" i="6"/>
  <c r="M89" i="6"/>
  <c r="Z88" i="6"/>
  <c r="Z89" i="6"/>
  <c r="V88" i="6"/>
  <c r="V89" i="6"/>
  <c r="O88" i="6"/>
  <c r="O89" i="6"/>
  <c r="N88" i="6"/>
  <c r="N89" i="6"/>
  <c r="W88" i="6"/>
  <c r="W89" i="6"/>
  <c r="J88" i="6"/>
  <c r="J89" i="6"/>
  <c r="Y88" i="6"/>
  <c r="Y89" i="6"/>
  <c r="AK88" i="6"/>
  <c r="AK89" i="6"/>
  <c r="L88" i="6"/>
  <c r="L89" i="6"/>
  <c r="AG88" i="6"/>
  <c r="AG89" i="6"/>
  <c r="H88" i="6"/>
  <c r="H89" i="6"/>
  <c r="AH88" i="6"/>
  <c r="AH89" i="6"/>
  <c r="AR88" i="6"/>
  <c r="AR89" i="6"/>
  <c r="AS88" i="6"/>
  <c r="AS89" i="6"/>
  <c r="AM88" i="6"/>
  <c r="AM89" i="6"/>
  <c r="AD88" i="6"/>
  <c r="AD89" i="6"/>
  <c r="I88" i="6"/>
  <c r="I89" i="6"/>
  <c r="R88" i="6"/>
  <c r="R89" i="6"/>
  <c r="T88" i="6"/>
  <c r="T89" i="6"/>
  <c r="AI88" i="6"/>
  <c r="AI89" i="6"/>
  <c r="AE88" i="6"/>
  <c r="AE89" i="6"/>
  <c r="AJ88" i="6"/>
  <c r="AJ89" i="6"/>
  <c r="AJ89" i="9"/>
  <c r="AN89" i="9"/>
  <c r="AO89" i="9"/>
  <c r="AM89" i="9"/>
  <c r="AK89" i="9"/>
  <c r="AL89" i="9"/>
  <c r="AR89" i="9"/>
  <c r="AP89" i="9"/>
  <c r="BA7" i="6"/>
  <c r="AS6" i="6" s="1"/>
  <c r="AJ88" i="9"/>
  <c r="AN88" i="9"/>
  <c r="AO88" i="9"/>
  <c r="AM88" i="9"/>
  <c r="AK88" i="9"/>
  <c r="AQ88" i="9"/>
  <c r="AL88" i="9"/>
  <c r="AR88" i="9"/>
  <c r="AS88" i="9"/>
  <c r="AP88" i="9"/>
  <c r="AI89" i="9"/>
  <c r="Z89" i="9"/>
  <c r="AA89" i="9"/>
  <c r="AE89" i="9"/>
  <c r="AB89" i="9"/>
  <c r="AC89" i="9"/>
  <c r="AD89" i="9"/>
  <c r="AG89" i="9"/>
  <c r="AH89" i="9"/>
  <c r="Z88" i="9"/>
  <c r="AA88" i="9"/>
  <c r="AF88" i="9"/>
  <c r="AG88" i="9"/>
  <c r="AI88" i="9"/>
  <c r="AE88" i="9"/>
  <c r="V89" i="9"/>
  <c r="AC88" i="9"/>
  <c r="AB88" i="9"/>
  <c r="AD88" i="9"/>
  <c r="AH88" i="9"/>
  <c r="S89" i="9"/>
  <c r="U89" i="9"/>
  <c r="P89" i="9"/>
  <c r="X89" i="9"/>
  <c r="R89" i="9"/>
  <c r="Y89" i="9"/>
  <c r="T89" i="9"/>
  <c r="Q89" i="9"/>
  <c r="W89" i="9"/>
  <c r="V88" i="9"/>
  <c r="X88" i="9"/>
  <c r="P88" i="9"/>
  <c r="H89" i="9"/>
  <c r="S88" i="9"/>
  <c r="R88" i="9"/>
  <c r="U88" i="9"/>
  <c r="Y88" i="9"/>
  <c r="T88" i="9"/>
  <c r="Q88" i="9"/>
  <c r="W88" i="9"/>
  <c r="K89" i="9"/>
  <c r="O89" i="9"/>
  <c r="L89" i="9"/>
  <c r="G89" i="9"/>
  <c r="M89" i="9"/>
  <c r="I89" i="9"/>
  <c r="N89" i="9"/>
  <c r="J89" i="9"/>
  <c r="O88" i="9"/>
  <c r="M88" i="9"/>
  <c r="L88" i="9"/>
  <c r="H88" i="9"/>
  <c r="G88" i="9"/>
  <c r="I88" i="9"/>
  <c r="N88" i="9"/>
  <c r="J88" i="9"/>
  <c r="K88" i="9"/>
  <c r="F89" i="9"/>
  <c r="F88" i="8"/>
  <c r="BA7" i="9"/>
  <c r="AS6" i="9" s="1"/>
  <c r="BA7" i="8"/>
  <c r="AS6" i="8" s="1"/>
  <c r="F88" i="9"/>
  <c r="F88" i="6"/>
  <c r="AT88" i="9"/>
  <c r="AU76" i="9" s="1"/>
  <c r="AU88" i="9" s="1"/>
  <c r="AT88" i="8"/>
  <c r="AU83" i="8" s="1"/>
  <c r="EH38" i="5"/>
  <c r="EH72" i="5"/>
  <c r="EH14" i="5"/>
  <c r="EH75" i="5"/>
  <c r="EH31" i="5"/>
  <c r="EH69" i="5"/>
  <c r="EH102" i="5"/>
  <c r="EH40" i="5"/>
  <c r="EH22" i="5"/>
  <c r="EH20" i="5"/>
  <c r="EH54" i="5"/>
  <c r="EH84" i="5"/>
  <c r="EH45" i="5"/>
  <c r="EH96" i="5"/>
  <c r="EH74" i="5"/>
  <c r="EH11" i="5"/>
  <c r="EH93" i="5"/>
  <c r="EH25" i="5"/>
  <c r="EH94" i="5"/>
  <c r="EH39" i="5"/>
  <c r="EH33" i="5"/>
  <c r="EH51" i="5"/>
  <c r="EH63" i="5"/>
  <c r="EH44" i="5"/>
  <c r="EH104" i="5"/>
  <c r="EH103" i="5"/>
  <c r="EH58" i="5"/>
  <c r="EH97" i="5"/>
  <c r="EH80" i="5"/>
  <c r="EH95" i="5"/>
  <c r="EH57" i="5"/>
  <c r="EH10" i="5"/>
  <c r="EH52" i="5"/>
  <c r="EH15" i="5"/>
  <c r="EH24" i="5"/>
  <c r="EH41" i="5"/>
  <c r="EH42" i="5"/>
  <c r="EH99" i="5"/>
  <c r="EH64" i="5"/>
  <c r="EH92" i="5"/>
  <c r="EH47" i="5"/>
  <c r="EH13" i="5"/>
  <c r="EH88" i="5"/>
  <c r="EH66" i="5"/>
  <c r="EH46" i="5"/>
  <c r="EH73" i="5"/>
  <c r="EH62" i="5"/>
  <c r="EH19" i="5"/>
  <c r="EH59" i="5"/>
  <c r="EH60" i="5"/>
  <c r="EH101" i="5"/>
  <c r="EH53" i="5"/>
  <c r="EH91" i="5"/>
  <c r="EH34" i="5"/>
  <c r="EH85" i="5"/>
  <c r="EH26" i="5"/>
  <c r="EH82" i="5"/>
  <c r="EH79" i="5"/>
  <c r="EH10" i="4"/>
  <c r="EH71" i="4"/>
  <c r="EH65" i="4"/>
  <c r="EH35" i="4"/>
  <c r="EH38" i="4"/>
  <c r="EH99" i="4"/>
  <c r="EH55" i="4"/>
  <c r="EH86" i="4"/>
  <c r="EH36" i="4"/>
  <c r="EH92" i="4"/>
  <c r="EH74" i="4"/>
  <c r="EH61" i="4"/>
  <c r="EH93" i="4"/>
  <c r="EH26" i="4"/>
  <c r="EH14" i="4"/>
  <c r="EH62" i="4"/>
  <c r="EH60" i="4"/>
  <c r="EH20" i="4"/>
  <c r="EH70" i="4"/>
  <c r="EH87" i="4"/>
  <c r="EH27" i="4"/>
  <c r="EH83" i="4"/>
  <c r="EH46" i="4"/>
  <c r="EH25" i="4"/>
  <c r="EH24" i="4"/>
  <c r="EH98" i="4"/>
  <c r="EH97" i="4"/>
  <c r="EH19" i="4"/>
  <c r="EH56" i="4"/>
  <c r="EH72" i="4"/>
  <c r="EH53" i="4"/>
  <c r="EH77" i="4"/>
  <c r="EH88" i="4"/>
  <c r="EH54" i="4"/>
  <c r="EH37" i="4"/>
  <c r="EH44" i="4"/>
  <c r="EH67" i="4"/>
  <c r="EH66" i="4"/>
  <c r="EH33" i="4"/>
  <c r="EH51" i="4"/>
  <c r="EH32" i="4"/>
  <c r="EH16" i="4"/>
  <c r="EH79" i="4"/>
  <c r="EH73" i="4"/>
  <c r="EH104" i="4"/>
  <c r="EH101" i="4"/>
  <c r="EH29" i="4"/>
  <c r="EH69" i="4"/>
  <c r="EH76" i="4"/>
  <c r="EH89" i="4"/>
  <c r="EH13" i="4"/>
  <c r="EH63" i="4"/>
  <c r="EH78" i="4"/>
  <c r="EH91" i="4"/>
  <c r="EH50" i="4"/>
  <c r="EH64" i="4"/>
  <c r="EH68" i="4"/>
  <c r="EH85" i="4"/>
  <c r="EH81" i="4"/>
  <c r="EH15" i="4"/>
  <c r="EH18" i="4"/>
  <c r="EH75" i="4"/>
  <c r="EH80" i="4"/>
  <c r="EH52" i="4"/>
  <c r="EH45" i="4"/>
  <c r="EH48" i="4"/>
  <c r="EH90" i="4"/>
  <c r="EH43" i="4"/>
  <c r="EH34" i="4"/>
  <c r="EJ104" i="2"/>
  <c r="EH64" i="3"/>
  <c r="EK60" i="2"/>
  <c r="EK49" i="2"/>
  <c r="EK48" i="2"/>
  <c r="EK18" i="2"/>
  <c r="EJ46" i="2"/>
  <c r="EK19" i="2"/>
  <c r="EH25" i="3"/>
  <c r="EH51" i="3"/>
  <c r="EJ60" i="2"/>
  <c r="EJ84" i="2"/>
  <c r="EH57" i="3"/>
  <c r="EJ69" i="2"/>
  <c r="EJ21" i="2"/>
  <c r="EK25" i="2"/>
  <c r="EK11" i="2"/>
  <c r="EK103" i="2"/>
  <c r="EK69" i="2"/>
  <c r="EK47" i="2"/>
  <c r="EK54" i="2"/>
  <c r="EJ16" i="2"/>
  <c r="EH21" i="3"/>
  <c r="EH87" i="3"/>
  <c r="EK66" i="2"/>
  <c r="EJ45" i="2"/>
  <c r="EH38" i="3"/>
  <c r="EJ53" i="2"/>
  <c r="EH55" i="3"/>
  <c r="EJ88" i="2"/>
  <c r="EK31" i="2"/>
  <c r="EJ75" i="2"/>
  <c r="EJ70" i="2"/>
  <c r="EH39" i="3"/>
  <c r="EH13" i="3"/>
  <c r="EH50" i="3"/>
  <c r="EJ58" i="2"/>
  <c r="EH103" i="3"/>
  <c r="EH84" i="3"/>
  <c r="EH75" i="3"/>
  <c r="EH95" i="3"/>
  <c r="EK82" i="2"/>
  <c r="EH44" i="3"/>
  <c r="EK50" i="2"/>
  <c r="EJ31" i="2"/>
  <c r="EH90" i="3"/>
  <c r="EH78" i="3"/>
  <c r="EH62" i="3"/>
  <c r="EJ20" i="2"/>
  <c r="EJ44" i="2"/>
  <c r="EJ22" i="2"/>
  <c r="EH93" i="3"/>
  <c r="EH46" i="3"/>
  <c r="EK43" i="2"/>
  <c r="EK16" i="2"/>
  <c r="EK86" i="2"/>
  <c r="EJ54" i="2"/>
  <c r="EK80" i="2"/>
  <c r="EH72" i="3"/>
  <c r="EK78" i="2"/>
  <c r="EH40" i="3"/>
  <c r="EK55" i="2"/>
  <c r="EK53" i="2"/>
  <c r="EH56" i="3"/>
  <c r="EH89" i="3"/>
  <c r="EK92" i="2"/>
  <c r="EK45" i="2"/>
  <c r="EK77" i="2"/>
  <c r="EJ78" i="2"/>
  <c r="EH18" i="3"/>
  <c r="EH76" i="3"/>
  <c r="EK56" i="2"/>
  <c r="EH79" i="3"/>
  <c r="EJ33" i="2"/>
  <c r="EJ95" i="2"/>
  <c r="EJ100" i="2"/>
  <c r="EH45" i="3"/>
  <c r="EH20" i="3"/>
  <c r="EH92" i="3"/>
  <c r="EH81" i="3"/>
  <c r="EH32" i="3"/>
  <c r="EH86" i="3"/>
  <c r="EK70" i="2"/>
  <c r="EH58" i="3"/>
  <c r="EK72" i="2"/>
  <c r="EH68" i="3"/>
  <c r="EH96" i="3"/>
  <c r="EH99" i="3"/>
  <c r="EH82" i="3"/>
  <c r="EH104" i="3"/>
  <c r="EH23" i="3"/>
  <c r="EK75" i="2"/>
  <c r="EK95" i="2"/>
  <c r="EH77" i="3"/>
  <c r="EH12" i="3"/>
  <c r="EH34" i="3"/>
  <c r="EK84" i="2"/>
  <c r="EJ36" i="2"/>
  <c r="EH35" i="3"/>
  <c r="EH19" i="3"/>
  <c r="EJ61" i="2"/>
  <c r="EK67" i="2"/>
  <c r="EK33" i="2"/>
  <c r="EK29" i="2"/>
  <c r="EJ68" i="2"/>
  <c r="EH59" i="3"/>
  <c r="EH98" i="3"/>
  <c r="EH37" i="3"/>
  <c r="EH71" i="3"/>
  <c r="EK85" i="2"/>
  <c r="EH47" i="3"/>
  <c r="EH85" i="3"/>
  <c r="EH63" i="3"/>
  <c r="EH83" i="3"/>
  <c r="EK79" i="2"/>
  <c r="EH102" i="3"/>
  <c r="EH30" i="3"/>
  <c r="EK97" i="2"/>
  <c r="EH43" i="3"/>
  <c r="EK91" i="2"/>
  <c r="EH70" i="3"/>
  <c r="EK10" i="2"/>
  <c r="EH94" i="3"/>
  <c r="EH22" i="3"/>
  <c r="EK15" i="2"/>
  <c r="EH91" i="3"/>
  <c r="EK68" i="2"/>
  <c r="EH88" i="3"/>
  <c r="EH24" i="3"/>
  <c r="EK88" i="2"/>
  <c r="EH41" i="3"/>
  <c r="EK36" i="2"/>
  <c r="EK102" i="2"/>
  <c r="EH42" i="3"/>
  <c r="EH36" i="3"/>
  <c r="EH33" i="3"/>
  <c r="EK17" i="2"/>
  <c r="EH14" i="3"/>
  <c r="EH69" i="3"/>
  <c r="EH53" i="3"/>
  <c r="EH9" i="3"/>
  <c r="EH80" i="3"/>
  <c r="EK39" i="2"/>
  <c r="EK23" i="2"/>
  <c r="EK13" i="2"/>
  <c r="EK76" i="2"/>
  <c r="EH17" i="3"/>
  <c r="EH97" i="3"/>
  <c r="EH31" i="3"/>
  <c r="EH74" i="3"/>
  <c r="EH27" i="3"/>
  <c r="EK40" i="2"/>
  <c r="EH65" i="3"/>
  <c r="EK35" i="2"/>
  <c r="EK101" i="2"/>
  <c r="EJ94" i="2"/>
  <c r="EK98" i="2"/>
  <c r="EK81" i="2"/>
  <c r="EJ24" i="2"/>
  <c r="EH30" i="2"/>
  <c r="EH18" i="2"/>
  <c r="EH36" i="2"/>
  <c r="EH92" i="2"/>
  <c r="EJ97" i="2"/>
  <c r="EJ71" i="2"/>
  <c r="EH28" i="2"/>
  <c r="EH12" i="2"/>
  <c r="EH54" i="2"/>
  <c r="EH90" i="2"/>
  <c r="EJ29" i="2"/>
  <c r="EJ48" i="2"/>
  <c r="EH70" i="2"/>
  <c r="EH93" i="2"/>
  <c r="EJ41" i="2"/>
  <c r="EJ99" i="2"/>
  <c r="EJ13" i="2"/>
  <c r="EH25" i="2"/>
  <c r="EH37" i="2"/>
  <c r="EH102" i="2"/>
  <c r="EJ67" i="2"/>
  <c r="EH9" i="2"/>
  <c r="EK89" i="2"/>
  <c r="EH19" i="2"/>
  <c r="EH27" i="2"/>
  <c r="EK22" i="2"/>
  <c r="EH99" i="2"/>
  <c r="EH63" i="2"/>
  <c r="EH15" i="2"/>
  <c r="EJ10" i="2"/>
  <c r="EJ79" i="2"/>
  <c r="EH61" i="2"/>
  <c r="EJ83" i="2"/>
  <c r="EH58" i="2"/>
  <c r="EH45" i="2"/>
  <c r="EJ55" i="2"/>
  <c r="EJ57" i="2"/>
  <c r="EJ72" i="2"/>
  <c r="EK58" i="2"/>
  <c r="EH40" i="2"/>
  <c r="EH94" i="2"/>
  <c r="EK90" i="2"/>
  <c r="EH78" i="2"/>
  <c r="EH69" i="2"/>
  <c r="EJ65" i="2"/>
  <c r="EJ92" i="2"/>
  <c r="EK37" i="2"/>
  <c r="EK26" i="2"/>
  <c r="EH29" i="2"/>
  <c r="EJ77" i="2"/>
  <c r="EJ63" i="2"/>
  <c r="EH11" i="2"/>
  <c r="EH79" i="2"/>
  <c r="EJ89" i="2"/>
  <c r="EJ15" i="2"/>
  <c r="EJ30" i="2"/>
  <c r="EJ42" i="2"/>
  <c r="EJ32" i="2"/>
  <c r="EJ93" i="2"/>
  <c r="EH26" i="2"/>
  <c r="EH89" i="2"/>
  <c r="EJ85" i="2"/>
  <c r="EH59" i="2"/>
  <c r="EH75" i="2"/>
  <c r="EK96" i="2"/>
  <c r="EH10" i="2"/>
  <c r="EH13" i="2"/>
  <c r="EH51" i="2"/>
  <c r="EH53" i="2"/>
  <c r="EH49" i="2"/>
  <c r="EH67" i="2"/>
  <c r="EJ35" i="2"/>
  <c r="EJ98" i="2"/>
  <c r="EJ17" i="2"/>
  <c r="EJ102" i="2"/>
  <c r="EH87" i="2"/>
  <c r="EH33" i="2"/>
  <c r="EK51" i="2"/>
  <c r="EH23" i="2"/>
  <c r="EH66" i="2"/>
  <c r="EH57" i="2"/>
  <c r="EJ64" i="2"/>
  <c r="EJ19" i="2"/>
  <c r="EH82" i="2"/>
  <c r="EH80" i="2"/>
  <c r="EH47" i="2"/>
  <c r="EH35" i="2"/>
  <c r="EH55" i="2"/>
  <c r="EH77" i="2"/>
  <c r="EH101" i="2"/>
  <c r="EK41" i="2"/>
  <c r="EJ14" i="2"/>
  <c r="EJ52" i="2"/>
  <c r="EJ18" i="2"/>
  <c r="EJ34" i="2"/>
  <c r="EH84" i="2"/>
  <c r="EH97" i="2"/>
  <c r="EH56" i="2"/>
  <c r="EK12" i="2"/>
  <c r="EH73" i="2"/>
  <c r="EJ81" i="2"/>
  <c r="EH71" i="2"/>
  <c r="EK87" i="2"/>
  <c r="EJ38" i="2"/>
  <c r="EJ39" i="2"/>
  <c r="EH103" i="2"/>
  <c r="EJ50" i="2"/>
  <c r="EJ25" i="2"/>
  <c r="EJ43" i="2"/>
  <c r="EK42" i="2"/>
  <c r="EH48" i="2"/>
  <c r="EH38" i="2"/>
  <c r="EK24" i="2"/>
  <c r="EK61" i="2"/>
  <c r="EK99" i="2"/>
  <c r="EH95" i="2"/>
  <c r="EJ62" i="2"/>
  <c r="EJ56" i="2"/>
  <c r="EJ73" i="2"/>
  <c r="EJ91" i="2"/>
  <c r="EJ11" i="2"/>
  <c r="EJ66" i="2"/>
  <c r="EJ28" i="2"/>
  <c r="EJ23" i="2"/>
  <c r="EH50" i="2"/>
  <c r="EJ51" i="2"/>
  <c r="EH24" i="2"/>
  <c r="EH17" i="2"/>
  <c r="EH14" i="2"/>
  <c r="EH52" i="2"/>
  <c r="EH91" i="2"/>
  <c r="EH60" i="2"/>
  <c r="EJ101" i="2"/>
  <c r="EH83" i="2"/>
  <c r="EJ87" i="2"/>
  <c r="EH39" i="2"/>
  <c r="EH76" i="2"/>
  <c r="EJ74" i="2"/>
  <c r="EJ37" i="2"/>
  <c r="EJ12" i="2"/>
  <c r="EJ76" i="2"/>
  <c r="EJ47" i="2"/>
  <c r="EJ96" i="2"/>
  <c r="EJ40" i="2"/>
  <c r="EH44" i="2"/>
  <c r="EJ26" i="2"/>
  <c r="EJ27" i="2"/>
  <c r="EH96" i="2"/>
  <c r="EH104" i="2"/>
  <c r="EJ86" i="2"/>
  <c r="EJ80" i="2"/>
  <c r="EJ49" i="2"/>
  <c r="EJ103" i="2"/>
  <c r="EJ90" i="2"/>
  <c r="EJ59" i="2"/>
  <c r="EJ82" i="2"/>
  <c r="EH16" i="5"/>
  <c r="EH82" i="4"/>
  <c r="EK21" i="2"/>
  <c r="EK93" i="2"/>
  <c r="EH85" i="2"/>
  <c r="EH103" i="4"/>
  <c r="EH31" i="4"/>
  <c r="EH15" i="3"/>
  <c r="EH81" i="2"/>
  <c r="EH76" i="5"/>
  <c r="EH52" i="3"/>
  <c r="EH96" i="4"/>
  <c r="EH40" i="4"/>
  <c r="EH54" i="3"/>
  <c r="EK94" i="2"/>
  <c r="EK38" i="2"/>
  <c r="EH64" i="2"/>
  <c r="EH57" i="4"/>
  <c r="EK27" i="2"/>
  <c r="EK28" i="2"/>
  <c r="EK100" i="2"/>
  <c r="EH58" i="4"/>
  <c r="EH28" i="3"/>
  <c r="EH28" i="4"/>
  <c r="EH100" i="3"/>
  <c r="EH16" i="3"/>
  <c r="EH89" i="5"/>
  <c r="EK20" i="2"/>
  <c r="EH48" i="3"/>
  <c r="EK9" i="2"/>
  <c r="EH41" i="2"/>
  <c r="EH27" i="5"/>
  <c r="EH28" i="5"/>
  <c r="EK57" i="2"/>
  <c r="EK59" i="2"/>
  <c r="EK73" i="2"/>
  <c r="EH21" i="5"/>
  <c r="EH39" i="4"/>
  <c r="EH42" i="2"/>
  <c r="EH20" i="2"/>
  <c r="EH43" i="2"/>
  <c r="EH32" i="2"/>
  <c r="EH22" i="4"/>
  <c r="EH95" i="4"/>
  <c r="EH100" i="4"/>
  <c r="EH41" i="4"/>
  <c r="EH22" i="2"/>
  <c r="EH26" i="3"/>
  <c r="EH102" i="4"/>
  <c r="EH71" i="5"/>
  <c r="EH74" i="2"/>
  <c r="EH86" i="2"/>
  <c r="EK62" i="2"/>
  <c r="EK46" i="2"/>
  <c r="EH73" i="3"/>
  <c r="EH98" i="2"/>
  <c r="EH98" i="5"/>
  <c r="EH16" i="2"/>
  <c r="EH88" i="2"/>
  <c r="EH87" i="5"/>
  <c r="EH21" i="2"/>
  <c r="EK52" i="2"/>
  <c r="EK30" i="2"/>
  <c r="EH59" i="4"/>
  <c r="EH23" i="4"/>
  <c r="EH62" i="2"/>
  <c r="EH42" i="4"/>
  <c r="EH65" i="5"/>
  <c r="EH101" i="3"/>
  <c r="EK83" i="2"/>
  <c r="EH72" i="2"/>
  <c r="EK14" i="2"/>
  <c r="EH90" i="5"/>
  <c r="EH83" i="5"/>
  <c r="EH35" i="5"/>
  <c r="EH46" i="2"/>
  <c r="EH65" i="2"/>
  <c r="EK44" i="2"/>
  <c r="EK74" i="2"/>
  <c r="EH9" i="5"/>
  <c r="EH67" i="3"/>
  <c r="EH61" i="3"/>
  <c r="EH81" i="5"/>
  <c r="EH86" i="5"/>
  <c r="EH94" i="4"/>
  <c r="EH68" i="5"/>
  <c r="EH78" i="5"/>
  <c r="EH31" i="2"/>
  <c r="EK104" i="2"/>
  <c r="EH77" i="5"/>
  <c r="EH84" i="4"/>
  <c r="EH60" i="3"/>
  <c r="EH17" i="4"/>
  <c r="EH34" i="2"/>
  <c r="EK32" i="2"/>
  <c r="EK71" i="2"/>
  <c r="EH10" i="3"/>
  <c r="EH47" i="4"/>
  <c r="EH30" i="4"/>
  <c r="EH29" i="5"/>
  <c r="EH12" i="5"/>
  <c r="EH11" i="3"/>
  <c r="EK65" i="2"/>
  <c r="EH18" i="5"/>
  <c r="EH49" i="4"/>
  <c r="EH49" i="3"/>
  <c r="EH100" i="2"/>
  <c r="EH21" i="4"/>
  <c r="EK63" i="2"/>
  <c r="EK64" i="2"/>
  <c r="EH100" i="5"/>
  <c r="EH70" i="5"/>
  <c r="EH29" i="3"/>
  <c r="EK34" i="2"/>
  <c r="EH12" i="4"/>
  <c r="EH11" i="4"/>
  <c r="EH66" i="3"/>
  <c r="EH17" i="5"/>
  <c r="EH68" i="2"/>
  <c r="BA4" i="7"/>
  <c r="O87" i="7" a="1"/>
  <c r="W85" i="7" a="1"/>
  <c r="AE83" i="7" a="1"/>
  <c r="AM81" i="7" a="1"/>
  <c r="G80" i="7" a="1"/>
  <c r="O78" i="7" a="1"/>
  <c r="W76" i="7" a="1"/>
  <c r="AA86" i="7" a="1"/>
  <c r="AI84" i="7" a="1"/>
  <c r="AQ82" i="7" a="1"/>
  <c r="K81" i="7" a="1"/>
  <c r="S79" i="7" a="1"/>
  <c r="AA77" i="7" a="1"/>
  <c r="AJ87" i="7" a="1"/>
  <c r="H85" i="7" a="1"/>
  <c r="T82" i="7" a="1"/>
  <c r="AF79" i="7" a="1"/>
  <c r="AR76" i="7" a="1"/>
  <c r="AK84" i="7" a="1"/>
  <c r="U79" i="7" a="1"/>
  <c r="AP85" i="7" a="1"/>
  <c r="Z80" i="7" a="1"/>
  <c r="M87" i="7" a="1"/>
  <c r="AK81" i="7" a="1"/>
  <c r="AR82" i="7" a="1"/>
  <c r="T79" i="7" a="1"/>
  <c r="T83" i="7" a="1"/>
  <c r="L76" i="7" a="1"/>
  <c r="AF84" i="7" a="1"/>
  <c r="J78" i="7" a="1"/>
  <c r="AF87" i="7" a="1"/>
  <c r="T81" i="7" a="1"/>
  <c r="AA85" i="7" a="1"/>
  <c r="J79" i="7" a="1"/>
  <c r="J77" i="7" a="1"/>
  <c r="AF80" i="7" a="1"/>
  <c r="N80" i="7" a="1"/>
  <c r="AJ76" i="7" a="1"/>
  <c r="N86" i="7" a="1"/>
  <c r="W80" i="7" a="1"/>
  <c r="I87" i="7" a="1"/>
  <c r="Q85" i="7" a="1"/>
  <c r="Y83" i="7" a="1"/>
  <c r="AG81" i="7" a="1"/>
  <c r="AO79" i="7" a="1"/>
  <c r="I78" i="7" a="1"/>
  <c r="Q76" i="7" a="1"/>
  <c r="U86" i="7" a="1"/>
  <c r="AC84" i="7" a="1"/>
  <c r="AK82" i="7" a="1"/>
  <c r="AS80" i="7" a="1"/>
  <c r="M79" i="7" a="1"/>
  <c r="U77" i="7" a="1"/>
  <c r="Z87" i="7" a="1"/>
  <c r="AL84" i="7" a="1"/>
  <c r="J82" i="7" a="1"/>
  <c r="V79" i="7" a="1"/>
  <c r="AH76" i="7" a="1"/>
  <c r="S84" i="7" a="1"/>
  <c r="AQ78" i="7" a="1"/>
  <c r="X85" i="7" a="1"/>
  <c r="H80" i="7" a="1"/>
  <c r="AI86" i="7" a="1"/>
  <c r="AP87" i="7" a="1"/>
  <c r="Z82" i="7" a="1"/>
  <c r="H77" i="7" a="1"/>
  <c r="AP82" i="7" a="1"/>
  <c r="R81" i="7" a="1"/>
  <c r="N84" i="7" a="1"/>
  <c r="AN76" i="7" a="1"/>
  <c r="R86" i="7" a="1"/>
  <c r="AP79" i="7" a="1"/>
  <c r="I85" i="7" a="1"/>
  <c r="AK78" i="7" a="1"/>
  <c r="T76" i="7" a="1"/>
  <c r="P80" i="7" a="1"/>
  <c r="H79" i="7" a="1"/>
  <c r="X80" i="7" a="1"/>
  <c r="AJ85" i="7" a="1"/>
  <c r="R79" i="7" a="1"/>
  <c r="AQ86" i="7" a="1"/>
  <c r="K85" i="7" a="1"/>
  <c r="S83" i="7" a="1"/>
  <c r="AA81" i="7" a="1"/>
  <c r="AI79" i="7" a="1"/>
  <c r="AQ77" i="7" a="1"/>
  <c r="K76" i="7" a="1"/>
  <c r="O86" i="7" a="1"/>
  <c r="W84" i="7" a="1"/>
  <c r="AE82" i="7" a="1"/>
  <c r="AM80" i="7" a="1"/>
  <c r="G79" i="7" a="1"/>
  <c r="O77" i="7" a="1"/>
  <c r="R87" i="7" a="1"/>
  <c r="AD84" i="7" a="1"/>
  <c r="AP81" i="7" a="1"/>
  <c r="N79" i="7" a="1"/>
  <c r="Z76" i="7" a="1"/>
  <c r="AO83" i="7" a="1"/>
  <c r="Y78" i="7" a="1"/>
  <c r="F85" i="7" a="1"/>
  <c r="AD79" i="7" a="1"/>
  <c r="Q86" i="7" a="1"/>
  <c r="X87" i="7" a="1"/>
  <c r="H82" i="7" a="1"/>
  <c r="AN87" i="7" a="1"/>
  <c r="X82" i="7" a="1"/>
  <c r="AJ79" i="7" a="1"/>
  <c r="AJ83" i="7" a="1"/>
  <c r="AA76" i="7" a="1"/>
  <c r="AN85" i="7" a="1"/>
  <c r="AP77" i="7" a="1"/>
  <c r="AE84" i="7" a="1"/>
  <c r="T78" i="7" a="1"/>
  <c r="L87" i="7" a="1"/>
  <c r="Z79" i="7" a="1"/>
  <c r="Z77" i="7" a="1"/>
  <c r="K80" i="7" a="1"/>
  <c r="R85" i="7" a="1"/>
  <c r="AP78" i="7" a="1"/>
  <c r="AK86" i="7" a="1"/>
  <c r="AS84" i="7" a="1"/>
  <c r="M83" i="7" a="1"/>
  <c r="U81" i="7" a="1"/>
  <c r="AC79" i="7" a="1"/>
  <c r="AK77" i="7" a="1"/>
  <c r="AO87" i="7" a="1"/>
  <c r="I86" i="7" a="1"/>
  <c r="Q84" i="7" a="1"/>
  <c r="Y82" i="7" a="1"/>
  <c r="AG80" i="7" a="1"/>
  <c r="AO78" i="7" a="1"/>
  <c r="I77" i="7" a="1"/>
  <c r="H87" i="7" a="1"/>
  <c r="T84" i="7" a="1"/>
  <c r="AF81" i="7" a="1"/>
  <c r="AR78" i="7" a="1"/>
  <c r="P76" i="7" a="1"/>
  <c r="W83" i="7" a="1"/>
  <c r="G78" i="7" a="1"/>
  <c r="AB84" i="7" a="1"/>
  <c r="L79" i="7" a="1"/>
  <c r="AM85" i="7" a="1"/>
  <c r="F87" i="7" a="1"/>
  <c r="AD81" i="7" a="1"/>
  <c r="V87" i="7" a="1"/>
  <c r="F82" i="7" a="1"/>
  <c r="AD78" i="7" a="1"/>
  <c r="R83" i="7" a="1"/>
  <c r="J76" i="7" a="1"/>
  <c r="V85" i="7" a="1"/>
  <c r="AH86" i="7" a="1"/>
  <c r="M84" i="7" a="1"/>
  <c r="AF77" i="7" a="1"/>
  <c r="AL85" i="7" a="1"/>
  <c r="I79" i="7" a="1"/>
  <c r="AD87" i="7" a="1"/>
  <c r="AH79" i="7" a="1"/>
  <c r="AN84" i="7" a="1"/>
  <c r="L78" i="7" a="1"/>
  <c r="AE86" i="7" a="1"/>
  <c r="AM84" i="7" a="1"/>
  <c r="G83" i="7" a="1"/>
  <c r="O81" i="7" a="1"/>
  <c r="W79" i="7" a="1"/>
  <c r="AE77" i="7" a="1"/>
  <c r="AI87" i="7" a="1"/>
  <c r="AQ85" i="7" a="1"/>
  <c r="K84" i="7" a="1"/>
  <c r="S82" i="7" a="1"/>
  <c r="AA80" i="7" a="1"/>
  <c r="AI78" i="7" a="1"/>
  <c r="AQ76" i="7" a="1"/>
  <c r="AN86" i="7" a="1"/>
  <c r="L84" i="7" a="1"/>
  <c r="X81" i="7" a="1"/>
  <c r="AJ78" i="7" a="1"/>
  <c r="H76" i="7" a="1"/>
  <c r="AS82" i="7" a="1"/>
  <c r="AC77" i="7" a="1"/>
  <c r="J84" i="7" a="1"/>
  <c r="AH78" i="7" a="1"/>
  <c r="U85" i="7" a="1"/>
  <c r="AB86" i="7" a="1"/>
  <c r="P81" i="7" a="1"/>
  <c r="AR86" i="7" a="1"/>
  <c r="AB81" i="7" a="1"/>
  <c r="AF76" i="7" a="1"/>
  <c r="AN82" i="7" a="1"/>
  <c r="J81" i="7" a="1"/>
  <c r="AR84" i="7" a="1"/>
  <c r="AJ81" i="7" a="1"/>
  <c r="AI83" i="7" a="1"/>
  <c r="V76" i="7" a="1"/>
  <c r="AP84" i="7" a="1"/>
  <c r="AR77" i="7" a="1"/>
  <c r="P86" i="7" a="1"/>
  <c r="F79" i="7" a="1"/>
  <c r="V84" i="7" a="1"/>
  <c r="AI77" i="7" a="1"/>
  <c r="S86" i="7" a="1"/>
  <c r="AA84" i="7" a="1"/>
  <c r="AI82" i="7" a="1"/>
  <c r="AQ80" i="7" a="1"/>
  <c r="K79" i="7" a="1"/>
  <c r="S77" i="7" a="1"/>
  <c r="W87" i="7" a="1"/>
  <c r="AE85" i="7" a="1"/>
  <c r="AM83" i="7" a="1"/>
  <c r="G82" i="7" a="1"/>
  <c r="O80" i="7" a="1"/>
  <c r="W78" i="7" a="1"/>
  <c r="AE76" i="7" a="1"/>
  <c r="V86" i="7" a="1"/>
  <c r="AH83" i="7" a="1"/>
  <c r="F81" i="7" a="1"/>
  <c r="R78" i="7" a="1"/>
  <c r="Y87" i="7" a="1"/>
  <c r="I82" i="7" a="1"/>
  <c r="AG76" i="7" a="1"/>
  <c r="N83" i="7" a="1"/>
  <c r="AL77" i="7" a="1"/>
  <c r="Y84" i="7" a="1"/>
  <c r="AF85" i="7" a="1"/>
  <c r="AG79" i="7" a="1"/>
  <c r="H86" i="7" a="1"/>
  <c r="V80" i="7" a="1"/>
  <c r="T87" i="7" a="1"/>
  <c r="AR81" i="7" a="1"/>
  <c r="AR79" i="7" a="1"/>
  <c r="H84" i="7" a="1"/>
  <c r="X77" i="7" a="1"/>
  <c r="AM82" i="7" a="1"/>
  <c r="AJ86" i="7" a="1"/>
  <c r="J83" i="7" a="1"/>
  <c r="AL76" i="7" a="1"/>
  <c r="X84" i="7" a="1"/>
  <c r="W77" i="7" a="1"/>
  <c r="Z83" i="7" a="1"/>
  <c r="N76" i="7" a="1"/>
  <c r="AM87" i="7" a="1"/>
  <c r="G86" i="7" a="1"/>
  <c r="O84" i="7" a="1"/>
  <c r="W82" i="7" a="1"/>
  <c r="AE80" i="7" a="1"/>
  <c r="AM78" i="7" a="1"/>
  <c r="G77" i="7" a="1"/>
  <c r="K87" i="7" a="1"/>
  <c r="S85" i="7" a="1"/>
  <c r="AA83" i="7" a="1"/>
  <c r="AI81" i="7" a="1"/>
  <c r="AQ79" i="7" a="1"/>
  <c r="K78" i="7" a="1"/>
  <c r="S76" i="7" a="1"/>
  <c r="AR85" i="7" a="1"/>
  <c r="P83" i="7" a="1"/>
  <c r="AB80" i="7" a="1"/>
  <c r="AN77" i="7" a="1"/>
  <c r="AC86" i="7" a="1"/>
  <c r="M81" i="7" a="1"/>
  <c r="AH87" i="7" a="1"/>
  <c r="R82" i="7" a="1"/>
  <c r="AP76" i="7" a="1"/>
  <c r="AC83" i="7" a="1"/>
  <c r="AJ84" i="7" a="1"/>
  <c r="AB78" i="7" a="1"/>
  <c r="L85" i="7" a="1"/>
  <c r="AN78" i="7" a="1"/>
  <c r="X86" i="7" a="1"/>
  <c r="AL80" i="7" a="1"/>
  <c r="V78" i="7" a="1"/>
  <c r="L83" i="7" a="1"/>
  <c r="S87" i="7" a="1"/>
  <c r="AQ81" i="7" a="1"/>
  <c r="S78" i="7" a="1"/>
  <c r="AC80" i="7" a="1"/>
  <c r="N87" i="7" a="1"/>
  <c r="AF82" i="7" a="1"/>
  <c r="R76" i="7" a="1"/>
  <c r="AD82" i="7" a="1"/>
  <c r="AG87" i="7" a="1"/>
  <c r="AO85" i="7" a="1"/>
  <c r="I84" i="7" a="1"/>
  <c r="Q82" i="7" a="1"/>
  <c r="Y80" i="7" a="1"/>
  <c r="AG78" i="7" a="1"/>
  <c r="AO76" i="7" a="1"/>
  <c r="AS86" i="7" a="1"/>
  <c r="M85" i="7" a="1"/>
  <c r="U83" i="7" a="1"/>
  <c r="AC81" i="7" a="1"/>
  <c r="AK79" i="7" a="1"/>
  <c r="AS77" i="7" a="1"/>
  <c r="M76" i="7" a="1"/>
  <c r="AH85" i="7" a="1"/>
  <c r="F83" i="7" a="1"/>
  <c r="R80" i="7" a="1"/>
  <c r="AD77" i="7" a="1"/>
  <c r="K86" i="7" a="1"/>
  <c r="AI80" i="7" a="1"/>
  <c r="P87" i="7" a="1"/>
  <c r="AN81" i="7" a="1"/>
  <c r="X76" i="7" a="1"/>
  <c r="K83" i="7" a="1"/>
  <c r="R84" i="7" a="1"/>
  <c r="R77" i="7" a="1"/>
  <c r="AH84" i="7" a="1"/>
  <c r="X78" i="7" a="1"/>
  <c r="F86" i="7" a="1"/>
  <c r="AB79" i="7" a="1"/>
  <c r="F78" i="7" a="1"/>
  <c r="AH82" i="7" a="1"/>
  <c r="AO86" i="7" a="1"/>
  <c r="Y81" i="7" a="1"/>
  <c r="S81" i="7" a="1"/>
  <c r="N78" i="7" a="1"/>
  <c r="G81" i="7" a="1"/>
  <c r="AP80" i="7" a="1"/>
  <c r="AB87" i="7" a="1"/>
  <c r="L82" i="7" a="1"/>
  <c r="U87" i="7" a="1"/>
  <c r="AC85" i="7" a="1"/>
  <c r="AK83" i="7" a="1"/>
  <c r="AS81" i="7" a="1"/>
  <c r="M80" i="7" a="1"/>
  <c r="U78" i="7" a="1"/>
  <c r="AC76" i="7" a="1"/>
  <c r="AG86" i="7" a="1"/>
  <c r="AO84" i="7" a="1"/>
  <c r="I83" i="7" a="1"/>
  <c r="Q81" i="7" a="1"/>
  <c r="Y79" i="7" a="1"/>
  <c r="AG77" i="7" a="1"/>
  <c r="AR87" i="7" a="1"/>
  <c r="P85" i="7" a="1"/>
  <c r="AB82" i="7" a="1"/>
  <c r="AN79" i="7" a="1"/>
  <c r="L77" i="7" a="1"/>
  <c r="O85" i="7" a="1"/>
  <c r="AM79" i="7" a="1"/>
  <c r="T86" i="7" a="1"/>
  <c r="AR80" i="7" a="1"/>
  <c r="AE87" i="7" a="1"/>
  <c r="O82" i="7" a="1"/>
  <c r="V83" i="7" a="1"/>
  <c r="AB76" i="7" a="1"/>
  <c r="AL83" i="7" a="1"/>
  <c r="Q77" i="7" a="1"/>
  <c r="J85" i="7" a="1"/>
  <c r="AL78" i="7" a="1"/>
  <c r="AM76" i="7" a="1"/>
  <c r="AL81" i="7" a="1"/>
  <c r="AS85" i="7" a="1"/>
  <c r="T80" i="7" a="1"/>
  <c r="AE78" i="7" a="1"/>
  <c r="M78" i="7" a="1"/>
  <c r="N77" i="7" a="1"/>
  <c r="AO77" i="7" a="1"/>
  <c r="AF86" i="7" a="1"/>
  <c r="AN80" i="7" a="1"/>
  <c r="AS87" i="7" a="1"/>
  <c r="AK80" i="7" a="1"/>
  <c r="Y85" i="7" a="1"/>
  <c r="Q78" i="7" a="1"/>
  <c r="AJ80" i="7" a="1"/>
  <c r="O76" i="7" a="1"/>
  <c r="N85" i="7" a="1"/>
  <c r="AP86" i="7" a="1"/>
  <c r="AK87" i="7" a="1"/>
  <c r="U76" i="7" a="1"/>
  <c r="Q87" i="7" a="1"/>
  <c r="H83" i="7" a="1"/>
  <c r="AA87" i="7" a="1"/>
  <c r="S80" i="7" a="1"/>
  <c r="G85" i="7" a="1"/>
  <c r="AM77" i="7" a="1"/>
  <c r="J80" i="7" a="1"/>
  <c r="AL86" i="7" a="1"/>
  <c r="AN83" i="7" a="1"/>
  <c r="AB85" i="7" a="1"/>
  <c r="W86" i="7" a="1"/>
  <c r="AF78" i="7" a="1"/>
  <c r="X83" i="7" a="1"/>
  <c r="I81" i="7" a="1"/>
  <c r="Y86" i="7" a="1"/>
  <c r="Q79" i="7" a="1"/>
  <c r="AS83" i="7" a="1"/>
  <c r="AK76" i="7" a="1"/>
  <c r="Z78" i="7" a="1"/>
  <c r="AF83" i="7" a="1"/>
  <c r="F80" i="7" a="1"/>
  <c r="V82" i="7" a="1"/>
  <c r="Q83" i="7" a="1"/>
  <c r="T85" i="7" a="1"/>
  <c r="G84" i="7" a="1"/>
  <c r="AB77" i="7" a="1"/>
  <c r="M86" i="7" a="1"/>
  <c r="AS78" i="7" a="1"/>
  <c r="AG83" i="7" a="1"/>
  <c r="Y76" i="7" a="1"/>
  <c r="H78" i="7" a="1"/>
  <c r="AJ82" i="7" a="1"/>
  <c r="P79" i="7" a="1"/>
  <c r="Z81" i="7" a="1"/>
  <c r="U82" i="7" a="1"/>
  <c r="AB83" i="7" a="1"/>
  <c r="AC82" i="7" a="1"/>
  <c r="AE81" i="7" a="1"/>
  <c r="AD83" i="7" a="1"/>
  <c r="N81" i="7" a="1"/>
  <c r="AI85" i="7" a="1"/>
  <c r="AA78" i="7" a="1"/>
  <c r="O83" i="7" a="1"/>
  <c r="G76" i="7" a="1"/>
  <c r="V77" i="7" a="1"/>
  <c r="V81" i="7" a="1"/>
  <c r="AS76" i="7" a="1"/>
  <c r="O79" i="7" a="1"/>
  <c r="H81" i="7" a="1"/>
  <c r="L80" i="7" a="1"/>
  <c r="AS79" i="7" a="1"/>
  <c r="X79" i="7" a="1"/>
  <c r="AG84" i="7" a="1"/>
  <c r="Y77" i="7" a="1"/>
  <c r="M82" i="7" a="1"/>
  <c r="AD86" i="7" a="1"/>
  <c r="AQ87" i="7" a="1"/>
  <c r="P78" i="7" a="1"/>
  <c r="Z86" i="7" a="1"/>
  <c r="AH80" i="7" a="1"/>
  <c r="I76" i="7" a="1"/>
  <c r="AJ77" i="7" a="1"/>
  <c r="N82" i="7" a="1"/>
  <c r="U84" i="7" a="1"/>
  <c r="M77" i="7" a="1"/>
  <c r="AO81" i="7" a="1"/>
  <c r="L86" i="7" a="1"/>
  <c r="G87" i="7" a="1"/>
  <c r="T77" i="7" a="1"/>
  <c r="AD85" i="7" a="1"/>
  <c r="AA79" i="7" a="1"/>
  <c r="AD80" i="7" a="1"/>
  <c r="F77" i="7" a="1"/>
  <c r="I80" i="7" a="1"/>
  <c r="K77" i="7" a="1"/>
  <c r="AQ83" i="7" a="1"/>
  <c r="AI76" i="7" a="1"/>
  <c r="W81" i="7" a="1"/>
  <c r="Z85" i="7" a="1"/>
  <c r="AG85" i="7" a="1"/>
  <c r="F76" i="7" a="1"/>
  <c r="P84" i="7" a="1"/>
  <c r="P77" i="7" a="1"/>
  <c r="AL79" i="7" a="1"/>
  <c r="J87" i="7" a="1"/>
  <c r="AO82" i="7" a="1"/>
  <c r="AC87" i="7" a="1"/>
  <c r="U80" i="7" a="1"/>
  <c r="AP83" i="7" a="1"/>
  <c r="AA82" i="7" a="1"/>
  <c r="AQ84" i="7" a="1"/>
  <c r="L81" i="7" a="1"/>
  <c r="Z84" i="7" a="1"/>
  <c r="F84" i="7" a="1"/>
  <c r="AR83" i="7" a="1"/>
  <c r="AK85" i="7" a="1"/>
  <c r="K82" i="7" a="1"/>
  <c r="AM86" i="7" a="1"/>
  <c r="AE79" i="7" a="1"/>
  <c r="AL82" i="7" a="1"/>
  <c r="Q80" i="7" a="1"/>
  <c r="AG82" i="7" a="1"/>
  <c r="AH77" i="7" a="1"/>
  <c r="P82" i="7" a="1"/>
  <c r="AO80" i="7" a="1"/>
  <c r="AH81" i="7" a="1"/>
  <c r="AD76" i="7" a="1"/>
  <c r="AL87" i="7" a="1"/>
  <c r="J86" i="7" a="1"/>
  <c r="AC78" i="7" a="1"/>
  <c r="AU85" i="6" l="1"/>
  <c r="AU83" i="6"/>
  <c r="AU79" i="6"/>
  <c r="AU82" i="6"/>
  <c r="AU84" i="6"/>
  <c r="AC78" i="7"/>
  <c r="J86" i="7"/>
  <c r="AL87" i="7"/>
  <c r="AD76" i="7"/>
  <c r="AH81" i="7"/>
  <c r="AO80" i="7"/>
  <c r="P82" i="7"/>
  <c r="AH77" i="7"/>
  <c r="AG82" i="7"/>
  <c r="Q80" i="7"/>
  <c r="AL82" i="7"/>
  <c r="AE79" i="7"/>
  <c r="AM86" i="7"/>
  <c r="K82" i="7"/>
  <c r="AK85" i="7"/>
  <c r="AR83" i="7"/>
  <c r="F84" i="7"/>
  <c r="Z84" i="7"/>
  <c r="L81" i="7"/>
  <c r="AQ84" i="7"/>
  <c r="AA82" i="7"/>
  <c r="AP83" i="7"/>
  <c r="U80" i="7"/>
  <c r="AC87" i="7"/>
  <c r="AO82" i="7"/>
  <c r="J87" i="7"/>
  <c r="AL79" i="7"/>
  <c r="P77" i="7"/>
  <c r="P84" i="7"/>
  <c r="F76" i="7"/>
  <c r="AG85" i="7"/>
  <c r="Z85" i="7"/>
  <c r="W81" i="7"/>
  <c r="AI76" i="7"/>
  <c r="AQ83" i="7"/>
  <c r="K77" i="7"/>
  <c r="I80" i="7"/>
  <c r="F77" i="7"/>
  <c r="AD80" i="7"/>
  <c r="AA79" i="7"/>
  <c r="AD85" i="7"/>
  <c r="T77" i="7"/>
  <c r="G87" i="7"/>
  <c r="L86" i="7"/>
  <c r="AO81" i="7"/>
  <c r="M77" i="7"/>
  <c r="U84" i="7"/>
  <c r="N82" i="7"/>
  <c r="AJ77" i="7"/>
  <c r="I76" i="7"/>
  <c r="AH80" i="7"/>
  <c r="Z86" i="7"/>
  <c r="P78" i="7"/>
  <c r="AQ87" i="7"/>
  <c r="AD86" i="7"/>
  <c r="M82" i="7"/>
  <c r="Y77" i="7"/>
  <c r="AG84" i="7"/>
  <c r="X79" i="7"/>
  <c r="AS79" i="7"/>
  <c r="L80" i="7"/>
  <c r="H81" i="7"/>
  <c r="O79" i="7"/>
  <c r="AS76" i="7"/>
  <c r="V81" i="7"/>
  <c r="V77" i="7"/>
  <c r="G76" i="7"/>
  <c r="O83" i="7"/>
  <c r="AA78" i="7"/>
  <c r="AI85" i="7"/>
  <c r="N81" i="7"/>
  <c r="AD83" i="7"/>
  <c r="AE81" i="7"/>
  <c r="AC82" i="7"/>
  <c r="AB83" i="7"/>
  <c r="U82" i="7"/>
  <c r="Z81" i="7"/>
  <c r="P79" i="7"/>
  <c r="AJ82" i="7"/>
  <c r="H78" i="7"/>
  <c r="Y76" i="7"/>
  <c r="AG83" i="7"/>
  <c r="AS78" i="7"/>
  <c r="M86" i="7"/>
  <c r="AB77" i="7"/>
  <c r="G84" i="7"/>
  <c r="T85" i="7"/>
  <c r="Q83" i="7"/>
  <c r="V82" i="7"/>
  <c r="F80" i="7"/>
  <c r="AF83" i="7"/>
  <c r="Z78" i="7"/>
  <c r="AK76" i="7"/>
  <c r="AS83" i="7"/>
  <c r="Q79" i="7"/>
  <c r="Y86" i="7"/>
  <c r="I81" i="7"/>
  <c r="X83" i="7"/>
  <c r="AF78" i="7"/>
  <c r="W86" i="7"/>
  <c r="AB85" i="7"/>
  <c r="AN83" i="7"/>
  <c r="AL86" i="7"/>
  <c r="J80" i="7"/>
  <c r="AM77" i="7"/>
  <c r="G85" i="7"/>
  <c r="S80" i="7"/>
  <c r="AA87" i="7"/>
  <c r="H83" i="7"/>
  <c r="Q87" i="7"/>
  <c r="U76" i="7"/>
  <c r="AK87" i="7"/>
  <c r="AP86" i="7"/>
  <c r="N85" i="7"/>
  <c r="O76" i="7"/>
  <c r="AJ80" i="7"/>
  <c r="Q78" i="7"/>
  <c r="Y85" i="7"/>
  <c r="AK80" i="7"/>
  <c r="AS87" i="7"/>
  <c r="AN80" i="7"/>
  <c r="AF86" i="7"/>
  <c r="AO77" i="7"/>
  <c r="N77" i="7"/>
  <c r="M78" i="7"/>
  <c r="AE78" i="7"/>
  <c r="T80" i="7"/>
  <c r="AS85" i="7"/>
  <c r="AL81" i="7"/>
  <c r="AM76" i="7"/>
  <c r="AL78" i="7"/>
  <c r="J85" i="7"/>
  <c r="Q77" i="7"/>
  <c r="AL83" i="7"/>
  <c r="AB76" i="7"/>
  <c r="V83" i="7"/>
  <c r="O82" i="7"/>
  <c r="AE87" i="7"/>
  <c r="AR80" i="7"/>
  <c r="T86" i="7"/>
  <c r="AM79" i="7"/>
  <c r="O85" i="7"/>
  <c r="L77" i="7"/>
  <c r="AN79" i="7"/>
  <c r="AB82" i="7"/>
  <c r="P85" i="7"/>
  <c r="AR87" i="7"/>
  <c r="AG77" i="7"/>
  <c r="Y79" i="7"/>
  <c r="Q81" i="7"/>
  <c r="I83" i="7"/>
  <c r="AO84" i="7"/>
  <c r="AG86" i="7"/>
  <c r="AC76" i="7"/>
  <c r="U78" i="7"/>
  <c r="M80" i="7"/>
  <c r="AS81" i="7"/>
  <c r="AK83" i="7"/>
  <c r="AC85" i="7"/>
  <c r="U87" i="7"/>
  <c r="L82" i="7"/>
  <c r="AB87" i="7"/>
  <c r="AP80" i="7"/>
  <c r="G81" i="7"/>
  <c r="N78" i="7"/>
  <c r="S81" i="7"/>
  <c r="Y81" i="7"/>
  <c r="AO86" i="7"/>
  <c r="AH82" i="7"/>
  <c r="F78" i="7"/>
  <c r="AB79" i="7"/>
  <c r="F86" i="7"/>
  <c r="X78" i="7"/>
  <c r="AH84" i="7"/>
  <c r="R77" i="7"/>
  <c r="R84" i="7"/>
  <c r="K83" i="7"/>
  <c r="X76" i="7"/>
  <c r="AN81" i="7"/>
  <c r="P87" i="7"/>
  <c r="AI80" i="7"/>
  <c r="K86" i="7"/>
  <c r="AD77" i="7"/>
  <c r="R80" i="7"/>
  <c r="F83" i="7"/>
  <c r="AH85" i="7"/>
  <c r="M76" i="7"/>
  <c r="AS77" i="7"/>
  <c r="AK79" i="7"/>
  <c r="AC81" i="7"/>
  <c r="U83" i="7"/>
  <c r="M85" i="7"/>
  <c r="AS86" i="7"/>
  <c r="AO76" i="7"/>
  <c r="AG78" i="7"/>
  <c r="Y80" i="7"/>
  <c r="Q82" i="7"/>
  <c r="I84" i="7"/>
  <c r="AO85" i="7"/>
  <c r="AG87" i="7"/>
  <c r="AD82" i="7"/>
  <c r="R76" i="7"/>
  <c r="AF82" i="7"/>
  <c r="N87" i="7"/>
  <c r="AC80" i="7"/>
  <c r="S78" i="7"/>
  <c r="AQ81" i="7"/>
  <c r="S87" i="7"/>
  <c r="L83" i="7"/>
  <c r="V78" i="7"/>
  <c r="AL80" i="7"/>
  <c r="X86" i="7"/>
  <c r="AN78" i="7"/>
  <c r="L85" i="7"/>
  <c r="AB78" i="7"/>
  <c r="AJ84" i="7"/>
  <c r="AC83" i="7"/>
  <c r="AP76" i="7"/>
  <c r="R82" i="7"/>
  <c r="AH87" i="7"/>
  <c r="M81" i="7"/>
  <c r="AC86" i="7"/>
  <c r="AN77" i="7"/>
  <c r="AB80" i="7"/>
  <c r="P83" i="7"/>
  <c r="AR85" i="7"/>
  <c r="S76" i="7"/>
  <c r="K78" i="7"/>
  <c r="AQ79" i="7"/>
  <c r="AI81" i="7"/>
  <c r="AA83" i="7"/>
  <c r="S85" i="7"/>
  <c r="K87" i="7"/>
  <c r="G77" i="7"/>
  <c r="AM78" i="7"/>
  <c r="AE80" i="7"/>
  <c r="W82" i="7"/>
  <c r="O84" i="7"/>
  <c r="G86" i="7"/>
  <c r="AM87" i="7"/>
  <c r="N76" i="7"/>
  <c r="Z83" i="7"/>
  <c r="W77" i="7"/>
  <c r="X84" i="7"/>
  <c r="AL76" i="7"/>
  <c r="J83" i="7"/>
  <c r="AJ86" i="7"/>
  <c r="AM82" i="7"/>
  <c r="X77" i="7"/>
  <c r="H84" i="7"/>
  <c r="AR79" i="7"/>
  <c r="AR81" i="7"/>
  <c r="T87" i="7"/>
  <c r="V80" i="7"/>
  <c r="H86" i="7"/>
  <c r="AG79" i="7"/>
  <c r="AF85" i="7"/>
  <c r="Y84" i="7"/>
  <c r="AL77" i="7"/>
  <c r="N83" i="7"/>
  <c r="AG76" i="7"/>
  <c r="I82" i="7"/>
  <c r="Y87" i="7"/>
  <c r="R78" i="7"/>
  <c r="F81" i="7"/>
  <c r="AH83" i="7"/>
  <c r="V86" i="7"/>
  <c r="AE76" i="7"/>
  <c r="W78" i="7"/>
  <c r="O80" i="7"/>
  <c r="G82" i="7"/>
  <c r="AM83" i="7"/>
  <c r="AE85" i="7"/>
  <c r="W87" i="7"/>
  <c r="S77" i="7"/>
  <c r="K79" i="7"/>
  <c r="AQ80" i="7"/>
  <c r="AI82" i="7"/>
  <c r="AA84" i="7"/>
  <c r="S86" i="7"/>
  <c r="AI77" i="7"/>
  <c r="V84" i="7"/>
  <c r="F79" i="7"/>
  <c r="P86" i="7"/>
  <c r="AR77" i="7"/>
  <c r="AP84" i="7"/>
  <c r="V76" i="7"/>
  <c r="AI83" i="7"/>
  <c r="AJ81" i="7"/>
  <c r="AR84" i="7"/>
  <c r="J81" i="7"/>
  <c r="AN82" i="7"/>
  <c r="AF76" i="7"/>
  <c r="AB81" i="7"/>
  <c r="AR86" i="7"/>
  <c r="P81" i="7"/>
  <c r="AB86" i="7"/>
  <c r="U85" i="7"/>
  <c r="AH78" i="7"/>
  <c r="J84" i="7"/>
  <c r="AC77" i="7"/>
  <c r="AS82" i="7"/>
  <c r="H76" i="7"/>
  <c r="AJ78" i="7"/>
  <c r="X81" i="7"/>
  <c r="L84" i="7"/>
  <c r="AN86" i="7"/>
  <c r="AQ76" i="7"/>
  <c r="AI78" i="7"/>
  <c r="AA80" i="7"/>
  <c r="S82" i="7"/>
  <c r="K84" i="7"/>
  <c r="AQ85" i="7"/>
  <c r="AI87" i="7"/>
  <c r="AE77" i="7"/>
  <c r="W79" i="7"/>
  <c r="O81" i="7"/>
  <c r="G83" i="7"/>
  <c r="AM84" i="7"/>
  <c r="AE86" i="7"/>
  <c r="L78" i="7"/>
  <c r="AN84" i="7"/>
  <c r="AH79" i="7"/>
  <c r="AD87" i="7"/>
  <c r="I79" i="7"/>
  <c r="AL85" i="7"/>
  <c r="AF77" i="7"/>
  <c r="M84" i="7"/>
  <c r="AH86" i="7"/>
  <c r="V85" i="7"/>
  <c r="J76" i="7"/>
  <c r="R83" i="7"/>
  <c r="AD78" i="7"/>
  <c r="F82" i="7"/>
  <c r="V87" i="7"/>
  <c r="AD81" i="7"/>
  <c r="F87" i="7"/>
  <c r="AM85" i="7"/>
  <c r="L79" i="7"/>
  <c r="AB84" i="7"/>
  <c r="G78" i="7"/>
  <c r="W83" i="7"/>
  <c r="P76" i="7"/>
  <c r="AR78" i="7"/>
  <c r="AF81" i="7"/>
  <c r="T84" i="7"/>
  <c r="H87" i="7"/>
  <c r="I77" i="7"/>
  <c r="AO78" i="7"/>
  <c r="AG80" i="7"/>
  <c r="Y82" i="7"/>
  <c r="Q84" i="7"/>
  <c r="I86" i="7"/>
  <c r="AO87" i="7"/>
  <c r="AK77" i="7"/>
  <c r="AC79" i="7"/>
  <c r="U81" i="7"/>
  <c r="M83" i="7"/>
  <c r="AS84" i="7"/>
  <c r="AK86" i="7"/>
  <c r="AP78" i="7"/>
  <c r="R85" i="7"/>
  <c r="K80" i="7"/>
  <c r="Z77" i="7"/>
  <c r="Z79" i="7"/>
  <c r="L87" i="7"/>
  <c r="T78" i="7"/>
  <c r="AE84" i="7"/>
  <c r="AP77" i="7"/>
  <c r="AN85" i="7"/>
  <c r="AA76" i="7"/>
  <c r="AJ83" i="7"/>
  <c r="AJ79" i="7"/>
  <c r="X82" i="7"/>
  <c r="AN87" i="7"/>
  <c r="H82" i="7"/>
  <c r="X87" i="7"/>
  <c r="Q86" i="7"/>
  <c r="AD79" i="7"/>
  <c r="F85" i="7"/>
  <c r="Y78" i="7"/>
  <c r="AO83" i="7"/>
  <c r="Z76" i="7"/>
  <c r="N79" i="7"/>
  <c r="AP81" i="7"/>
  <c r="AD84" i="7"/>
  <c r="R87" i="7"/>
  <c r="O77" i="7"/>
  <c r="G79" i="7"/>
  <c r="AM80" i="7"/>
  <c r="AE82" i="7"/>
  <c r="W84" i="7"/>
  <c r="O86" i="7"/>
  <c r="K76" i="7"/>
  <c r="AQ77" i="7"/>
  <c r="AI79" i="7"/>
  <c r="AA81" i="7"/>
  <c r="S83" i="7"/>
  <c r="K85" i="7"/>
  <c r="AQ86" i="7"/>
  <c r="R79" i="7"/>
  <c r="AJ85" i="7"/>
  <c r="X80" i="7"/>
  <c r="H79" i="7"/>
  <c r="P80" i="7"/>
  <c r="T76" i="7"/>
  <c r="AK78" i="7"/>
  <c r="I85" i="7"/>
  <c r="AP79" i="7"/>
  <c r="R86" i="7"/>
  <c r="AN76" i="7"/>
  <c r="N84" i="7"/>
  <c r="R81" i="7"/>
  <c r="AP82" i="7"/>
  <c r="H77" i="7"/>
  <c r="Z82" i="7"/>
  <c r="AP87" i="7"/>
  <c r="AI86" i="7"/>
  <c r="H80" i="7"/>
  <c r="X85" i="7"/>
  <c r="AQ78" i="7"/>
  <c r="S84" i="7"/>
  <c r="AH76" i="7"/>
  <c r="V79" i="7"/>
  <c r="J82" i="7"/>
  <c r="AL84" i="7"/>
  <c r="Z87" i="7"/>
  <c r="U77" i="7"/>
  <c r="M79" i="7"/>
  <c r="AS80" i="7"/>
  <c r="AK82" i="7"/>
  <c r="AC84" i="7"/>
  <c r="U86" i="7"/>
  <c r="Q76" i="7"/>
  <c r="I78" i="7"/>
  <c r="AO79" i="7"/>
  <c r="AG81" i="7"/>
  <c r="Y83" i="7"/>
  <c r="Q85" i="7"/>
  <c r="I87" i="7"/>
  <c r="W80" i="7"/>
  <c r="N86" i="7"/>
  <c r="AJ76" i="7"/>
  <c r="N80" i="7"/>
  <c r="AF80" i="7"/>
  <c r="J77" i="7"/>
  <c r="J79" i="7"/>
  <c r="AA85" i="7"/>
  <c r="T81" i="7"/>
  <c r="AF87" i="7"/>
  <c r="J78" i="7"/>
  <c r="AF84" i="7"/>
  <c r="L76" i="7"/>
  <c r="T83" i="7"/>
  <c r="T79" i="7"/>
  <c r="AR82" i="7"/>
  <c r="AK81" i="7"/>
  <c r="M87" i="7"/>
  <c r="Z80" i="7"/>
  <c r="AP85" i="7"/>
  <c r="U79" i="7"/>
  <c r="AK84" i="7"/>
  <c r="AR76" i="7"/>
  <c r="AF79" i="7"/>
  <c r="T82" i="7"/>
  <c r="H85" i="7"/>
  <c r="AJ87" i="7"/>
  <c r="AA77" i="7"/>
  <c r="S79" i="7"/>
  <c r="K81" i="7"/>
  <c r="AQ82" i="7"/>
  <c r="AI84" i="7"/>
  <c r="AA86" i="7"/>
  <c r="W76" i="7"/>
  <c r="O78" i="7"/>
  <c r="G80" i="7"/>
  <c r="AM81" i="7"/>
  <c r="AE83" i="7"/>
  <c r="W85" i="7"/>
  <c r="O87" i="7"/>
  <c r="BA6" i="7"/>
  <c r="BA5" i="7"/>
  <c r="AU80" i="6"/>
  <c r="AU87" i="6"/>
  <c r="AU81" i="6"/>
  <c r="AU76" i="6"/>
  <c r="AU88" i="6" s="1"/>
  <c r="AU77" i="6"/>
  <c r="AU78" i="6"/>
  <c r="AU84" i="9"/>
  <c r="AU83" i="9"/>
  <c r="AU77" i="9"/>
  <c r="AU86" i="9"/>
  <c r="AU78" i="9"/>
  <c r="AU81" i="9"/>
  <c r="AU82" i="9"/>
  <c r="AU87" i="9"/>
  <c r="AU79" i="9"/>
  <c r="AU80" i="9"/>
  <c r="AU85" i="9"/>
  <c r="AU86" i="8"/>
  <c r="AU85" i="8"/>
  <c r="AU87" i="8"/>
  <c r="AU82" i="8"/>
  <c r="AU77" i="8"/>
  <c r="AU80" i="8"/>
  <c r="AU81" i="8"/>
  <c r="AU78" i="8"/>
  <c r="AU76" i="8"/>
  <c r="AU79" i="8"/>
  <c r="AU84" i="8"/>
  <c r="EL69" i="2"/>
  <c r="EL50" i="2"/>
  <c r="EL20" i="2"/>
  <c r="EL82" i="2"/>
  <c r="EL48" i="2"/>
  <c r="EL51" i="2"/>
  <c r="EL84" i="2"/>
  <c r="EL56" i="2"/>
  <c r="EL80" i="2"/>
  <c r="EL68" i="2"/>
  <c r="EL78" i="2"/>
  <c r="EL103" i="2"/>
  <c r="EL19" i="2"/>
  <c r="EL72" i="2"/>
  <c r="EL79" i="2"/>
  <c r="EL88" i="2"/>
  <c r="EL77" i="2"/>
  <c r="EL93" i="2"/>
  <c r="EL98" i="2"/>
  <c r="EL36" i="2"/>
  <c r="EL71" i="2"/>
  <c r="EL81" i="2"/>
  <c r="EL70" i="2"/>
  <c r="EL18" i="2"/>
  <c r="EL104" i="2"/>
  <c r="EL42" i="2"/>
  <c r="EL47" i="2"/>
  <c r="EL33" i="2"/>
  <c r="EL38" i="2"/>
  <c r="EL92" i="2"/>
  <c r="EL43" i="2"/>
  <c r="EL25" i="2"/>
  <c r="EL83" i="2"/>
  <c r="EL89" i="2"/>
  <c r="EL91" i="2"/>
  <c r="EL41" i="2"/>
  <c r="EL90" i="2"/>
  <c r="EL85" i="2"/>
  <c r="EL54" i="2"/>
  <c r="EL14" i="2"/>
  <c r="EL61" i="2"/>
  <c r="EL28" i="2"/>
  <c r="EL40" i="2"/>
  <c r="EL99" i="2"/>
  <c r="EL12" i="2"/>
  <c r="EL13" i="2"/>
  <c r="EL100" i="2"/>
  <c r="EL67" i="2"/>
  <c r="EL49" i="2"/>
  <c r="EL15" i="2"/>
  <c r="EL101" i="2"/>
  <c r="EL17" i="2"/>
  <c r="EL44" i="2"/>
  <c r="EL45" i="2"/>
  <c r="EL97" i="2"/>
  <c r="EL39" i="2"/>
  <c r="EL26" i="2"/>
  <c r="EL87" i="2"/>
  <c r="EL10" i="2"/>
  <c r="EL16" i="2"/>
  <c r="EL11" i="2"/>
  <c r="EL76" i="2"/>
  <c r="EL24" i="2"/>
  <c r="EL66" i="2"/>
  <c r="EL29" i="2"/>
  <c r="EL9" i="2"/>
  <c r="EL27" i="2"/>
  <c r="EL86" i="2"/>
  <c r="EL62" i="2"/>
  <c r="EL31" i="2"/>
  <c r="EL60" i="2"/>
  <c r="EL34" i="2"/>
  <c r="EL57" i="2"/>
  <c r="EL32" i="2"/>
  <c r="EL102" i="2"/>
  <c r="EL30" i="2"/>
  <c r="EL35" i="2"/>
  <c r="EL95" i="2"/>
  <c r="EL23" i="2"/>
  <c r="EL64" i="2"/>
  <c r="EL58" i="2"/>
  <c r="EL65" i="2"/>
  <c r="EL59" i="2"/>
  <c r="EL53" i="2"/>
  <c r="EL37" i="2"/>
  <c r="EL75" i="2"/>
  <c r="EL74" i="2"/>
  <c r="EL21" i="2"/>
  <c r="EL52" i="2"/>
  <c r="EL73" i="2"/>
  <c r="EL96" i="2"/>
  <c r="EL22" i="2"/>
  <c r="EL46" i="2"/>
  <c r="EL63" i="2"/>
  <c r="EL55" i="2"/>
  <c r="EL94" i="2"/>
  <c r="Z89" i="7" l="1"/>
  <c r="V89" i="7"/>
  <c r="AC89" i="7"/>
  <c r="AJ89" i="7"/>
  <c r="S89" i="7"/>
  <c r="AI89" i="7"/>
  <c r="AR89" i="7"/>
  <c r="J89" i="7"/>
  <c r="M89" i="7"/>
  <c r="O89" i="7"/>
  <c r="G89" i="7"/>
  <c r="R89" i="7"/>
  <c r="P89" i="7"/>
  <c r="T89" i="7"/>
  <c r="AM89" i="7"/>
  <c r="AG89" i="7"/>
  <c r="W89" i="7"/>
  <c r="F89" i="7"/>
  <c r="AE89" i="7"/>
  <c r="AS89" i="7"/>
  <c r="AD89" i="7"/>
  <c r="AA89" i="7"/>
  <c r="K89" i="7"/>
  <c r="AL89" i="7"/>
  <c r="AH89" i="7"/>
  <c r="AN89" i="7"/>
  <c r="H89" i="7"/>
  <c r="AB89" i="7"/>
  <c r="U89" i="7"/>
  <c r="X89" i="7"/>
  <c r="AK89" i="7"/>
  <c r="AQ89" i="7"/>
  <c r="Q89" i="7"/>
  <c r="AP89" i="7"/>
  <c r="AO89" i="7"/>
  <c r="I89" i="7"/>
  <c r="L89" i="7"/>
  <c r="Y89" i="7"/>
  <c r="AF89" i="7"/>
  <c r="N89" i="7"/>
  <c r="AU88" i="8"/>
  <c r="AT80" i="7"/>
  <c r="AG88" i="7"/>
  <c r="AP88" i="7"/>
  <c r="AT77" i="7"/>
  <c r="AK88" i="7"/>
  <c r="AO88" i="7"/>
  <c r="AB88" i="7"/>
  <c r="AM88" i="7"/>
  <c r="T88" i="7"/>
  <c r="W88" i="7"/>
  <c r="H88" i="7"/>
  <c r="AC88" i="7"/>
  <c r="J88" i="7"/>
  <c r="M88" i="7"/>
  <c r="Q88" i="7"/>
  <c r="P88" i="7"/>
  <c r="AN88" i="7"/>
  <c r="AJ88" i="7"/>
  <c r="V88" i="7"/>
  <c r="G88" i="7"/>
  <c r="AL88" i="7"/>
  <c r="L88" i="7"/>
  <c r="AA88" i="7"/>
  <c r="AS88" i="7"/>
  <c r="AQ88" i="7"/>
  <c r="AD88" i="7"/>
  <c r="AT86" i="7"/>
  <c r="AE88" i="7"/>
  <c r="AT84" i="7"/>
  <c r="AT81" i="7"/>
  <c r="AH88" i="7"/>
  <c r="Z88" i="7"/>
  <c r="F88" i="7"/>
  <c r="AT76" i="7"/>
  <c r="AT85" i="7"/>
  <c r="S88" i="7"/>
  <c r="AF88" i="7"/>
  <c r="AI88" i="7"/>
  <c r="AT83" i="7"/>
  <c r="Y88" i="7"/>
  <c r="I88" i="7"/>
  <c r="N88" i="7"/>
  <c r="U88" i="7"/>
  <c r="AT87" i="7"/>
  <c r="X88" i="7"/>
  <c r="O88" i="7"/>
  <c r="AT82" i="7"/>
  <c r="AT79" i="7"/>
  <c r="K88" i="7"/>
  <c r="R88" i="7"/>
  <c r="BA7" i="7"/>
  <c r="AS6" i="7" s="1"/>
  <c r="AT78" i="7" l="1"/>
  <c r="AT88" i="7" s="1"/>
  <c r="AU84" i="7" s="1"/>
  <c r="AR88" i="7"/>
  <c r="AU80" i="7" l="1"/>
  <c r="AU76" i="7"/>
  <c r="AU78" i="7"/>
  <c r="AU85" i="7"/>
  <c r="AU79" i="7"/>
  <c r="AU87" i="7"/>
  <c r="AU83" i="7"/>
  <c r="AU81" i="7"/>
  <c r="AU82" i="7"/>
  <c r="AU86" i="7"/>
  <c r="AU77" i="7"/>
  <c r="AU88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<sst xmlns="http://schemas.openxmlformats.org/spreadsheetml/2006/main" count="651" uniqueCount="172">
  <si>
    <t>Informacion Basica para el Flujograma Vehicular</t>
  </si>
  <si>
    <t>N</t>
  </si>
  <si>
    <t>Tipo de Vehiculo</t>
  </si>
  <si>
    <t>UCP</t>
  </si>
  <si>
    <t>Código</t>
  </si>
  <si>
    <t>:</t>
  </si>
  <si>
    <t>Ubicación</t>
  </si>
  <si>
    <t>Intersección</t>
  </si>
  <si>
    <t>Fecha</t>
  </si>
  <si>
    <t>Mes</t>
  </si>
  <si>
    <t>Día</t>
  </si>
  <si>
    <t>Distrito</t>
  </si>
  <si>
    <t>Informaciòn de Los Accesos, Giros y Sentido</t>
  </si>
  <si>
    <t>Origen</t>
  </si>
  <si>
    <t>Destino</t>
  </si>
  <si>
    <t>Giro</t>
  </si>
  <si>
    <t>Acceso</t>
  </si>
  <si>
    <t>Sentido</t>
  </si>
  <si>
    <t>Norte</t>
  </si>
  <si>
    <t>Sur</t>
  </si>
  <si>
    <t>Este</t>
  </si>
  <si>
    <t>Oeste</t>
  </si>
  <si>
    <t>CONTROL DE FLUJO VEHICULAR CLASIFICADO</t>
  </si>
  <si>
    <t>Horas de Control</t>
  </si>
  <si>
    <t>Movimiento UCP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</si>
  <si>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</si>
  <si>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</si>
  <si>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</si>
  <si>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</si>
  <si>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</si>
  <si>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</si>
  <si>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</si>
  <si>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</si>
  <si>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</si>
  <si>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</si>
  <si>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</si>
  <si>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</si>
  <si>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</si>
  <si>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</si>
  <si>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</si>
  <si>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</si>
  <si>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</si>
  <si>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</si>
  <si>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</si>
  <si>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</si>
  <si>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</si>
  <si>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</si>
  <si>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</si>
  <si>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</si>
  <si>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</si>
  <si>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</si>
  <si>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</si>
  <si>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</si>
  <si>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</si>
  <si>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</si>
  <si>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</si>
  <si>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</si>
  <si>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</si>
  <si>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</si>
  <si>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</si>
  <si>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</si>
  <si>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</si>
  <si>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</si>
  <si>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</si>
  <si>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</si>
  <si>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</si>
  <si>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</si>
  <si>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</si>
  <si>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</si>
  <si>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</si>
  <si>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</si>
  <si>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</si>
  <si>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</si>
  <si>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</si>
  <si>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</si>
  <si>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</si>
  <si>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</si>
  <si>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</si>
  <si>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</si>
  <si>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</si>
  <si>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</si>
  <si>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</si>
  <si>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</si>
  <si>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</si>
  <si>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</si>
  <si>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</si>
  <si>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</si>
  <si>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</si>
  <si>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</si>
  <si>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</si>
  <si>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</si>
  <si>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</si>
  <si>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</si>
  <si>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</si>
  <si>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</si>
  <si>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</si>
  <si>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</si>
  <si>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</si>
  <si>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</si>
  <si>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</si>
  <si>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</si>
  <si>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</si>
  <si>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</si>
  <si>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</si>
  <si>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</si>
  <si>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</si>
  <si>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</si>
  <si>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</si>
  <si>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</si>
  <si>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</si>
  <si>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</si>
  <si>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</si>
  <si>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</si>
  <si>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</si>
  <si>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</si>
  <si>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</si>
  <si>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</si>
  <si>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</si>
  <si>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</si>
  <si>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</si>
  <si>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</si>
  <si>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Madrugada</t>
  </si>
  <si>
    <t>Mañana</t>
  </si>
  <si>
    <t>Tarde</t>
  </si>
  <si>
    <t>Noche</t>
  </si>
  <si>
    <t xml:space="preserve">Intersección     :     </t>
  </si>
  <si>
    <t xml:space="preserve">Fecha     :     </t>
  </si>
  <si>
    <t xml:space="preserve">Día     :     </t>
  </si>
  <si>
    <t xml:space="preserve">Distrito     :     </t>
  </si>
  <si>
    <t/>
  </si>
  <si>
    <t>Total (N, S, E, O)</t>
  </si>
  <si>
    <t>(UCP) 15'</t>
  </si>
  <si>
    <t>15'</t>
  </si>
  <si>
    <t>(UCP) 1h</t>
  </si>
  <si>
    <t>1h</t>
  </si>
  <si>
    <t>Suma
1h</t>
  </si>
  <si>
    <t>Total
c/15'</t>
  </si>
  <si>
    <t>(UCP)
c/15'</t>
  </si>
  <si>
    <t>(UCP)
1h</t>
  </si>
  <si>
    <t>Link de google maps</t>
  </si>
  <si>
    <t>Auto</t>
  </si>
  <si>
    <t>Moto</t>
  </si>
  <si>
    <t>Bus</t>
  </si>
  <si>
    <t>Camion</t>
  </si>
  <si>
    <t>Bicicleta</t>
  </si>
  <si>
    <t>Taxi</t>
  </si>
  <si>
    <t>Van</t>
  </si>
  <si>
    <t>Combi</t>
  </si>
  <si>
    <t>Microbus</t>
  </si>
  <si>
    <t>Mototaxi</t>
  </si>
  <si>
    <t>Semi-trailer</t>
  </si>
  <si>
    <t>Otros</t>
  </si>
  <si>
    <t>Tipo de Vehículo</t>
  </si>
  <si>
    <t>Total</t>
  </si>
  <si>
    <t>FLUJOGRAMA VEHICULAR DIRECCIONAL</t>
  </si>
  <si>
    <t>Volumen:</t>
  </si>
  <si>
    <t>Día:</t>
  </si>
  <si>
    <t>Fecha:</t>
  </si>
  <si>
    <t>Intersección:</t>
  </si>
  <si>
    <t>Distrito:</t>
  </si>
  <si>
    <t>Turno:</t>
  </si>
  <si>
    <t>Hora Punta:</t>
  </si>
  <si>
    <t>Volumen UCP:</t>
  </si>
  <si>
    <t>Metadatos</t>
  </si>
  <si>
    <t>Fila HP:</t>
  </si>
  <si>
    <t>Fin:</t>
  </si>
  <si>
    <t>HP:</t>
  </si>
  <si>
    <t>Inicio:</t>
  </si>
  <si>
    <t>%</t>
  </si>
  <si>
    <t>DISTRIBUCIÓN DE VOLUMEN POR GIRO, SENTIDO Y TIPOLOGÍA</t>
  </si>
  <si>
    <t>Fila Inicio</t>
  </si>
  <si>
    <t>Fila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</si>
</sst>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"/>
  </numFmts>
  <fonts count="35" x14ac:knownFonts="1">
    <font>
      <sz val="11"/>
      <color theme="1"/>
      <name val="Calibri"/>
      <family val="2"/>
      <scheme val="minor"/>
    </font>
    <font>
      <b/>
      <sz val="24"/>
      <color rgb="FFFFFFFF"/>
      <name val="Arial Narrow"/>
      <family val="2"/>
    </font>
    <font>
      <b/>
      <sz val="16"/>
      <color rgb="FFFFFFFF"/>
      <name val="Arial Narrow"/>
      <family val="2"/>
    </font>
    <font>
      <b/>
      <i/>
      <sz val="16"/>
      <color rgb="FFFFFFFF"/>
      <name val="Arial Narrow"/>
      <family val="2"/>
    </font>
    <font>
      <b/>
      <sz val="20"/>
      <color rgb="FFFFFFFF"/>
      <name val="Arial Narrow"/>
      <family val="2"/>
    </font>
    <font>
      <sz val="11"/>
      <color theme="1"/>
      <name val="Calibri"/>
      <family val="2"/>
    </font>
    <font>
      <sz val="18"/>
      <color rgb="FF0000FF"/>
      <name val="Arial Narrow"/>
      <family val="2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rgb="FFFFFFFF"/>
      <name val="Arial Narrow"/>
      <family val="2"/>
    </font>
    <font>
      <b/>
      <sz val="10"/>
      <color rgb="FF000000"/>
      <name val="Arial Narrow"/>
      <family val="2"/>
    </font>
    <font>
      <b/>
      <sz val="12"/>
      <color rgb="FFFFFFFF"/>
      <name val="Arial Narrow"/>
      <family val="2"/>
    </font>
    <font>
      <sz val="14"/>
      <color theme="1"/>
      <name val="Arial Narrow"/>
      <family val="2"/>
    </font>
    <font>
      <b/>
      <sz val="14"/>
      <color rgb="FF9933FF"/>
      <name val="Arial Narrow"/>
      <family val="2"/>
    </font>
    <font>
      <sz val="11"/>
      <color theme="0"/>
      <name val="Calibri"/>
      <family val="2"/>
      <scheme val="minor"/>
    </font>
    <font>
      <b/>
      <sz val="16"/>
      <name val="Arial Narrow"/>
      <family val="2"/>
    </font>
    <font>
      <b/>
      <u/>
      <sz val="28"/>
      <name val="Arial Narrow"/>
      <family val="2"/>
    </font>
    <font>
      <sz val="11"/>
      <name val="Calibri"/>
      <family val="2"/>
      <scheme val="minor"/>
    </font>
    <font>
      <b/>
      <sz val="14"/>
      <name val="Arial Narrow"/>
      <family val="2"/>
    </font>
    <font>
      <u/>
      <sz val="14"/>
      <name val="Arial"/>
      <family val="2"/>
    </font>
    <font>
      <b/>
      <sz val="18"/>
      <name val="Arial Narrow"/>
      <family val="2"/>
    </font>
    <font>
      <b/>
      <sz val="20"/>
      <color theme="0"/>
      <name val="Arial Narrow"/>
      <family val="2"/>
    </font>
    <font>
      <b/>
      <sz val="16"/>
      <color theme="0"/>
      <name val="Arial Narrow"/>
      <family val="2"/>
    </font>
    <font>
      <sz val="14"/>
      <color theme="1"/>
      <name val="Calibri"/>
      <family val="2"/>
      <scheme val="minor"/>
    </font>
    <font>
      <sz val="16"/>
      <name val="Arial Narrow"/>
      <family val="2"/>
    </font>
    <font>
      <b/>
      <sz val="14"/>
      <color theme="0"/>
      <name val="Arial Narrow"/>
      <family val="2"/>
    </font>
    <font>
      <b/>
      <sz val="12"/>
      <color theme="0"/>
      <name val="Arial Narrow"/>
      <family val="2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 tint="0.34998626667073579"/>
        <bgColor indexed="64"/>
      </patternFill>
    </fill>
  </fills>
  <borders count="7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D9D9D9"/>
      </bottom>
      <diagonal/>
    </border>
    <border>
      <left style="thin">
        <color rgb="FF000000"/>
      </left>
      <right style="thin">
        <color rgb="FF000000"/>
      </right>
      <top style="dotted">
        <color rgb="FFD9D9D9"/>
      </top>
      <bottom style="dotted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C6C6C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rgb="FFD9D9D9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D9D9D9"/>
      </bottom>
      <diagonal/>
    </border>
    <border>
      <left style="thin">
        <color indexed="64"/>
      </left>
      <right style="thin">
        <color rgb="FF000000"/>
      </right>
      <top style="dotted">
        <color rgb="FFD9D9D9"/>
      </top>
      <bottom style="dotted">
        <color rgb="FFD9D9D9"/>
      </bottom>
      <diagonal/>
    </border>
    <border>
      <left style="thin">
        <color rgb="FF000000"/>
      </left>
      <right style="thin">
        <color indexed="64"/>
      </right>
      <top style="dotted">
        <color rgb="FFD9D9D9"/>
      </top>
      <bottom style="dotted">
        <color rgb="FFD9D9D9"/>
      </bottom>
      <diagonal/>
    </border>
    <border>
      <left style="thin">
        <color indexed="64"/>
      </left>
      <right style="thin">
        <color rgb="FF000000"/>
      </right>
      <top style="dotted">
        <color rgb="FFD9D9D9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D9D9D9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C6C6C6"/>
      </bottom>
      <diagonal/>
    </border>
    <border>
      <left style="thin">
        <color indexed="64"/>
      </left>
      <right/>
      <top/>
      <bottom style="thin">
        <color rgb="FFC6C6C6"/>
      </bottom>
      <diagonal/>
    </border>
    <border>
      <left/>
      <right style="thin">
        <color indexed="64"/>
      </right>
      <top/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0"/>
    <xf numFmtId="9" fontId="29" fillId="0" borderId="0" applyFont="0" applyFill="0" applyBorder="0" applyAlignment="0" applyProtection="0"/>
  </cellStyleXfs>
  <cellXfs count="228">
    <xf numFmtId="0" fontId="0" fillId="0" borderId="0" xfId="0" applyBorder="1"/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  <xf numFmtId="1" fontId="7" fillId="2" borderId="7" xfId="0" applyNumberFormat="1" applyFont="1" applyFill="1" applyBorder="1" applyAlignment="1">
      <alignment horizontal="center" wrapText="1"/>
    </xf>
    <xf numFmtId="1" fontId="7" fillId="2" borderId="8" xfId="0" applyNumberFormat="1" applyFont="1" applyFill="1" applyBorder="1" applyAlignment="1">
      <alignment horizontal="center" wrapText="1"/>
    </xf>
    <xf numFmtId="1" fontId="7" fillId="2" borderId="9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left"/>
    </xf>
    <xf numFmtId="1" fontId="7" fillId="2" borderId="3" xfId="0" applyNumberFormat="1" applyFont="1" applyFill="1" applyBorder="1" applyAlignment="1">
      <alignment horizontal="center"/>
    </xf>
    <xf numFmtId="1" fontId="7" fillId="2" borderId="4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left"/>
    </xf>
    <xf numFmtId="1" fontId="7" fillId="2" borderId="2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1" fontId="6" fillId="2" borderId="3" xfId="0" applyNumberFormat="1" applyFont="1" applyFill="1" applyBorder="1" applyAlignment="1">
      <alignment horizontal="center" wrapText="1"/>
    </xf>
    <xf numFmtId="3" fontId="0" fillId="0" borderId="0" xfId="0" applyNumberFormat="1" applyBorder="1"/>
    <xf numFmtId="4" fontId="0" fillId="0" borderId="0" xfId="0" applyNumberFormat="1" applyBorder="1"/>
    <xf numFmtId="0" fontId="0" fillId="0" borderId="0" xfId="0" applyBorder="1" applyAlignment="1">
      <alignment horizontal="center"/>
    </xf>
    <xf numFmtId="3" fontId="5" fillId="0" borderId="10" xfId="0" applyNumberFormat="1" applyFont="1" applyAlignment="1">
      <alignment horizontal="right"/>
    </xf>
    <xf numFmtId="4" fontId="5" fillId="0" borderId="10" xfId="0" applyNumberFormat="1" applyFont="1" applyAlignment="1">
      <alignment horizontal="right"/>
    </xf>
    <xf numFmtId="1" fontId="7" fillId="2" borderId="13" xfId="0" applyNumberFormat="1" applyFont="1" applyFill="1" applyBorder="1" applyAlignment="1">
      <alignment horizontal="center"/>
    </xf>
    <xf numFmtId="1" fontId="7" fillId="2" borderId="14" xfId="0" applyNumberFormat="1" applyFont="1" applyFill="1" applyBorder="1" applyAlignment="1">
      <alignment horizontal="center"/>
    </xf>
    <xf numFmtId="1" fontId="7" fillId="2" borderId="15" xfId="0" applyNumberFormat="1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3" fontId="11" fillId="0" borderId="10" xfId="0" applyNumberFormat="1" applyFont="1" applyAlignment="1">
      <alignment horizontal="center" wrapText="1"/>
    </xf>
    <xf numFmtId="3" fontId="12" fillId="0" borderId="10" xfId="0" applyNumberFormat="1" applyFont="1" applyAlignment="1">
      <alignment horizontal="center"/>
    </xf>
    <xf numFmtId="0" fontId="7" fillId="2" borderId="12" xfId="0" quotePrefix="1" applyFont="1" applyFill="1" applyBorder="1" applyAlignment="1">
      <alignment horizontal="left" vertical="center"/>
    </xf>
    <xf numFmtId="3" fontId="0" fillId="0" borderId="0" xfId="0" applyNumberFormat="1" applyBorder="1" applyAlignment="1">
      <alignment horizontal="center" vertical="center"/>
    </xf>
    <xf numFmtId="3" fontId="9" fillId="3" borderId="31" xfId="0" applyNumberFormat="1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3" fontId="9" fillId="3" borderId="33" xfId="0" applyNumberFormat="1" applyFont="1" applyFill="1" applyBorder="1" applyAlignment="1">
      <alignment horizontal="center" vertical="center"/>
    </xf>
    <xf numFmtId="3" fontId="7" fillId="2" borderId="34" xfId="0" applyNumberFormat="1" applyFont="1" applyFill="1" applyBorder="1" applyAlignment="1">
      <alignment horizontal="center" vertical="center"/>
    </xf>
    <xf numFmtId="3" fontId="7" fillId="2" borderId="36" xfId="0" applyNumberFormat="1" applyFont="1" applyFill="1" applyBorder="1" applyAlignment="1">
      <alignment horizontal="center" vertical="center"/>
    </xf>
    <xf numFmtId="3" fontId="7" fillId="2" borderId="38" xfId="0" applyNumberFormat="1" applyFont="1" applyFill="1" applyBorder="1" applyAlignment="1">
      <alignment horizontal="center" vertical="center"/>
    </xf>
    <xf numFmtId="0" fontId="7" fillId="2" borderId="39" xfId="0" quotePrefix="1" applyFont="1" applyFill="1" applyBorder="1" applyAlignment="1">
      <alignment horizontal="left" vertical="center"/>
    </xf>
    <xf numFmtId="4" fontId="7" fillId="2" borderId="35" xfId="0" applyNumberFormat="1" applyFont="1" applyFill="1" applyBorder="1" applyAlignment="1">
      <alignment horizontal="center" vertical="center"/>
    </xf>
    <xf numFmtId="4" fontId="7" fillId="2" borderId="37" xfId="0" applyNumberFormat="1" applyFont="1" applyFill="1" applyBorder="1" applyAlignment="1">
      <alignment horizontal="center" vertical="center"/>
    </xf>
    <xf numFmtId="4" fontId="7" fillId="2" borderId="40" xfId="0" applyNumberFormat="1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 textRotation="90" wrapText="1"/>
    </xf>
    <xf numFmtId="0" fontId="11" fillId="3" borderId="32" xfId="0" applyFont="1" applyFill="1" applyBorder="1" applyAlignment="1">
      <alignment horizontal="center" vertical="center" textRotation="90" wrapText="1"/>
    </xf>
    <xf numFmtId="0" fontId="9" fillId="3" borderId="3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10" xfId="0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3" fontId="20" fillId="3" borderId="3" xfId="0" applyNumberFormat="1" applyFont="1" applyFill="1" applyBorder="1" applyAlignment="1">
      <alignment horizontal="center" wrapText="1"/>
    </xf>
    <xf numFmtId="1" fontId="24" fillId="2" borderId="5" xfId="0" applyNumberFormat="1" applyFont="1" applyFill="1" applyBorder="1" applyAlignment="1">
      <alignment horizontal="center"/>
    </xf>
    <xf numFmtId="1" fontId="24" fillId="2" borderId="1" xfId="0" applyNumberFormat="1" applyFont="1" applyFill="1" applyBorder="1" applyAlignment="1">
      <alignment horizontal="left"/>
    </xf>
    <xf numFmtId="1" fontId="24" fillId="2" borderId="1" xfId="0" applyNumberFormat="1" applyFont="1" applyFill="1" applyBorder="1" applyAlignment="1">
      <alignment horizontal="center"/>
    </xf>
    <xf numFmtId="4" fontId="26" fillId="3" borderId="3" xfId="0" applyNumberFormat="1" applyFont="1" applyFill="1" applyBorder="1" applyAlignment="1">
      <alignment horizontal="center" wrapText="1"/>
    </xf>
    <xf numFmtId="1" fontId="26" fillId="3" borderId="3" xfId="0" applyNumberFormat="1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left"/>
    </xf>
    <xf numFmtId="0" fontId="10" fillId="2" borderId="23" xfId="0" applyFont="1" applyFill="1" applyBorder="1" applyAlignment="1">
      <alignment horizontal="left"/>
    </xf>
    <xf numFmtId="0" fontId="10" fillId="2" borderId="25" xfId="0" applyFont="1" applyFill="1" applyBorder="1" applyAlignment="1">
      <alignment horizontal="left"/>
    </xf>
    <xf numFmtId="3" fontId="15" fillId="2" borderId="21" xfId="0" applyNumberFormat="1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left" vertical="center"/>
    </xf>
    <xf numFmtId="0" fontId="15" fillId="2" borderId="10" xfId="0" applyFont="1" applyFill="1" applyAlignment="1">
      <alignment horizontal="left" vertical="center"/>
    </xf>
    <xf numFmtId="0" fontId="18" fillId="2" borderId="10" xfId="0" applyFont="1" applyFill="1" applyAlignment="1">
      <alignment horizontal="center" vertical="center"/>
    </xf>
    <xf numFmtId="0" fontId="15" fillId="2" borderId="26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center" vertical="center"/>
    </xf>
    <xf numFmtId="3" fontId="18" fillId="2" borderId="21" xfId="0" applyNumberFormat="1" applyFont="1" applyFill="1" applyBorder="1" applyAlignment="1">
      <alignment horizontal="left" vertical="center"/>
    </xf>
    <xf numFmtId="3" fontId="18" fillId="2" borderId="10" xfId="0" applyNumberFormat="1" applyFont="1" applyFill="1" applyAlignment="1">
      <alignment horizontal="left" vertical="center"/>
    </xf>
    <xf numFmtId="3" fontId="18" fillId="2" borderId="26" xfId="0" applyNumberFormat="1" applyFont="1" applyFill="1" applyBorder="1" applyAlignment="1">
      <alignment horizontal="left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left" vertical="center"/>
    </xf>
    <xf numFmtId="0" fontId="12" fillId="2" borderId="37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left" vertical="center"/>
    </xf>
    <xf numFmtId="0" fontId="12" fillId="2" borderId="4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vertical="center"/>
    </xf>
    <xf numFmtId="0" fontId="7" fillId="2" borderId="11" xfId="0" quotePrefix="1" applyFont="1" applyFill="1" applyBorder="1" applyAlignment="1">
      <alignment horizontal="left" vertical="center"/>
    </xf>
    <xf numFmtId="1" fontId="0" fillId="0" borderId="10" xfId="0" applyNumberFormat="1" applyAlignment="1">
      <alignment horizontal="center"/>
    </xf>
    <xf numFmtId="1" fontId="7" fillId="2" borderId="44" xfId="0" applyNumberFormat="1" applyFont="1" applyFill="1" applyBorder="1" applyAlignment="1">
      <alignment horizontal="center" wrapText="1"/>
    </xf>
    <xf numFmtId="1" fontId="7" fillId="2" borderId="45" xfId="0" applyNumberFormat="1" applyFont="1" applyFill="1" applyBorder="1" applyAlignment="1">
      <alignment horizontal="center"/>
    </xf>
    <xf numFmtId="1" fontId="24" fillId="2" borderId="45" xfId="0" applyNumberFormat="1" applyFont="1" applyFill="1" applyBorder="1" applyAlignment="1">
      <alignment horizontal="center"/>
    </xf>
    <xf numFmtId="0" fontId="0" fillId="0" borderId="10" xfId="0" applyAlignment="1">
      <alignment horizontal="center"/>
    </xf>
    <xf numFmtId="0" fontId="0" fillId="0" borderId="10" xfId="0" applyAlignment="1">
      <alignment horizontal="left"/>
    </xf>
    <xf numFmtId="164" fontId="0" fillId="0" borderId="10" xfId="0" applyNumberFormat="1"/>
    <xf numFmtId="0" fontId="31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10" xfId="0" applyNumberFormat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30" fillId="3" borderId="46" xfId="0" applyFont="1" applyFill="1" applyBorder="1" applyAlignment="1">
      <alignment horizontal="center" vertical="center"/>
    </xf>
    <xf numFmtId="0" fontId="0" fillId="0" borderId="10" xfId="0" applyAlignment="1">
      <alignment horizontal="right"/>
    </xf>
    <xf numFmtId="0" fontId="0" fillId="0" borderId="50" xfId="0" applyBorder="1"/>
    <xf numFmtId="0" fontId="0" fillId="0" borderId="51" xfId="0" applyBorder="1"/>
    <xf numFmtId="0" fontId="0" fillId="0" borderId="53" xfId="0" applyBorder="1"/>
    <xf numFmtId="0" fontId="0" fillId="0" borderId="55" xfId="0" applyBorder="1"/>
    <xf numFmtId="0" fontId="0" fillId="0" borderId="56" xfId="0" applyBorder="1"/>
    <xf numFmtId="0" fontId="31" fillId="0" borderId="62" xfId="0" applyFont="1" applyBorder="1" applyAlignment="1">
      <alignment horizontal="center" vertical="center"/>
    </xf>
    <xf numFmtId="0" fontId="0" fillId="0" borderId="63" xfId="0" applyBorder="1"/>
    <xf numFmtId="1" fontId="0" fillId="0" borderId="64" xfId="0" applyNumberFormat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0" fontId="0" fillId="0" borderId="65" xfId="0" applyBorder="1"/>
    <xf numFmtId="1" fontId="0" fillId="0" borderId="66" xfId="0" applyNumberForma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1" fontId="0" fillId="0" borderId="72" xfId="0" applyNumberFormat="1" applyBorder="1" applyAlignment="1">
      <alignment horizontal="center" vertical="center"/>
    </xf>
    <xf numFmtId="9" fontId="0" fillId="0" borderId="76" xfId="1" applyFont="1" applyBorder="1" applyAlignment="1">
      <alignment horizontal="center" vertical="center"/>
    </xf>
    <xf numFmtId="9" fontId="0" fillId="0" borderId="73" xfId="1" applyFont="1" applyBorder="1" applyAlignment="1">
      <alignment horizontal="center" vertical="center"/>
    </xf>
    <xf numFmtId="1" fontId="0" fillId="0" borderId="74" xfId="0" applyNumberFormat="1" applyBorder="1" applyAlignment="1">
      <alignment horizontal="center" vertical="center"/>
    </xf>
    <xf numFmtId="9" fontId="0" fillId="0" borderId="75" xfId="1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9" fontId="0" fillId="0" borderId="69" xfId="1" applyFont="1" applyBorder="1" applyAlignment="1">
      <alignment horizontal="center" vertical="center"/>
    </xf>
    <xf numFmtId="164" fontId="0" fillId="0" borderId="10" xfId="0" applyNumberFormat="1" applyAlignment="1">
      <alignment horizontal="right"/>
    </xf>
    <xf numFmtId="0" fontId="31" fillId="0" borderId="10" xfId="0" applyFont="1"/>
    <xf numFmtId="0" fontId="30" fillId="3" borderId="77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0" xfId="0" quotePrefix="1"/>
    <xf numFmtId="0" fontId="18" fillId="2" borderId="10" xfId="0" applyFont="1" applyFill="1" applyAlignment="1">
      <alignment horizontal="left" vertical="center"/>
    </xf>
    <xf numFmtId="0" fontId="17" fillId="0" borderId="10" xfId="0" applyFont="1" applyAlignment="1">
      <alignment vertical="center"/>
    </xf>
    <xf numFmtId="0" fontId="17" fillId="0" borderId="24" xfId="0" applyFont="1" applyBorder="1" applyAlignment="1">
      <alignment vertical="center"/>
    </xf>
    <xf numFmtId="0" fontId="8" fillId="2" borderId="16" xfId="0" applyFont="1" applyFill="1" applyBorder="1" applyAlignment="1">
      <alignment horizontal="center"/>
    </xf>
    <xf numFmtId="0" fontId="0" fillId="0" borderId="10" xfId="0"/>
    <xf numFmtId="0" fontId="18" fillId="2" borderId="21" xfId="0" quotePrefix="1" applyFont="1" applyFill="1" applyBorder="1" applyAlignment="1">
      <alignment horizontal="left" vertical="center"/>
    </xf>
    <xf numFmtId="0" fontId="28" fillId="0" borderId="21" xfId="0" applyFont="1" applyBorder="1" applyAlignment="1">
      <alignment vertical="center"/>
    </xf>
    <xf numFmtId="0" fontId="16" fillId="2" borderId="41" xfId="0" applyFont="1" applyFill="1" applyBorder="1" applyAlignment="1">
      <alignment horizontal="center" vertical="top"/>
    </xf>
    <xf numFmtId="0" fontId="17" fillId="0" borderId="21" xfId="0" applyFont="1" applyBorder="1"/>
    <xf numFmtId="0" fontId="17" fillId="0" borderId="22" xfId="0" applyFont="1" applyBorder="1"/>
    <xf numFmtId="0" fontId="17" fillId="0" borderId="42" xfId="0" applyFont="1" applyBorder="1"/>
    <xf numFmtId="0" fontId="17" fillId="0" borderId="10" xfId="0" applyFont="1"/>
    <xf numFmtId="0" fontId="17" fillId="0" borderId="43" xfId="0" applyFont="1" applyBorder="1"/>
    <xf numFmtId="0" fontId="18" fillId="2" borderId="10" xfId="0" quotePrefix="1" applyFont="1" applyFill="1" applyAlignment="1">
      <alignment horizontal="left" vertical="center"/>
    </xf>
    <xf numFmtId="0" fontId="28" fillId="0" borderId="10" xfId="0" applyFont="1" applyAlignment="1">
      <alignment vertical="center"/>
    </xf>
    <xf numFmtId="0" fontId="28" fillId="0" borderId="24" xfId="0" applyFont="1" applyBorder="1" applyAlignment="1">
      <alignment vertical="center"/>
    </xf>
    <xf numFmtId="14" fontId="18" fillId="2" borderId="10" xfId="0" applyNumberFormat="1" applyFont="1" applyFill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8" fillId="2" borderId="26" xfId="0" quotePrefix="1" applyFont="1" applyFill="1" applyBorder="1" applyAlignment="1">
      <alignment horizontal="left" vertical="center"/>
    </xf>
    <xf numFmtId="0" fontId="28" fillId="0" borderId="26" xfId="0" applyFont="1" applyBorder="1" applyAlignment="1">
      <alignment vertical="center"/>
    </xf>
    <xf numFmtId="0" fontId="28" fillId="0" borderId="27" xfId="0" applyFont="1" applyBorder="1" applyAlignment="1">
      <alignment vertical="center"/>
    </xf>
    <xf numFmtId="0" fontId="31" fillId="0" borderId="46" xfId="0" applyFont="1" applyBorder="1" applyAlignment="1">
      <alignment horizontal="center"/>
    </xf>
    <xf numFmtId="0" fontId="30" fillId="3" borderId="46" xfId="0" applyFont="1" applyFill="1" applyBorder="1" applyAlignment="1">
      <alignment horizontal="center"/>
    </xf>
    <xf numFmtId="0" fontId="31" fillId="0" borderId="62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33" fillId="0" borderId="47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49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 vertical="center" textRotation="90"/>
    </xf>
    <xf numFmtId="0" fontId="31" fillId="0" borderId="72" xfId="0" applyFont="1" applyBorder="1" applyAlignment="1">
      <alignment horizontal="center" vertical="center" textRotation="90"/>
    </xf>
    <xf numFmtId="0" fontId="31" fillId="0" borderId="74" xfId="0" applyFont="1" applyBorder="1" applyAlignment="1">
      <alignment horizontal="center" vertical="center" textRotation="90"/>
    </xf>
    <xf numFmtId="0" fontId="31" fillId="0" borderId="71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31" fillId="0" borderId="75" xfId="0" applyFont="1" applyBorder="1" applyAlignment="1">
      <alignment horizontal="center" vertical="center"/>
    </xf>
    <xf numFmtId="0" fontId="0" fillId="0" borderId="10" xfId="0" applyAlignment="1">
      <alignment horizontal="right"/>
    </xf>
    <xf numFmtId="0" fontId="0" fillId="0" borderId="10" xfId="0" applyAlignment="1">
      <alignment horizontal="left"/>
    </xf>
    <xf numFmtId="0" fontId="0" fillId="0" borderId="54" xfId="0" applyBorder="1" applyAlignment="1">
      <alignment horizontal="right"/>
    </xf>
    <xf numFmtId="0" fontId="0" fillId="0" borderId="56" xfId="0" applyBorder="1" applyAlignment="1">
      <alignment horizontal="right"/>
    </xf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right"/>
    </xf>
    <xf numFmtId="0" fontId="34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0" fillId="0" borderId="51" xfId="0" applyBorder="1" applyAlignment="1">
      <alignment horizontal="righ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right"/>
    </xf>
    <xf numFmtId="14" fontId="0" fillId="0" borderId="10" xfId="0" applyNumberFormat="1" applyAlignment="1">
      <alignment horizontal="right"/>
    </xf>
    <xf numFmtId="3" fontId="4" fillId="3" borderId="28" xfId="0" applyNumberFormat="1" applyFont="1" applyFill="1" applyBorder="1" applyAlignment="1">
      <alignment horizontal="center" wrapText="1"/>
    </xf>
    <xf numFmtId="3" fontId="4" fillId="3" borderId="29" xfId="0" applyNumberFormat="1" applyFont="1" applyFill="1" applyBorder="1" applyAlignment="1">
      <alignment horizontal="center" wrapText="1"/>
    </xf>
    <xf numFmtId="3" fontId="4" fillId="3" borderId="30" xfId="0" applyNumberFormat="1" applyFont="1" applyFill="1" applyBorder="1" applyAlignment="1">
      <alignment horizontal="center" wrapText="1"/>
    </xf>
    <xf numFmtId="1" fontId="4" fillId="3" borderId="6" xfId="0" applyNumberFormat="1" applyFont="1" applyFill="1" applyBorder="1" applyAlignment="1">
      <alignment horizontal="center" wrapText="1"/>
    </xf>
    <xf numFmtId="0" fontId="0" fillId="3" borderId="18" xfId="0" applyFill="1" applyBorder="1"/>
    <xf numFmtId="0" fontId="0" fillId="3" borderId="19" xfId="0" applyFill="1" applyBorder="1"/>
    <xf numFmtId="1" fontId="25" fillId="3" borderId="6" xfId="0" applyNumberFormat="1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left" indent="1"/>
    </xf>
    <xf numFmtId="0" fontId="1" fillId="3" borderId="21" xfId="0" applyFont="1" applyFill="1" applyBorder="1" applyAlignment="1">
      <alignment horizontal="left" indent="1"/>
    </xf>
    <xf numFmtId="0" fontId="1" fillId="3" borderId="22" xfId="0" applyFont="1" applyFill="1" applyBorder="1" applyAlignment="1">
      <alignment horizontal="left" indent="1"/>
    </xf>
    <xf numFmtId="0" fontId="2" fillId="3" borderId="23" xfId="0" applyFont="1" applyFill="1" applyBorder="1" applyAlignment="1">
      <alignment horizontal="right" indent="1"/>
    </xf>
    <xf numFmtId="0" fontId="2" fillId="3" borderId="10" xfId="0" applyFont="1" applyFill="1" applyAlignment="1">
      <alignment horizontal="right" indent="1"/>
    </xf>
    <xf numFmtId="1" fontId="2" fillId="3" borderId="10" xfId="0" applyNumberFormat="1" applyFont="1" applyFill="1" applyAlignment="1">
      <alignment horizontal="left"/>
    </xf>
    <xf numFmtId="14" fontId="2" fillId="3" borderId="10" xfId="0" applyNumberFormat="1" applyFont="1" applyFill="1" applyAlignment="1">
      <alignment horizontal="left"/>
    </xf>
    <xf numFmtId="1" fontId="2" fillId="3" borderId="10" xfId="0" applyNumberFormat="1" applyFont="1" applyFill="1" applyAlignment="1">
      <alignment horizontal="center"/>
    </xf>
    <xf numFmtId="1" fontId="2" fillId="3" borderId="24" xfId="0" applyNumberFormat="1" applyFont="1" applyFill="1" applyBorder="1" applyAlignment="1">
      <alignment horizontal="center"/>
    </xf>
    <xf numFmtId="3" fontId="2" fillId="3" borderId="10" xfId="0" applyNumberFormat="1" applyFont="1" applyFill="1" applyAlignment="1">
      <alignment horizontal="left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1" fontId="21" fillId="3" borderId="28" xfId="0" applyNumberFormat="1" applyFont="1" applyFill="1" applyBorder="1" applyAlignment="1">
      <alignment horizontal="center"/>
    </xf>
    <xf numFmtId="1" fontId="21" fillId="3" borderId="29" xfId="0" applyNumberFormat="1" applyFont="1" applyFill="1" applyBorder="1" applyAlignment="1">
      <alignment horizontal="center"/>
    </xf>
    <xf numFmtId="1" fontId="21" fillId="3" borderId="30" xfId="0" applyNumberFormat="1" applyFont="1" applyFill="1" applyBorder="1" applyAlignment="1">
      <alignment horizontal="center"/>
    </xf>
    <xf numFmtId="4" fontId="22" fillId="3" borderId="6" xfId="0" applyNumberFormat="1" applyFont="1" applyFill="1" applyBorder="1" applyAlignment="1">
      <alignment horizontal="center" wrapText="1"/>
    </xf>
    <xf numFmtId="0" fontId="14" fillId="3" borderId="18" xfId="0" applyFont="1" applyFill="1" applyBorder="1"/>
    <xf numFmtId="0" fontId="14" fillId="3" borderId="19" xfId="0" applyFont="1" applyFill="1" applyBorder="1"/>
    <xf numFmtId="0" fontId="9" fillId="3" borderId="6" xfId="0" applyFont="1" applyFill="1" applyBorder="1" applyAlignment="1">
      <alignment horizontal="center" vertical="top" wrapText="1"/>
    </xf>
    <xf numFmtId="0" fontId="0" fillId="3" borderId="6" xfId="0" applyFill="1" applyBorder="1"/>
    <xf numFmtId="0" fontId="23" fillId="3" borderId="6" xfId="0" applyFont="1" applyFill="1" applyBorder="1"/>
    <xf numFmtId="3" fontId="4" fillId="3" borderId="17" xfId="0" applyNumberFormat="1" applyFont="1" applyFill="1" applyBorder="1" applyAlignment="1">
      <alignment horizontal="center" wrapText="1"/>
    </xf>
    <xf numFmtId="3" fontId="4" fillId="3" borderId="18" xfId="0" applyNumberFormat="1" applyFont="1" applyFill="1" applyBorder="1" applyAlignment="1">
      <alignment horizontal="center" wrapText="1"/>
    </xf>
    <xf numFmtId="3" fontId="4" fillId="3" borderId="19" xfId="0" applyNumberFormat="1" applyFont="1" applyFill="1" applyBorder="1" applyAlignment="1">
      <alignment horizontal="center" wrapText="1"/>
    </xf>
    <xf numFmtId="1" fontId="21" fillId="3" borderId="6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23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AA34"/>
  <sheetViews>
    <sheetView showGridLines="0" tabSelected="1" zoomScale="55" zoomScaleNormal="55" workbookViewId="0">
      <selection activeCell="U8" sqref="U8"/>
    </sheetView>
  </sheetViews>
  <sheetFormatPr baseColWidth="10" defaultColWidth="9.140625" defaultRowHeight="15" x14ac:dyDescent="0.25"/>
  <cols>
    <col min="1" max="1" width="13.5703125" bestFit="1" customWidth="1"/>
    <col min="2" max="2" width="1.7109375" bestFit="1" customWidth="1"/>
    <col min="3" max="3" width="2.7109375" bestFit="1" customWidth="1"/>
    <col min="4" max="4" width="13.7109375" style="15" bestFit="1" customWidth="1"/>
    <col min="5" max="6" width="4.7109375" bestFit="1" customWidth="1"/>
    <col min="7" max="7" width="7.7109375" bestFit="1" customWidth="1"/>
    <col min="8" max="8" width="30.7109375" style="17" bestFit="1" customWidth="1"/>
    <col min="9" max="9" width="9.7109375" bestFit="1" customWidth="1"/>
    <col min="10" max="10" width="13.7109375" style="15" bestFit="1" customWidth="1"/>
    <col min="11" max="12" width="4.7109375" bestFit="1" customWidth="1"/>
    <col min="13" max="13" width="7.7109375" bestFit="1" customWidth="1"/>
    <col min="14" max="14" width="30.7109375" bestFit="1" customWidth="1"/>
    <col min="15" max="15" width="9.7109375" bestFit="1" customWidth="1"/>
    <col min="16" max="17" width="0.85546875" bestFit="1" customWidth="1"/>
    <col min="18" max="18" width="1.7109375" bestFit="1" customWidth="1"/>
    <col min="19" max="20" width="13.5703125" bestFit="1" customWidth="1"/>
    <col min="21" max="21" width="13.5703125" style="32" bestFit="1" customWidth="1"/>
    <col min="22" max="22" width="26.5703125" bestFit="1" customWidth="1"/>
    <col min="23" max="23" width="13.5703125" style="15" bestFit="1" customWidth="1"/>
    <col min="24" max="26" width="13.5703125" bestFit="1" customWidth="1"/>
    <col min="27" max="27" width="13.5703125" style="16" bestFit="1" customWidth="1"/>
  </cols>
  <sheetData>
    <row r="1" spans="2:27" ht="18.75" customHeight="1" x14ac:dyDescent="0.25">
      <c r="D1"/>
      <c r="H1"/>
      <c r="J1"/>
    </row>
    <row r="2" spans="2:27" ht="33" customHeight="1" x14ac:dyDescent="0.25">
      <c r="B2" s="137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9"/>
    </row>
    <row r="3" spans="2:27" ht="33" customHeight="1" x14ac:dyDescent="0.25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2"/>
      <c r="U3" s="33" t="s">
        <v>1</v>
      </c>
      <c r="V3" s="34" t="s">
        <v>2</v>
      </c>
      <c r="W3" s="35" t="s">
        <v>3</v>
      </c>
      <c r="AA3" s="18"/>
    </row>
    <row r="4" spans="2:27" ht="39.75" customHeight="1" x14ac:dyDescent="0.25">
      <c r="B4" s="46"/>
      <c r="C4" s="58"/>
      <c r="D4" s="69" t="s">
        <v>4</v>
      </c>
      <c r="E4" s="62"/>
      <c r="F4" s="63" t="s">
        <v>5</v>
      </c>
      <c r="G4" s="135" t="s">
        <v>129</v>
      </c>
      <c r="H4" s="136"/>
      <c r="I4" s="136"/>
      <c r="J4" s="61" t="s">
        <v>6</v>
      </c>
      <c r="K4" s="147" t="s">
        <v>139</v>
      </c>
      <c r="L4" s="148"/>
      <c r="M4" s="148"/>
      <c r="N4" s="148"/>
      <c r="O4" s="148"/>
      <c r="P4" s="62"/>
      <c r="Q4" s="64"/>
      <c r="R4" s="48"/>
      <c r="U4" s="36">
        <v>1</v>
      </c>
      <c r="V4" s="83" t="s">
        <v>140</v>
      </c>
      <c r="W4" s="40">
        <v>1</v>
      </c>
      <c r="AA4" s="19"/>
    </row>
    <row r="5" spans="2:27" ht="39.75" customHeight="1" x14ac:dyDescent="0.25">
      <c r="B5" s="46"/>
      <c r="C5" s="59"/>
      <c r="D5" s="70" t="s">
        <v>7</v>
      </c>
      <c r="E5" s="65"/>
      <c r="F5" s="66" t="s">
        <v>5</v>
      </c>
      <c r="G5" s="143" t="s">
        <v>129</v>
      </c>
      <c r="H5" s="144"/>
      <c r="I5" s="144"/>
      <c r="J5" s="144"/>
      <c r="K5" s="144"/>
      <c r="L5" s="144"/>
      <c r="M5" s="144"/>
      <c r="N5" s="144"/>
      <c r="O5" s="144"/>
      <c r="P5" s="144"/>
      <c r="Q5" s="145"/>
      <c r="R5" s="48"/>
      <c r="U5" s="37">
        <v>2</v>
      </c>
      <c r="V5" s="31" t="s">
        <v>141</v>
      </c>
      <c r="W5" s="41">
        <v>0.33</v>
      </c>
      <c r="AA5" s="18"/>
    </row>
    <row r="6" spans="2:27" ht="20.25" x14ac:dyDescent="0.25">
      <c r="B6" s="46"/>
      <c r="C6" s="59"/>
      <c r="D6" s="70" t="s">
        <v>8</v>
      </c>
      <c r="E6" s="65"/>
      <c r="F6" s="66" t="s">
        <v>5</v>
      </c>
      <c r="G6" s="146">
        <v>45658</v>
      </c>
      <c r="H6" s="144"/>
      <c r="I6" s="144"/>
      <c r="J6" s="144"/>
      <c r="K6" s="144"/>
      <c r="L6" s="144"/>
      <c r="M6" s="144"/>
      <c r="N6" s="144"/>
      <c r="O6" s="144"/>
      <c r="P6" s="144"/>
      <c r="Q6" s="145"/>
      <c r="R6" s="48"/>
      <c r="U6" s="37">
        <v>3</v>
      </c>
      <c r="V6" s="31" t="s">
        <v>142</v>
      </c>
      <c r="W6" s="41">
        <v>3</v>
      </c>
      <c r="AA6" s="18"/>
    </row>
    <row r="7" spans="2:27" ht="20.25" x14ac:dyDescent="0.25">
      <c r="B7" s="46"/>
      <c r="C7" s="59"/>
      <c r="D7" s="70" t="s">
        <v>9</v>
      </c>
      <c r="E7" s="65"/>
      <c r="F7" s="66" t="s">
        <v>5</v>
      </c>
      <c r="G7" s="130" t="str">
        <f>UPPER(TEXT(G6,"mmmm"))</f>
        <v>ENERO</v>
      </c>
      <c r="H7" s="131"/>
      <c r="I7" s="131"/>
      <c r="J7" s="131"/>
      <c r="K7" s="131"/>
      <c r="L7" s="131"/>
      <c r="M7" s="131"/>
      <c r="N7" s="131"/>
      <c r="O7" s="131"/>
      <c r="P7" s="131"/>
      <c r="Q7" s="132"/>
      <c r="R7" s="48"/>
      <c r="U7" s="37">
        <v>4</v>
      </c>
      <c r="V7" s="31" t="s">
        <v>143</v>
      </c>
      <c r="W7" s="41">
        <v>2.5</v>
      </c>
      <c r="AA7" s="19"/>
    </row>
    <row r="8" spans="2:27" ht="23.25" customHeight="1" x14ac:dyDescent="0.25">
      <c r="B8" s="46"/>
      <c r="C8" s="59"/>
      <c r="D8" s="70" t="s">
        <v>10</v>
      </c>
      <c r="E8" s="65"/>
      <c r="F8" s="66" t="s">
        <v>5</v>
      </c>
      <c r="G8" s="130" t="str">
        <f>UPPER(TEXT(G6,"dddd"))</f>
        <v>MIÉRCOLES</v>
      </c>
      <c r="H8" s="131"/>
      <c r="I8" s="131"/>
      <c r="J8" s="131"/>
      <c r="K8" s="131"/>
      <c r="L8" s="131"/>
      <c r="M8" s="131"/>
      <c r="N8" s="131"/>
      <c r="O8" s="131"/>
      <c r="P8" s="131"/>
      <c r="Q8" s="132"/>
      <c r="R8" s="48"/>
      <c r="U8" s="37">
        <v>5</v>
      </c>
      <c r="V8" s="31" t="s">
        <v>144</v>
      </c>
      <c r="W8" s="41">
        <v>0.33</v>
      </c>
      <c r="AA8" s="18"/>
    </row>
    <row r="9" spans="2:27" ht="23.25" customHeight="1" x14ac:dyDescent="0.25">
      <c r="B9" s="46"/>
      <c r="C9" s="60"/>
      <c r="D9" s="71" t="s">
        <v>11</v>
      </c>
      <c r="E9" s="67"/>
      <c r="F9" s="68" t="s">
        <v>5</v>
      </c>
      <c r="G9" s="149" t="s">
        <v>129</v>
      </c>
      <c r="H9" s="150"/>
      <c r="I9" s="150"/>
      <c r="J9" s="150"/>
      <c r="K9" s="150"/>
      <c r="L9" s="150"/>
      <c r="M9" s="150"/>
      <c r="N9" s="150"/>
      <c r="O9" s="150"/>
      <c r="P9" s="150"/>
      <c r="Q9" s="151"/>
      <c r="R9" s="48"/>
      <c r="U9" s="37">
        <v>6</v>
      </c>
      <c r="V9" s="31" t="s">
        <v>145</v>
      </c>
      <c r="W9" s="41">
        <v>1</v>
      </c>
      <c r="AA9" s="19"/>
    </row>
    <row r="10" spans="2:27" ht="39.75" customHeight="1" x14ac:dyDescent="0.3">
      <c r="B10" s="46"/>
      <c r="C10" s="133" t="s">
        <v>12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48"/>
      <c r="U10" s="37">
        <v>7</v>
      </c>
      <c r="V10" s="31" t="s">
        <v>146</v>
      </c>
      <c r="W10" s="41">
        <v>2</v>
      </c>
      <c r="AA10" s="19"/>
    </row>
    <row r="11" spans="2:27" ht="45" customHeight="1" x14ac:dyDescent="0.25">
      <c r="B11" s="46"/>
      <c r="C11" s="47"/>
      <c r="D11" s="47"/>
      <c r="E11" s="43" t="s">
        <v>13</v>
      </c>
      <c r="F11" s="44" t="s">
        <v>14</v>
      </c>
      <c r="G11" s="34" t="s">
        <v>15</v>
      </c>
      <c r="H11" s="34" t="s">
        <v>16</v>
      </c>
      <c r="I11" s="45" t="s">
        <v>17</v>
      </c>
      <c r="J11" s="29"/>
      <c r="K11" s="43" t="s">
        <v>13</v>
      </c>
      <c r="L11" s="44" t="s">
        <v>14</v>
      </c>
      <c r="M11" s="34" t="s">
        <v>15</v>
      </c>
      <c r="N11" s="34" t="s">
        <v>16</v>
      </c>
      <c r="O11" s="45" t="s">
        <v>17</v>
      </c>
      <c r="P11" s="46"/>
      <c r="Q11" s="47"/>
      <c r="R11" s="48"/>
      <c r="U11" s="37">
        <v>8</v>
      </c>
      <c r="V11" s="31" t="s">
        <v>147</v>
      </c>
      <c r="W11" s="41">
        <v>2.5</v>
      </c>
      <c r="AA11" s="19"/>
    </row>
    <row r="12" spans="2:27" ht="39.75" customHeight="1" x14ac:dyDescent="0.25">
      <c r="B12" s="46"/>
      <c r="C12" s="47"/>
      <c r="D12" s="47"/>
      <c r="E12" s="72"/>
      <c r="F12" s="73"/>
      <c r="G12" s="74"/>
      <c r="H12" s="75"/>
      <c r="I12" s="76" t="s">
        <v>18</v>
      </c>
      <c r="J12" s="30"/>
      <c r="K12" s="72"/>
      <c r="L12" s="73"/>
      <c r="M12" s="74"/>
      <c r="N12" s="75"/>
      <c r="O12" s="76" t="s">
        <v>19</v>
      </c>
      <c r="P12" s="47"/>
      <c r="Q12" s="47"/>
      <c r="R12" s="48"/>
      <c r="U12" s="37">
        <v>9</v>
      </c>
      <c r="V12" s="31" t="s">
        <v>148</v>
      </c>
      <c r="W12" s="41">
        <v>3</v>
      </c>
      <c r="AA12" s="19"/>
    </row>
    <row r="13" spans="2:27" ht="39.75" customHeight="1" x14ac:dyDescent="0.25">
      <c r="B13" s="46"/>
      <c r="C13" s="47"/>
      <c r="D13" s="47"/>
      <c r="E13" s="72"/>
      <c r="F13" s="73"/>
      <c r="G13" s="74"/>
      <c r="H13" s="75"/>
      <c r="I13" s="76" t="s">
        <v>18</v>
      </c>
      <c r="J13" s="30"/>
      <c r="K13" s="72"/>
      <c r="L13" s="73"/>
      <c r="M13" s="74"/>
      <c r="N13" s="75"/>
      <c r="O13" s="76" t="s">
        <v>19</v>
      </c>
      <c r="P13" s="47"/>
      <c r="Q13" s="47"/>
      <c r="R13" s="48"/>
      <c r="U13" s="37">
        <v>10</v>
      </c>
      <c r="V13" s="31" t="s">
        <v>149</v>
      </c>
      <c r="W13" s="41">
        <v>0.5</v>
      </c>
      <c r="AA13" s="19"/>
    </row>
    <row r="14" spans="2:27" ht="39.75" customHeight="1" x14ac:dyDescent="0.25">
      <c r="B14" s="46"/>
      <c r="C14" s="47"/>
      <c r="D14" s="47"/>
      <c r="E14" s="72"/>
      <c r="F14" s="73"/>
      <c r="G14" s="74"/>
      <c r="H14" s="75"/>
      <c r="I14" s="76" t="s">
        <v>18</v>
      </c>
      <c r="J14" s="30"/>
      <c r="K14" s="72"/>
      <c r="L14" s="73"/>
      <c r="M14" s="74"/>
      <c r="N14" s="75"/>
      <c r="O14" s="76" t="s">
        <v>19</v>
      </c>
      <c r="P14" s="47"/>
      <c r="Q14" s="47"/>
      <c r="R14" s="48"/>
      <c r="U14" s="37">
        <v>11</v>
      </c>
      <c r="V14" s="31" t="s">
        <v>150</v>
      </c>
      <c r="W14" s="41">
        <v>4</v>
      </c>
    </row>
    <row r="15" spans="2:27" ht="39.75" customHeight="1" x14ac:dyDescent="0.25">
      <c r="B15" s="46"/>
      <c r="C15" s="47"/>
      <c r="D15" s="47"/>
      <c r="E15" s="72"/>
      <c r="F15" s="73"/>
      <c r="G15" s="74"/>
      <c r="H15" s="75"/>
      <c r="I15" s="76" t="s">
        <v>18</v>
      </c>
      <c r="J15" s="30"/>
      <c r="K15" s="72"/>
      <c r="L15" s="73"/>
      <c r="M15" s="74"/>
      <c r="N15" s="75"/>
      <c r="O15" s="76" t="s">
        <v>19</v>
      </c>
      <c r="P15" s="47"/>
      <c r="Q15" s="47"/>
      <c r="R15" s="48"/>
      <c r="U15" s="38">
        <v>12</v>
      </c>
      <c r="V15" s="39" t="s">
        <v>151</v>
      </c>
      <c r="W15" s="42">
        <v>1</v>
      </c>
    </row>
    <row r="16" spans="2:27" ht="39.75" customHeight="1" x14ac:dyDescent="0.25">
      <c r="B16" s="46"/>
      <c r="C16" s="47"/>
      <c r="D16" s="47"/>
      <c r="E16" s="72"/>
      <c r="F16" s="73"/>
      <c r="G16" s="74"/>
      <c r="H16" s="75"/>
      <c r="I16" s="76" t="s">
        <v>18</v>
      </c>
      <c r="J16" s="30"/>
      <c r="K16" s="72"/>
      <c r="L16" s="73"/>
      <c r="M16" s="74"/>
      <c r="N16" s="75"/>
      <c r="O16" s="76" t="s">
        <v>19</v>
      </c>
      <c r="P16" s="47"/>
      <c r="Q16" s="47"/>
      <c r="R16" s="48"/>
      <c r="U16"/>
      <c r="W16"/>
    </row>
    <row r="17" spans="2:23" ht="39.75" customHeight="1" x14ac:dyDescent="0.25">
      <c r="B17" s="46"/>
      <c r="C17" s="47"/>
      <c r="D17" s="47"/>
      <c r="E17" s="72"/>
      <c r="F17" s="73"/>
      <c r="G17" s="74"/>
      <c r="H17" s="75"/>
      <c r="I17" s="76" t="s">
        <v>18</v>
      </c>
      <c r="J17" s="30"/>
      <c r="K17" s="72"/>
      <c r="L17" s="73"/>
      <c r="M17" s="74"/>
      <c r="N17" s="75"/>
      <c r="O17" s="76" t="s">
        <v>19</v>
      </c>
      <c r="P17" s="47"/>
      <c r="Q17" s="47"/>
      <c r="R17" s="48"/>
      <c r="U17"/>
      <c r="W17"/>
    </row>
    <row r="18" spans="2:23" ht="39.75" customHeight="1" x14ac:dyDescent="0.25">
      <c r="B18" s="46"/>
      <c r="C18" s="47"/>
      <c r="D18" s="47"/>
      <c r="E18" s="72"/>
      <c r="F18" s="73"/>
      <c r="G18" s="74"/>
      <c r="H18" s="75"/>
      <c r="I18" s="76" t="s">
        <v>18</v>
      </c>
      <c r="J18" s="30"/>
      <c r="K18" s="72"/>
      <c r="L18" s="73"/>
      <c r="M18" s="74"/>
      <c r="N18" s="75"/>
      <c r="O18" s="76" t="s">
        <v>19</v>
      </c>
      <c r="P18" s="47"/>
      <c r="Q18" s="47"/>
      <c r="R18" s="48"/>
      <c r="U18"/>
      <c r="W18"/>
    </row>
    <row r="19" spans="2:23" ht="39.75" customHeight="1" x14ac:dyDescent="0.25">
      <c r="B19" s="46"/>
      <c r="C19" s="47"/>
      <c r="D19" s="47"/>
      <c r="E19" s="72"/>
      <c r="F19" s="73"/>
      <c r="G19" s="74"/>
      <c r="H19" s="75"/>
      <c r="I19" s="76" t="s">
        <v>18</v>
      </c>
      <c r="J19" s="30"/>
      <c r="K19" s="72"/>
      <c r="L19" s="73"/>
      <c r="M19" s="74"/>
      <c r="N19" s="75"/>
      <c r="O19" s="76" t="s">
        <v>19</v>
      </c>
      <c r="P19" s="47"/>
      <c r="Q19" s="47"/>
      <c r="R19" s="48"/>
      <c r="U19"/>
      <c r="W19"/>
    </row>
    <row r="20" spans="2:23" ht="39.75" customHeight="1" x14ac:dyDescent="0.25">
      <c r="B20" s="46"/>
      <c r="C20" s="47"/>
      <c r="D20" s="47"/>
      <c r="E20" s="72"/>
      <c r="F20" s="73"/>
      <c r="G20" s="74"/>
      <c r="H20" s="75"/>
      <c r="I20" s="76" t="s">
        <v>18</v>
      </c>
      <c r="J20" s="30"/>
      <c r="K20" s="72"/>
      <c r="L20" s="73"/>
      <c r="M20" s="74"/>
      <c r="N20" s="75"/>
      <c r="O20" s="76" t="s">
        <v>19</v>
      </c>
      <c r="P20" s="47"/>
      <c r="Q20" s="47"/>
      <c r="R20" s="48"/>
      <c r="U20"/>
      <c r="W20"/>
    </row>
    <row r="21" spans="2:23" ht="39.75" customHeight="1" x14ac:dyDescent="0.25">
      <c r="B21" s="46"/>
      <c r="C21" s="47"/>
      <c r="D21" s="47"/>
      <c r="E21" s="77"/>
      <c r="F21" s="78"/>
      <c r="G21" s="79"/>
      <c r="H21" s="80"/>
      <c r="I21" s="81" t="s">
        <v>18</v>
      </c>
      <c r="J21" s="30"/>
      <c r="K21" s="77"/>
      <c r="L21" s="78"/>
      <c r="M21" s="79"/>
      <c r="N21" s="80"/>
      <c r="O21" s="81" t="s">
        <v>19</v>
      </c>
      <c r="P21" s="47"/>
      <c r="Q21" s="47"/>
      <c r="R21" s="48"/>
      <c r="U21"/>
      <c r="W21"/>
    </row>
    <row r="22" spans="2:23" ht="39.75" customHeight="1" x14ac:dyDescent="0.25"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8"/>
      <c r="U22"/>
      <c r="W22"/>
    </row>
    <row r="23" spans="2:23" ht="45" customHeight="1" x14ac:dyDescent="0.25">
      <c r="B23" s="46"/>
      <c r="C23" s="47"/>
      <c r="D23" s="47"/>
      <c r="E23" s="43" t="s">
        <v>13</v>
      </c>
      <c r="F23" s="44" t="s">
        <v>14</v>
      </c>
      <c r="G23" s="34" t="s">
        <v>15</v>
      </c>
      <c r="H23" s="34" t="s">
        <v>16</v>
      </c>
      <c r="I23" s="45" t="s">
        <v>17</v>
      </c>
      <c r="J23" s="29"/>
      <c r="K23" s="43" t="s">
        <v>13</v>
      </c>
      <c r="L23" s="44" t="s">
        <v>14</v>
      </c>
      <c r="M23" s="34" t="s">
        <v>15</v>
      </c>
      <c r="N23" s="34" t="s">
        <v>16</v>
      </c>
      <c r="O23" s="45" t="s">
        <v>17</v>
      </c>
      <c r="P23" s="47"/>
      <c r="Q23" s="47"/>
      <c r="R23" s="48"/>
      <c r="U23"/>
      <c r="W23"/>
    </row>
    <row r="24" spans="2:23" ht="39.75" customHeight="1" x14ac:dyDescent="0.25">
      <c r="B24" s="46"/>
      <c r="C24" s="47"/>
      <c r="D24" s="47"/>
      <c r="E24" s="72"/>
      <c r="F24" s="73"/>
      <c r="G24" s="74"/>
      <c r="H24" s="75"/>
      <c r="I24" s="76" t="s">
        <v>20</v>
      </c>
      <c r="J24" s="30"/>
      <c r="K24" s="72"/>
      <c r="L24" s="73"/>
      <c r="M24" s="74"/>
      <c r="N24" s="75"/>
      <c r="O24" s="76" t="s">
        <v>21</v>
      </c>
      <c r="P24" s="47"/>
      <c r="Q24" s="47"/>
      <c r="R24" s="48"/>
    </row>
    <row r="25" spans="2:23" ht="39.75" customHeight="1" x14ac:dyDescent="0.25">
      <c r="B25" s="46"/>
      <c r="C25" s="47"/>
      <c r="D25" s="47"/>
      <c r="E25" s="72"/>
      <c r="F25" s="73"/>
      <c r="G25" s="74"/>
      <c r="H25" s="75"/>
      <c r="I25" s="76" t="s">
        <v>20</v>
      </c>
      <c r="J25" s="30"/>
      <c r="K25" s="72"/>
      <c r="L25" s="73"/>
      <c r="M25" s="74"/>
      <c r="N25" s="75"/>
      <c r="O25" s="76" t="s">
        <v>21</v>
      </c>
      <c r="P25" s="47"/>
      <c r="Q25" s="47"/>
      <c r="R25" s="48"/>
    </row>
    <row r="26" spans="2:23" ht="39.75" customHeight="1" x14ac:dyDescent="0.25">
      <c r="B26" s="46"/>
      <c r="C26" s="47"/>
      <c r="D26" s="47"/>
      <c r="E26" s="72"/>
      <c r="F26" s="73"/>
      <c r="G26" s="74"/>
      <c r="H26" s="75"/>
      <c r="I26" s="76" t="s">
        <v>20</v>
      </c>
      <c r="J26" s="30"/>
      <c r="K26" s="72"/>
      <c r="L26" s="73"/>
      <c r="M26" s="74"/>
      <c r="N26" s="75"/>
      <c r="O26" s="76" t="s">
        <v>21</v>
      </c>
      <c r="P26" s="47"/>
      <c r="Q26" s="47"/>
      <c r="R26" s="48"/>
    </row>
    <row r="27" spans="2:23" ht="39.75" customHeight="1" x14ac:dyDescent="0.25">
      <c r="B27" s="46"/>
      <c r="C27" s="47"/>
      <c r="D27" s="47"/>
      <c r="E27" s="72"/>
      <c r="F27" s="73"/>
      <c r="G27" s="74"/>
      <c r="H27" s="75"/>
      <c r="I27" s="76" t="s">
        <v>20</v>
      </c>
      <c r="J27" s="30"/>
      <c r="K27" s="72"/>
      <c r="L27" s="73"/>
      <c r="M27" s="74"/>
      <c r="N27" s="75"/>
      <c r="O27" s="76" t="s">
        <v>21</v>
      </c>
      <c r="P27" s="47"/>
      <c r="Q27" s="47"/>
      <c r="R27" s="48"/>
    </row>
    <row r="28" spans="2:23" ht="39.75" customHeight="1" x14ac:dyDescent="0.25">
      <c r="B28" s="46"/>
      <c r="C28" s="47"/>
      <c r="D28" s="47"/>
      <c r="E28" s="72"/>
      <c r="F28" s="73"/>
      <c r="G28" s="74"/>
      <c r="H28" s="75"/>
      <c r="I28" s="76" t="s">
        <v>20</v>
      </c>
      <c r="J28" s="30"/>
      <c r="K28" s="72"/>
      <c r="L28" s="73"/>
      <c r="M28" s="74"/>
      <c r="N28" s="75"/>
      <c r="O28" s="76" t="s">
        <v>21</v>
      </c>
      <c r="P28" s="47"/>
      <c r="Q28" s="47"/>
      <c r="R28" s="48"/>
    </row>
    <row r="29" spans="2:23" ht="39.75" customHeight="1" x14ac:dyDescent="0.25">
      <c r="B29" s="46"/>
      <c r="C29" s="47"/>
      <c r="D29" s="47"/>
      <c r="E29" s="72"/>
      <c r="F29" s="73"/>
      <c r="G29" s="74"/>
      <c r="H29" s="75"/>
      <c r="I29" s="76" t="s">
        <v>20</v>
      </c>
      <c r="J29" s="30"/>
      <c r="K29" s="72"/>
      <c r="L29" s="73"/>
      <c r="M29" s="74"/>
      <c r="N29" s="75"/>
      <c r="O29" s="76" t="s">
        <v>21</v>
      </c>
      <c r="P29" s="47"/>
      <c r="Q29" s="47"/>
      <c r="R29" s="48"/>
    </row>
    <row r="30" spans="2:23" ht="39.75" customHeight="1" x14ac:dyDescent="0.25">
      <c r="B30" s="46"/>
      <c r="C30" s="47"/>
      <c r="D30" s="47"/>
      <c r="E30" s="72"/>
      <c r="F30" s="73"/>
      <c r="G30" s="74"/>
      <c r="H30" s="75"/>
      <c r="I30" s="76" t="s">
        <v>20</v>
      </c>
      <c r="J30" s="30"/>
      <c r="K30" s="72"/>
      <c r="L30" s="73"/>
      <c r="M30" s="74"/>
      <c r="N30" s="75"/>
      <c r="O30" s="76" t="s">
        <v>21</v>
      </c>
      <c r="P30" s="47"/>
      <c r="Q30" s="47"/>
      <c r="R30" s="48"/>
    </row>
    <row r="31" spans="2:23" ht="39.75" customHeight="1" x14ac:dyDescent="0.25">
      <c r="B31" s="46"/>
      <c r="C31" s="47"/>
      <c r="D31" s="47"/>
      <c r="E31" s="72"/>
      <c r="F31" s="73"/>
      <c r="G31" s="74"/>
      <c r="H31" s="75"/>
      <c r="I31" s="76" t="s">
        <v>20</v>
      </c>
      <c r="J31" s="30"/>
      <c r="K31" s="72"/>
      <c r="L31" s="73"/>
      <c r="M31" s="74"/>
      <c r="N31" s="75"/>
      <c r="O31" s="76" t="s">
        <v>21</v>
      </c>
      <c r="P31" s="47"/>
      <c r="Q31" s="47"/>
      <c r="R31" s="48"/>
    </row>
    <row r="32" spans="2:23" ht="39.75" customHeight="1" x14ac:dyDescent="0.25">
      <c r="B32" s="46"/>
      <c r="C32" s="47"/>
      <c r="D32" s="47"/>
      <c r="E32" s="72"/>
      <c r="F32" s="73"/>
      <c r="G32" s="74"/>
      <c r="H32" s="75"/>
      <c r="I32" s="76" t="s">
        <v>20</v>
      </c>
      <c r="J32" s="30"/>
      <c r="K32" s="72"/>
      <c r="L32" s="73"/>
      <c r="M32" s="74"/>
      <c r="N32" s="75"/>
      <c r="O32" s="76" t="s">
        <v>21</v>
      </c>
      <c r="P32" s="47"/>
      <c r="Q32" s="47"/>
      <c r="R32" s="48"/>
    </row>
    <row r="33" spans="2:18" ht="39.75" customHeight="1" x14ac:dyDescent="0.25">
      <c r="B33" s="46"/>
      <c r="C33" s="47"/>
      <c r="D33" s="47"/>
      <c r="E33" s="77"/>
      <c r="F33" s="78"/>
      <c r="G33" s="79"/>
      <c r="H33" s="80"/>
      <c r="I33" s="81" t="s">
        <v>20</v>
      </c>
      <c r="J33" s="30"/>
      <c r="K33" s="77"/>
      <c r="L33" s="78"/>
      <c r="M33" s="79"/>
      <c r="N33" s="80"/>
      <c r="O33" s="81" t="s">
        <v>21</v>
      </c>
      <c r="P33" s="47"/>
      <c r="Q33" s="47"/>
      <c r="R33" s="48"/>
    </row>
    <row r="34" spans="2:18" ht="39.75" customHeight="1" x14ac:dyDescent="0.25"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1"/>
    </row>
  </sheetData>
  <mergeCells count="9">
    <mergeCell ref="G8:Q8"/>
    <mergeCell ref="C10:Q10"/>
    <mergeCell ref="G7:Q7"/>
    <mergeCell ref="G4:I4"/>
    <mergeCell ref="B2:R3"/>
    <mergeCell ref="G5:Q5"/>
    <mergeCell ref="G6:Q6"/>
    <mergeCell ref="K4:O4"/>
    <mergeCell ref="G9:Q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20DC-65F7-45E4-AE80-0B1367375E01}">
  <dimension ref="A1:BA89"/>
  <sheetViews>
    <sheetView topLeftCell="A44" zoomScale="70" zoomScaleNormal="70" workbookViewId="0"/>
  </sheetViews>
  <sheetFormatPr baseColWidth="10" defaultRowHeight="15" x14ac:dyDescent="0.25"/>
  <cols>
    <col min="1" max="1" width="11.42578125" style="47" customWidth="1"/>
    <col min="2" max="3" width="11.42578125" style="47"/>
    <col min="4" max="4" width="4.140625" hidden="1" customWidth="1"/>
    <col min="5" max="5" width="14.85546875" customWidth="1"/>
    <col min="6" max="45" width="6.7109375" customWidth="1"/>
    <col min="46" max="47" width="7.28515625" style="47" customWidth="1"/>
    <col min="48" max="49" width="14.85546875" customWidth="1"/>
    <col min="53" max="53" width="14.42578125" bestFit="1" customWidth="1"/>
  </cols>
  <sheetData>
    <row r="1" spans="5:53" s="47" customFormat="1" ht="15.75" thickBot="1" x14ac:dyDescent="0.3"/>
    <row r="2" spans="5:53" s="47" customFormat="1" ht="36.75" thickBot="1" x14ac:dyDescent="0.6">
      <c r="E2" s="183" t="s">
        <v>154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</row>
    <row r="3" spans="5:53" s="47" customFormat="1" ht="15.75" thickBot="1" x14ac:dyDescent="0.3">
      <c r="AZ3" s="126" t="s">
        <v>163</v>
      </c>
    </row>
    <row r="4" spans="5:53" s="47" customFormat="1" x14ac:dyDescent="0.25">
      <c r="E4" s="104" t="s">
        <v>158</v>
      </c>
      <c r="F4" s="186" t="str">
        <f>Inicio!G5</f>
        <v/>
      </c>
      <c r="G4" s="186"/>
      <c r="H4" s="186"/>
      <c r="I4" s="186"/>
      <c r="J4" s="186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87" t="s">
        <v>159</v>
      </c>
      <c r="AR4" s="187"/>
      <c r="AS4" s="186" t="str">
        <f>Inicio!G9</f>
        <v/>
      </c>
      <c r="AT4" s="186"/>
      <c r="AU4" s="188"/>
      <c r="AZ4" s="47" t="s">
        <v>164</v>
      </c>
      <c r="BA4" s="47">
        <f ca="1">_xlfn.LET(
_xlpm.rango, INDIRECT("N!EJ" &amp; $BA$8 &amp; ":EJ" &amp; BA9),
MATCH(MAX(_xlpm.rango),_xlpm.rango,0)
)</f>
        <v>1</v>
      </c>
    </row>
    <row r="5" spans="5:53" s="47" customFormat="1" x14ac:dyDescent="0.25">
      <c r="E5" s="106" t="s">
        <v>157</v>
      </c>
      <c r="F5" s="189">
        <f>Inicio!G6</f>
        <v>45658</v>
      </c>
      <c r="G5" s="177"/>
      <c r="H5" s="177"/>
      <c r="I5" s="177"/>
      <c r="J5" s="177"/>
      <c r="AQ5" s="178" t="s">
        <v>160</v>
      </c>
      <c r="AR5" s="178"/>
      <c r="AS5" s="177" t="s">
        <v>121</v>
      </c>
      <c r="AT5" s="177"/>
      <c r="AU5" s="179"/>
      <c r="AZ5" s="47" t="s">
        <v>165</v>
      </c>
      <c r="BA5" s="90">
        <f ca="1">TIME(0,15,0)*BA4+TIME((BA8-9)/4,0,0)</f>
        <v>1.0416666666666666E-2</v>
      </c>
    </row>
    <row r="6" spans="5:53" s="47" customFormat="1" x14ac:dyDescent="0.25">
      <c r="E6" s="106" t="s">
        <v>156</v>
      </c>
      <c r="F6" s="177" t="str">
        <f>Inicio!G8</f>
        <v>MIÉRCOLES</v>
      </c>
      <c r="G6" s="177"/>
      <c r="H6" s="177"/>
      <c r="I6" s="177"/>
      <c r="J6" s="177"/>
      <c r="AQ6" s="178" t="s">
        <v>161</v>
      </c>
      <c r="AR6" s="178"/>
      <c r="AS6" s="177" t="e">
        <f ca="1">BA7</f>
        <v>#VALUE!</v>
      </c>
      <c r="AT6" s="177"/>
      <c r="AU6" s="179"/>
      <c r="AZ6" s="47" t="s">
        <v>167</v>
      </c>
      <c r="BA6" s="125">
        <f ca="1">TIME(0,15,0)*(BA4-4)+TIME((BA8-9)/4,0,0)</f>
        <v>-3.125E-2</v>
      </c>
    </row>
    <row r="7" spans="5:53" s="47" customFormat="1" ht="15.75" thickBot="1" x14ac:dyDescent="0.3">
      <c r="E7" s="107" t="s">
        <v>155</v>
      </c>
      <c r="F7" s="180"/>
      <c r="G7" s="180"/>
      <c r="H7" s="180"/>
      <c r="I7" s="180"/>
      <c r="J7" s="18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81" t="s">
        <v>162</v>
      </c>
      <c r="AR7" s="181"/>
      <c r="AS7" s="180"/>
      <c r="AT7" s="180"/>
      <c r="AU7" s="182"/>
      <c r="AZ7" s="47" t="s">
        <v>166</v>
      </c>
      <c r="BA7" s="103" t="e">
        <f ca="1">TEXT(BA6, "[hh]:mm") &amp; " - " &amp; TEXT(BA5, "[hh]:mm")</f>
        <v>#VALUE!</v>
      </c>
    </row>
    <row r="8" spans="5:53" s="47" customFormat="1" ht="15.75" thickBot="1" x14ac:dyDescent="0.3">
      <c r="AV8" s="89"/>
      <c r="AZ8" s="47" t="s">
        <v>170</v>
      </c>
      <c r="BA8" s="47">
        <v>9</v>
      </c>
    </row>
    <row r="9" spans="5:53" s="47" customFormat="1" x14ac:dyDescent="0.25">
      <c r="E9" s="155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7"/>
      <c r="AV9" s="89"/>
      <c r="AZ9" s="47" t="s">
        <v>171</v>
      </c>
      <c r="BA9" s="47">
        <v>32</v>
      </c>
    </row>
    <row r="10" spans="5:53" s="47" customFormat="1" x14ac:dyDescent="0.25"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60"/>
      <c r="AV10" s="89"/>
    </row>
    <row r="11" spans="5:53" s="47" customFormat="1" x14ac:dyDescent="0.25">
      <c r="E11" s="158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60"/>
      <c r="AV11" s="89"/>
    </row>
    <row r="12" spans="5:53" s="47" customFormat="1" x14ac:dyDescent="0.25">
      <c r="E12" s="158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60"/>
      <c r="AV12" s="89"/>
    </row>
    <row r="13" spans="5:53" s="47" customFormat="1" x14ac:dyDescent="0.25">
      <c r="E13" s="158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60"/>
      <c r="AV13" s="89"/>
    </row>
    <row r="14" spans="5:53" s="47" customFormat="1" x14ac:dyDescent="0.25">
      <c r="E14" s="158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60"/>
      <c r="AV14" s="89"/>
      <c r="AX14" s="129"/>
    </row>
    <row r="15" spans="5:53" s="47" customFormat="1" x14ac:dyDescent="0.25">
      <c r="E15" s="158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60"/>
      <c r="AV15" s="89"/>
    </row>
    <row r="16" spans="5:53" s="47" customFormat="1" x14ac:dyDescent="0.25">
      <c r="E16" s="158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60"/>
      <c r="AV16" s="89"/>
    </row>
    <row r="17" spans="5:48" s="47" customFormat="1" x14ac:dyDescent="0.25">
      <c r="E17" s="158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60"/>
      <c r="AV17" s="89"/>
    </row>
    <row r="18" spans="5:48" s="47" customFormat="1" x14ac:dyDescent="0.25">
      <c r="E18" s="158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60"/>
      <c r="AV18" s="89"/>
    </row>
    <row r="19" spans="5:48" s="47" customFormat="1" x14ac:dyDescent="0.25">
      <c r="E19" s="158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60"/>
      <c r="AV19" s="89"/>
    </row>
    <row r="20" spans="5:48" s="47" customFormat="1" x14ac:dyDescent="0.25">
      <c r="E20" s="158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60"/>
      <c r="AV20" s="89"/>
    </row>
    <row r="21" spans="5:48" s="47" customFormat="1" x14ac:dyDescent="0.25">
      <c r="E21" s="158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60"/>
      <c r="AV21" s="89"/>
    </row>
    <row r="22" spans="5:48" s="47" customFormat="1" x14ac:dyDescent="0.25">
      <c r="E22" s="158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60"/>
      <c r="AV22" s="89"/>
    </row>
    <row r="23" spans="5:48" s="47" customFormat="1" x14ac:dyDescent="0.25">
      <c r="E23" s="158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60"/>
      <c r="AV23" s="89"/>
    </row>
    <row r="24" spans="5:48" s="47" customFormat="1" x14ac:dyDescent="0.25"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60"/>
      <c r="AV24" s="89"/>
    </row>
    <row r="25" spans="5:48" s="47" customFormat="1" x14ac:dyDescent="0.25"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60"/>
      <c r="AV25" s="89"/>
    </row>
    <row r="26" spans="5:48" s="47" customFormat="1" x14ac:dyDescent="0.25"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60"/>
      <c r="AV26" s="89"/>
    </row>
    <row r="27" spans="5:48" s="47" customFormat="1" x14ac:dyDescent="0.25"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60"/>
      <c r="AV27" s="89"/>
    </row>
    <row r="28" spans="5:48" s="47" customFormat="1" x14ac:dyDescent="0.25"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60"/>
      <c r="AV28" s="89"/>
    </row>
    <row r="29" spans="5:48" s="47" customFormat="1" x14ac:dyDescent="0.25"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60"/>
      <c r="AV29" s="89"/>
    </row>
    <row r="30" spans="5:48" s="47" customFormat="1" x14ac:dyDescent="0.25"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60"/>
      <c r="AV30" s="89"/>
    </row>
    <row r="31" spans="5:48" s="47" customFormat="1" x14ac:dyDescent="0.25"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60"/>
      <c r="AV31" s="89"/>
    </row>
    <row r="32" spans="5:48" s="47" customFormat="1" x14ac:dyDescent="0.25">
      <c r="E32" s="158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60"/>
      <c r="AV32" s="89"/>
    </row>
    <row r="33" spans="5:48" s="47" customFormat="1" x14ac:dyDescent="0.25">
      <c r="E33" s="158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60"/>
      <c r="AV33" s="89"/>
    </row>
    <row r="34" spans="5:48" s="47" customFormat="1" x14ac:dyDescent="0.25">
      <c r="E34" s="158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60"/>
      <c r="AV34" s="89"/>
    </row>
    <row r="35" spans="5:48" s="47" customFormat="1" x14ac:dyDescent="0.25">
      <c r="E35" s="158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60"/>
      <c r="AV35" s="89"/>
    </row>
    <row r="36" spans="5:48" s="47" customFormat="1" x14ac:dyDescent="0.25">
      <c r="E36" s="158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60"/>
      <c r="AV36" s="89"/>
    </row>
    <row r="37" spans="5:48" s="47" customFormat="1" x14ac:dyDescent="0.25">
      <c r="E37" s="158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60"/>
      <c r="AV37" s="89"/>
    </row>
    <row r="38" spans="5:48" s="47" customFormat="1" x14ac:dyDescent="0.25">
      <c r="E38" s="158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60"/>
      <c r="AV38" s="89"/>
    </row>
    <row r="39" spans="5:48" s="47" customFormat="1" x14ac:dyDescent="0.25">
      <c r="E39" s="158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60"/>
      <c r="AV39" s="89"/>
    </row>
    <row r="40" spans="5:48" s="47" customFormat="1" x14ac:dyDescent="0.25">
      <c r="E40" s="158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60"/>
      <c r="AV40" s="89"/>
    </row>
    <row r="41" spans="5:48" s="47" customFormat="1" x14ac:dyDescent="0.25">
      <c r="E41" s="158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60"/>
      <c r="AV41" s="89"/>
    </row>
    <row r="42" spans="5:48" s="47" customFormat="1" x14ac:dyDescent="0.25">
      <c r="E42" s="158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60"/>
      <c r="AV42" s="89"/>
    </row>
    <row r="43" spans="5:48" s="47" customFormat="1" x14ac:dyDescent="0.25">
      <c r="E43" s="158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60"/>
      <c r="AV43" s="89"/>
    </row>
    <row r="44" spans="5:48" s="47" customFormat="1" x14ac:dyDescent="0.25">
      <c r="E44" s="158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60"/>
      <c r="AV44" s="89"/>
    </row>
    <row r="45" spans="5:48" s="47" customFormat="1" x14ac:dyDescent="0.25">
      <c r="E45" s="158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60"/>
      <c r="AV45" s="89"/>
    </row>
    <row r="46" spans="5:48" s="47" customFormat="1" x14ac:dyDescent="0.25">
      <c r="E46" s="158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60"/>
      <c r="AV46" s="89"/>
    </row>
    <row r="47" spans="5:48" s="47" customFormat="1" x14ac:dyDescent="0.25">
      <c r="E47" s="158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60"/>
      <c r="AV47" s="89"/>
    </row>
    <row r="48" spans="5:48" s="47" customFormat="1" x14ac:dyDescent="0.25">
      <c r="E48" s="158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60"/>
      <c r="AV48" s="89"/>
    </row>
    <row r="49" spans="5:48" s="47" customFormat="1" x14ac:dyDescent="0.25">
      <c r="E49" s="158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60"/>
      <c r="AV49" s="89"/>
    </row>
    <row r="50" spans="5:48" s="47" customFormat="1" x14ac:dyDescent="0.25">
      <c r="E50" s="158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60"/>
      <c r="AV50" s="89"/>
    </row>
    <row r="51" spans="5:48" s="47" customFormat="1" x14ac:dyDescent="0.25">
      <c r="E51" s="158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60"/>
      <c r="AV51" s="89"/>
    </row>
    <row r="52" spans="5:48" s="47" customFormat="1" x14ac:dyDescent="0.25">
      <c r="E52" s="158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60"/>
      <c r="AV52" s="89"/>
    </row>
    <row r="53" spans="5:48" s="47" customFormat="1" x14ac:dyDescent="0.25">
      <c r="E53" s="158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60"/>
      <c r="AV53" s="89"/>
    </row>
    <row r="54" spans="5:48" s="47" customFormat="1" x14ac:dyDescent="0.25">
      <c r="E54" s="158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60"/>
      <c r="AV54" s="89"/>
    </row>
    <row r="55" spans="5:48" s="47" customFormat="1" x14ac:dyDescent="0.25">
      <c r="E55" s="158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60"/>
      <c r="AV55" s="89"/>
    </row>
    <row r="56" spans="5:48" s="47" customFormat="1" x14ac:dyDescent="0.25">
      <c r="E56" s="158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60"/>
      <c r="AV56" s="89"/>
    </row>
    <row r="57" spans="5:48" s="47" customFormat="1" x14ac:dyDescent="0.25">
      <c r="E57" s="158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60"/>
      <c r="AV57" s="89"/>
    </row>
    <row r="58" spans="5:48" s="47" customFormat="1" x14ac:dyDescent="0.25">
      <c r="E58" s="158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60"/>
    </row>
    <row r="59" spans="5:48" s="47" customFormat="1" x14ac:dyDescent="0.25">
      <c r="E59" s="158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60"/>
    </row>
    <row r="60" spans="5:48" s="47" customFormat="1" x14ac:dyDescent="0.25">
      <c r="E60" s="158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60"/>
    </row>
    <row r="61" spans="5:48" s="47" customFormat="1" x14ac:dyDescent="0.25">
      <c r="E61" s="158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60"/>
    </row>
    <row r="62" spans="5:48" s="47" customFormat="1" x14ac:dyDescent="0.25">
      <c r="E62" s="158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60"/>
    </row>
    <row r="63" spans="5:48" s="47" customFormat="1" x14ac:dyDescent="0.25">
      <c r="E63" s="158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60"/>
    </row>
    <row r="64" spans="5:48" s="47" customFormat="1" x14ac:dyDescent="0.25">
      <c r="E64" s="158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60"/>
    </row>
    <row r="65" spans="4:47" s="47" customFormat="1" x14ac:dyDescent="0.25">
      <c r="E65" s="158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60"/>
    </row>
    <row r="66" spans="4:47" x14ac:dyDescent="0.25">
      <c r="E66" s="158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60"/>
    </row>
    <row r="67" spans="4:47" x14ac:dyDescent="0.25">
      <c r="E67" s="158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60"/>
    </row>
    <row r="68" spans="4:47" ht="15.75" thickBot="1" x14ac:dyDescent="0.3">
      <c r="E68" s="161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3"/>
    </row>
    <row r="69" spans="4:47" s="47" customFormat="1" ht="15.75" thickBot="1" x14ac:dyDescent="0.3"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</row>
    <row r="70" spans="4:47" s="47" customFormat="1" ht="30" customHeight="1" thickBot="1" x14ac:dyDescent="0.3">
      <c r="E70" s="164" t="s">
        <v>169</v>
      </c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6"/>
    </row>
    <row r="71" spans="4:47" ht="15.75" thickBot="1" x14ac:dyDescent="0.3"/>
    <row r="72" spans="4:47" ht="15.75" hidden="1" thickBot="1" x14ac:dyDescent="0.3">
      <c r="F72" s="17">
        <v>1</v>
      </c>
      <c r="G72" s="17">
        <v>2</v>
      </c>
      <c r="H72" s="17">
        <v>3</v>
      </c>
      <c r="I72" s="17">
        <v>4</v>
      </c>
      <c r="J72" s="17">
        <v>5</v>
      </c>
      <c r="K72" s="17">
        <v>6</v>
      </c>
      <c r="L72" s="17">
        <v>7</v>
      </c>
      <c r="M72" s="17">
        <v>8</v>
      </c>
      <c r="N72" s="17">
        <v>9</v>
      </c>
      <c r="O72" s="17">
        <v>10</v>
      </c>
      <c r="P72" s="17">
        <v>1</v>
      </c>
      <c r="Q72" s="17">
        <v>2</v>
      </c>
      <c r="R72" s="17">
        <v>3</v>
      </c>
      <c r="S72" s="17">
        <v>4</v>
      </c>
      <c r="T72" s="17">
        <v>5</v>
      </c>
      <c r="U72" s="17">
        <v>6</v>
      </c>
      <c r="V72" s="17">
        <v>7</v>
      </c>
      <c r="W72" s="17">
        <v>8</v>
      </c>
      <c r="X72" s="17">
        <v>9</v>
      </c>
      <c r="Y72" s="17">
        <v>10</v>
      </c>
      <c r="Z72" s="17">
        <v>1</v>
      </c>
      <c r="AA72" s="17">
        <v>2</v>
      </c>
      <c r="AB72" s="17">
        <v>3</v>
      </c>
      <c r="AC72" s="17">
        <v>4</v>
      </c>
      <c r="AD72" s="17">
        <v>5</v>
      </c>
      <c r="AE72" s="17">
        <v>6</v>
      </c>
      <c r="AF72" s="17">
        <v>7</v>
      </c>
      <c r="AG72" s="17">
        <v>8</v>
      </c>
      <c r="AH72" s="17">
        <v>9</v>
      </c>
      <c r="AI72" s="17">
        <v>10</v>
      </c>
      <c r="AJ72" s="17">
        <v>1</v>
      </c>
      <c r="AK72" s="17">
        <v>2</v>
      </c>
      <c r="AL72" s="17">
        <v>3</v>
      </c>
      <c r="AM72" s="17">
        <v>4</v>
      </c>
      <c r="AN72" s="17">
        <v>5</v>
      </c>
      <c r="AO72" s="17">
        <v>6</v>
      </c>
      <c r="AP72" s="17">
        <v>7</v>
      </c>
      <c r="AQ72" s="17">
        <v>8</v>
      </c>
      <c r="AR72" s="17">
        <v>9</v>
      </c>
      <c r="AS72" s="17">
        <v>10</v>
      </c>
      <c r="AT72" s="88"/>
      <c r="AU72" s="88"/>
    </row>
    <row r="73" spans="4:47" ht="21.75" customHeight="1" x14ac:dyDescent="0.25">
      <c r="E73" s="167" t="s">
        <v>152</v>
      </c>
      <c r="F73" s="169">
        <f>Inicio!$H$12</f>
        <v>0</v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>
        <f>Inicio!$H$12</f>
        <v>0</v>
      </c>
      <c r="Q73" s="169"/>
      <c r="R73" s="169"/>
      <c r="S73" s="169"/>
      <c r="T73" s="169"/>
      <c r="U73" s="169"/>
      <c r="V73" s="169"/>
      <c r="W73" s="169"/>
      <c r="X73" s="169"/>
      <c r="Y73" s="169"/>
      <c r="Z73" s="169">
        <f>Inicio!$H$12</f>
        <v>0</v>
      </c>
      <c r="AA73" s="169"/>
      <c r="AB73" s="169"/>
      <c r="AC73" s="169"/>
      <c r="AD73" s="169"/>
      <c r="AE73" s="169"/>
      <c r="AF73" s="169"/>
      <c r="AG73" s="169"/>
      <c r="AH73" s="169"/>
      <c r="AI73" s="169"/>
      <c r="AJ73" s="169">
        <f>Inicio!$H$12</f>
        <v>0</v>
      </c>
      <c r="AK73" s="169"/>
      <c r="AL73" s="169"/>
      <c r="AM73" s="169"/>
      <c r="AN73" s="169"/>
      <c r="AO73" s="169"/>
      <c r="AP73" s="169"/>
      <c r="AQ73" s="169"/>
      <c r="AR73" s="169"/>
      <c r="AS73" s="170"/>
      <c r="AT73" s="171" t="s">
        <v>153</v>
      </c>
      <c r="AU73" s="174" t="s">
        <v>168</v>
      </c>
    </row>
    <row r="74" spans="4:47" ht="15" customHeight="1" x14ac:dyDescent="0.25">
      <c r="E74" s="168"/>
      <c r="F74" s="153" t="s">
        <v>18</v>
      </c>
      <c r="G74" s="153"/>
      <c r="H74" s="153"/>
      <c r="I74" s="153"/>
      <c r="J74" s="153"/>
      <c r="K74" s="153"/>
      <c r="L74" s="153"/>
      <c r="M74" s="153"/>
      <c r="N74" s="153"/>
      <c r="O74" s="153"/>
      <c r="P74" s="152" t="s">
        <v>19</v>
      </c>
      <c r="Q74" s="152"/>
      <c r="R74" s="152"/>
      <c r="S74" s="152"/>
      <c r="T74" s="152"/>
      <c r="U74" s="152"/>
      <c r="V74" s="152"/>
      <c r="W74" s="152"/>
      <c r="X74" s="152"/>
      <c r="Y74" s="152"/>
      <c r="Z74" s="153" t="s">
        <v>20</v>
      </c>
      <c r="AA74" s="153"/>
      <c r="AB74" s="153"/>
      <c r="AC74" s="153"/>
      <c r="AD74" s="153"/>
      <c r="AE74" s="153"/>
      <c r="AF74" s="153"/>
      <c r="AG74" s="153"/>
      <c r="AH74" s="153"/>
      <c r="AI74" s="153"/>
      <c r="AJ74" s="152" t="s">
        <v>21</v>
      </c>
      <c r="AK74" s="152"/>
      <c r="AL74" s="152"/>
      <c r="AM74" s="152"/>
      <c r="AN74" s="152"/>
      <c r="AO74" s="152"/>
      <c r="AP74" s="152"/>
      <c r="AQ74" s="152"/>
      <c r="AR74" s="152"/>
      <c r="AS74" s="154"/>
      <c r="AT74" s="172"/>
      <c r="AU74" s="175"/>
    </row>
    <row r="75" spans="4:47" x14ac:dyDescent="0.25">
      <c r="D75">
        <v>0</v>
      </c>
      <c r="E75" s="168"/>
      <c r="F75" s="102">
        <f>Inicio!$G$12</f>
        <v>0</v>
      </c>
      <c r="G75" s="102">
        <f>Inicio!$G$13</f>
        <v>0</v>
      </c>
      <c r="H75" s="102">
        <f>Inicio!$G$14</f>
        <v>0</v>
      </c>
      <c r="I75" s="102">
        <f>Inicio!$G$15</f>
        <v>0</v>
      </c>
      <c r="J75" s="102">
        <f>Inicio!$G$16</f>
        <v>0</v>
      </c>
      <c r="K75" s="102">
        <f>Inicio!$G$17</f>
        <v>0</v>
      </c>
      <c r="L75" s="102">
        <f>Inicio!$G$18</f>
        <v>0</v>
      </c>
      <c r="M75" s="102">
        <f>Inicio!$G$19</f>
        <v>0</v>
      </c>
      <c r="N75" s="102">
        <f>Inicio!$G$20</f>
        <v>0</v>
      </c>
      <c r="O75" s="102">
        <f>Inicio!$G$21</f>
        <v>0</v>
      </c>
      <c r="P75" s="91">
        <f>Inicio!$M$12</f>
        <v>0</v>
      </c>
      <c r="Q75" s="91">
        <f>Inicio!$M$13</f>
        <v>0</v>
      </c>
      <c r="R75" s="91">
        <f>Inicio!$M$14</f>
        <v>0</v>
      </c>
      <c r="S75" s="91">
        <f>Inicio!$M$15</f>
        <v>0</v>
      </c>
      <c r="T75" s="91">
        <f>Inicio!$M$16</f>
        <v>0</v>
      </c>
      <c r="U75" s="91">
        <f>Inicio!$M$17</f>
        <v>0</v>
      </c>
      <c r="V75" s="91">
        <f>Inicio!$M$18</f>
        <v>0</v>
      </c>
      <c r="W75" s="91">
        <f>Inicio!$M$19</f>
        <v>0</v>
      </c>
      <c r="X75" s="91">
        <f>Inicio!$M$20</f>
        <v>0</v>
      </c>
      <c r="Y75" s="91">
        <f>Inicio!$M$21</f>
        <v>0</v>
      </c>
      <c r="Z75" s="102">
        <f>Inicio!$G$24</f>
        <v>0</v>
      </c>
      <c r="AA75" s="102">
        <f>Inicio!$G$25</f>
        <v>0</v>
      </c>
      <c r="AB75" s="102">
        <f>Inicio!$G$26</f>
        <v>0</v>
      </c>
      <c r="AC75" s="102">
        <f>Inicio!$G$27</f>
        <v>0</v>
      </c>
      <c r="AD75" s="102">
        <f>Inicio!$G$28</f>
        <v>0</v>
      </c>
      <c r="AE75" s="102">
        <f>Inicio!$G$29</f>
        <v>0</v>
      </c>
      <c r="AF75" s="102">
        <f>Inicio!$G$30</f>
        <v>0</v>
      </c>
      <c r="AG75" s="102">
        <f>Inicio!$G$31</f>
        <v>0</v>
      </c>
      <c r="AH75" s="102">
        <f>Inicio!$G$32</f>
        <v>0</v>
      </c>
      <c r="AI75" s="102">
        <f>Inicio!$G$33</f>
        <v>0</v>
      </c>
      <c r="AJ75" s="91">
        <f>Inicio!$M$24</f>
        <v>0</v>
      </c>
      <c r="AK75" s="91">
        <f>Inicio!$M$25</f>
        <v>0</v>
      </c>
      <c r="AL75" s="91">
        <f>Inicio!$M$26</f>
        <v>0</v>
      </c>
      <c r="AM75" s="91">
        <f>Inicio!$M$27</f>
        <v>0</v>
      </c>
      <c r="AN75" s="91">
        <f>Inicio!$M$28</f>
        <v>0</v>
      </c>
      <c r="AO75" s="91">
        <f>Inicio!$M$29</f>
        <v>0</v>
      </c>
      <c r="AP75" s="91">
        <f>Inicio!$M$30</f>
        <v>0</v>
      </c>
      <c r="AQ75" s="91">
        <f>Inicio!$M$31</f>
        <v>0</v>
      </c>
      <c r="AR75" s="91">
        <f>Inicio!$M$32</f>
        <v>0</v>
      </c>
      <c r="AS75" s="109">
        <f>Inicio!$M$33</f>
        <v>0</v>
      </c>
      <c r="AT75" s="173"/>
      <c r="AU75" s="176"/>
    </row>
    <row r="76" spans="4:47" x14ac:dyDescent="0.25">
      <c r="D76">
        <v>1</v>
      </c>
      <c r="E76" s="110" t="str">
        <f>Inicio!V4</f>
        <v>Auto</v>
      </c>
      <c r="F76" s="99" t="e" cm="1" vm="1">
        <f t="array" aca="1" ref="F76" ca="1">_xlfn.LET(
_xlpm.rango, INDIRECT("N!$C$" &amp; $BA$8 &amp; ":$DR$" &amp; $BA$9),
_xlpm.col, F$72+$D75*10,
INDEX(_xlpm.rango,$BA$4-3,_xlpm.col) +
INDEX(_xlpm.rango,$BA$4-2,_xlpm.col) +
INDEX(_xlpm.rango,$BA$4-1,_xlpm.col) +
INDEX(_xlpm.rango,$BA$4, _xlpm.col)
)</f>
        <v>#VALUE!</v>
      </c>
      <c r="G76" s="93" t="e" cm="1" vm="1">
        <f t="array" aca="1" ref="G76" ca="1">_xlfn.LET(
_xlpm.rango, INDIRECT("N!$C$" &amp; $BA$8 &amp; ":$DR$" &amp; $BA$9),
_xlpm.col, G$72+$D75*10,
INDEX(_xlpm.rango,$BA$4-3,_xlpm.col) +
INDEX(_xlpm.rango,$BA$4-2,_xlpm.col) +
INDEX(_xlpm.rango,$BA$4-1,_xlpm.col) +
INDEX(_xlpm.rango,$BA$4, _xlpm.col)
)</f>
        <v>#VALUE!</v>
      </c>
      <c r="H76" s="93" t="e" cm="1" vm="1">
        <f t="array" aca="1" ref="H76" ca="1">_xlfn.LET(
_xlpm.rango, INDIRECT("N!$C$" &amp; $BA$8 &amp; ":$DR$" &amp; $BA$9),
_xlpm.col, H$72+$D75*10,
INDEX(_xlpm.rango,$BA$4-3,_xlpm.col) +
INDEX(_xlpm.rango,$BA$4-2,_xlpm.col) +
INDEX(_xlpm.rango,$BA$4-1,_xlpm.col) +
INDEX(_xlpm.rango,$BA$4, _xlpm.col)
)</f>
        <v>#VALUE!</v>
      </c>
      <c r="I76" s="93" t="e" cm="1" vm="1">
        <f t="array" aca="1" ref="I76" ca="1">_xlfn.LET(
_xlpm.rango, INDIRECT("N!$C$" &amp; $BA$8 &amp; ":$DR$" &amp; $BA$9),
_xlpm.col, I$72+$D75*10,
INDEX(_xlpm.rango,$BA$4-3,_xlpm.col) +
INDEX(_xlpm.rango,$BA$4-2,_xlpm.col) +
INDEX(_xlpm.rango,$BA$4-1,_xlpm.col) +
INDEX(_xlpm.rango,$BA$4, _xlpm.col)
)</f>
        <v>#VALUE!</v>
      </c>
      <c r="J76" s="93" t="e" cm="1" vm="1">
        <f t="array" aca="1" ref="J76" ca="1">_xlfn.LET(
_xlpm.rango, INDIRECT("N!$C$" &amp; $BA$8 &amp; ":$DR$" &amp; $BA$9),
_xlpm.col, J$72+$D75*10,
INDEX(_xlpm.rango,$BA$4-3,_xlpm.col) +
INDEX(_xlpm.rango,$BA$4-2,_xlpm.col) +
INDEX(_xlpm.rango,$BA$4-1,_xlpm.col) +
INDEX(_xlpm.rango,$BA$4, _xlpm.col)
)</f>
        <v>#VALUE!</v>
      </c>
      <c r="K76" s="93" t="e" cm="1" vm="1">
        <f t="array" aca="1" ref="K76" ca="1">_xlfn.LET(
_xlpm.rango, INDIRECT("N!$C$" &amp; $BA$8 &amp; ":$DR$" &amp; $BA$9),
_xlpm.col, K$72+$D75*10,
INDEX(_xlpm.rango,$BA$4-3,_xlpm.col) +
INDEX(_xlpm.rango,$BA$4-2,_xlpm.col) +
INDEX(_xlpm.rango,$BA$4-1,_xlpm.col) +
INDEX(_xlpm.rango,$BA$4, _xlpm.col)
)</f>
        <v>#VALUE!</v>
      </c>
      <c r="L76" s="93" t="e" cm="1" vm="1">
        <f t="array" aca="1" ref="L76" ca="1">_xlfn.LET(
_xlpm.rango, INDIRECT("N!$C$" &amp; $BA$8 &amp; ":$DR$" &amp; $BA$9),
_xlpm.col, L$72+$D75*10,
INDEX(_xlpm.rango,$BA$4-3,_xlpm.col) +
INDEX(_xlpm.rango,$BA$4-2,_xlpm.col) +
INDEX(_xlpm.rango,$BA$4-1,_xlpm.col) +
INDEX(_xlpm.rango,$BA$4, _xlpm.col)
)</f>
        <v>#VALUE!</v>
      </c>
      <c r="M76" s="93" t="e" cm="1" vm="1">
        <f t="array" aca="1" ref="M76" ca="1">_xlfn.LET(
_xlpm.rango, INDIRECT("N!$C$" &amp; $BA$8 &amp; ":$DR$" &amp; $BA$9),
_xlpm.col, M$72+$D75*10,
INDEX(_xlpm.rango,$BA$4-3,_xlpm.col) +
INDEX(_xlpm.rango,$BA$4-2,_xlpm.col) +
INDEX(_xlpm.rango,$BA$4-1,_xlpm.col) +
INDEX(_xlpm.rango,$BA$4, _xlpm.col)
)</f>
        <v>#VALUE!</v>
      </c>
      <c r="N76" s="93" t="e" cm="1" vm="1">
        <f t="array" aca="1" ref="N76" ca="1">_xlfn.LET(
_xlpm.rango, INDIRECT("N!$C$" &amp; $BA$8 &amp; ":$DR$" &amp; $BA$9),
_xlpm.col, N$72+$D75*10,
INDEX(_xlpm.rango,$BA$4-3,_xlpm.col) +
INDEX(_xlpm.rango,$BA$4-2,_xlpm.col) +
INDEX(_xlpm.rango,$BA$4-1,_xlpm.col) +
INDEX(_xlpm.rango,$BA$4, _xlpm.col)
)</f>
        <v>#VALUE!</v>
      </c>
      <c r="O76" s="94" t="e" cm="1" vm="1">
        <f t="array" aca="1" ref="O76" ca="1">_xlfn.LET(
_xlpm.rango, INDIRECT("N!$C$" &amp; $BA$8 &amp; ":$DR$" &amp; $BA$9),
_xlpm.col, O$72+$D75*10,
INDEX(_xlpm.rango,$BA$4-3,_xlpm.col) +
INDEX(_xlpm.rango,$BA$4-2,_xlpm.col) +
INDEX(_xlpm.rango,$BA$4-1,_xlpm.col) +
INDEX(_xlpm.rango,$BA$4, _xlpm.col)
)</f>
        <v>#VALUE!</v>
      </c>
      <c r="P76" s="93" t="e" cm="1" vm="1">
        <f t="array" aca="1" ref="P76" ca="1">_xlfn.LET(
_xlpm.rango, INDIRECT("S!$C$" &amp; $BA$8 &amp; ":$DR$" &amp; $BA$9),
_xlpm.col, P$72+$D75*10,
INDEX(_xlpm.rango,$BA$4-3,_xlpm.col) +
INDEX(_xlpm.rango,$BA$4-2,_xlpm.col) +
INDEX(_xlpm.rango,$BA$4-1,_xlpm.col) +
INDEX(_xlpm.rango,$BA$4, _xlpm.col)
)</f>
        <v>#VALUE!</v>
      </c>
      <c r="Q76" s="93" t="e" cm="1" vm="1">
        <f t="array" aca="1" ref="Q76" ca="1">_xlfn.LET(
_xlpm.rango, INDIRECT("S!$C$" &amp; $BA$8 &amp; ":$DR$" &amp; $BA$9),
_xlpm.col, Q$72+$D75*10,
INDEX(_xlpm.rango,$BA$4-3,_xlpm.col) +
INDEX(_xlpm.rango,$BA$4-2,_xlpm.col) +
INDEX(_xlpm.rango,$BA$4-1,_xlpm.col) +
INDEX(_xlpm.rango,$BA$4, _xlpm.col)
)</f>
        <v>#VALUE!</v>
      </c>
      <c r="R76" s="93" t="e" cm="1" vm="1">
        <f t="array" aca="1" ref="R76" ca="1">_xlfn.LET(
_xlpm.rango, INDIRECT("S!$C$" &amp; $BA$8 &amp; ":$DR$" &amp; $BA$9),
_xlpm.col, R$72+$D75*10,
INDEX(_xlpm.rango,$BA$4-3,_xlpm.col) +
INDEX(_xlpm.rango,$BA$4-2,_xlpm.col) +
INDEX(_xlpm.rango,$BA$4-1,_xlpm.col) +
INDEX(_xlpm.rango,$BA$4, _xlpm.col)
)</f>
        <v>#VALUE!</v>
      </c>
      <c r="S76" s="93" t="e" cm="1" vm="1">
        <f t="array" aca="1" ref="S76" ca="1">_xlfn.LET(
_xlpm.rango, INDIRECT("S!$C$" &amp; $BA$8 &amp; ":$DR$" &amp; $BA$9),
_xlpm.col, S$72+$D75*10,
INDEX(_xlpm.rango,$BA$4-3,_xlpm.col) +
INDEX(_xlpm.rango,$BA$4-2,_xlpm.col) +
INDEX(_xlpm.rango,$BA$4-1,_xlpm.col) +
INDEX(_xlpm.rango,$BA$4, _xlpm.col)
)</f>
        <v>#VALUE!</v>
      </c>
      <c r="T76" s="93" t="e" cm="1" vm="1">
        <f t="array" aca="1" ref="T76" ca="1">_xlfn.LET(
_xlpm.rango, INDIRECT("S!$C$" &amp; $BA$8 &amp; ":$DR$" &amp; $BA$9),
_xlpm.col, T$72+$D75*10,
INDEX(_xlpm.rango,$BA$4-3,_xlpm.col) +
INDEX(_xlpm.rango,$BA$4-2,_xlpm.col) +
INDEX(_xlpm.rango,$BA$4-1,_xlpm.col) +
INDEX(_xlpm.rango,$BA$4, _xlpm.col)
)</f>
        <v>#VALUE!</v>
      </c>
      <c r="U76" s="93" t="e" cm="1" vm="1">
        <f t="array" aca="1" ref="U76" ca="1">_xlfn.LET(
_xlpm.rango, INDIRECT("S!$C$" &amp; $BA$8 &amp; ":$DR$" &amp; $BA$9),
_xlpm.col, U$72+$D75*10,
INDEX(_xlpm.rango,$BA$4-3,_xlpm.col) +
INDEX(_xlpm.rango,$BA$4-2,_xlpm.col) +
INDEX(_xlpm.rango,$BA$4-1,_xlpm.col) +
INDEX(_xlpm.rango,$BA$4, _xlpm.col)
)</f>
        <v>#VALUE!</v>
      </c>
      <c r="V76" s="93" t="e" cm="1" vm="1">
        <f t="array" aca="1" ref="V76" ca="1">_xlfn.LET(
_xlpm.rango, INDIRECT("S!$C$" &amp; $BA$8 &amp; ":$DR$" &amp; $BA$9),
_xlpm.col, V$72+$D75*10,
INDEX(_xlpm.rango,$BA$4-3,_xlpm.col) +
INDEX(_xlpm.rango,$BA$4-2,_xlpm.col) +
INDEX(_xlpm.rango,$BA$4-1,_xlpm.col) +
INDEX(_xlpm.rango,$BA$4, _xlpm.col)
)</f>
        <v>#VALUE!</v>
      </c>
      <c r="W76" s="93" t="e" cm="1" vm="1">
        <f t="array" aca="1" ref="W76" ca="1">_xlfn.LET(
_xlpm.rango, INDIRECT("S!$C$" &amp; $BA$8 &amp; ":$DR$" &amp; $BA$9),
_xlpm.col, W$72+$D75*10,
INDEX(_xlpm.rango,$BA$4-3,_xlpm.col) +
INDEX(_xlpm.rango,$BA$4-2,_xlpm.col) +
INDEX(_xlpm.rango,$BA$4-1,_xlpm.col) +
INDEX(_xlpm.rango,$BA$4, _xlpm.col)
)</f>
        <v>#VALUE!</v>
      </c>
      <c r="X76" s="93" t="e" cm="1" vm="1">
        <f t="array" aca="1" ref="X76" ca="1">_xlfn.LET(
_xlpm.rango, INDIRECT("S!$C$" &amp; $BA$8 &amp; ":$DR$" &amp; $BA$9),
_xlpm.col, X$72+$D75*10,
INDEX(_xlpm.rango,$BA$4-3,_xlpm.col) +
INDEX(_xlpm.rango,$BA$4-2,_xlpm.col) +
INDEX(_xlpm.rango,$BA$4-1,_xlpm.col) +
INDEX(_xlpm.rango,$BA$4, _xlpm.col)
)</f>
        <v>#VALUE!</v>
      </c>
      <c r="Y76" s="93" t="e" cm="1" vm="1">
        <f t="array" aca="1" ref="Y76" ca="1">_xlfn.LET(
_xlpm.rango, INDIRECT("S!$C$" &amp; $BA$8 &amp; ":$DR$" &amp; $BA$9),
_xlpm.col, Y$72+$D75*10,
INDEX(_xlpm.rango,$BA$4-3,_xlpm.col) +
INDEX(_xlpm.rango,$BA$4-2,_xlpm.col) +
INDEX(_xlpm.rango,$BA$4-1,_xlpm.col) +
INDEX(_xlpm.rango,$BA$4, _xlpm.col)
)</f>
        <v>#VALUE!</v>
      </c>
      <c r="Z76" s="99" t="e" cm="1" vm="1">
        <f t="array" aca="1" ref="Z76" ca="1">_xlfn.LET(
_xlpm.rango, INDIRECT("E!$C$" &amp; $BA$8 &amp; ":$DR$" &amp; $BA$9),
_xlpm.col, Z$72+$D75*10,
INDEX(_xlpm.rango,$BA$4-3,_xlpm.col) +
INDEX(_xlpm.rango,$BA$4-2,_xlpm.col) +
INDEX(_xlpm.rango,$BA$4-1,_xlpm.col) +
INDEX(_xlpm.rango,$BA$4, _xlpm.col)
)</f>
        <v>#VALUE!</v>
      </c>
      <c r="AA76" s="93" t="e" cm="1" vm="1">
        <f t="array" aca="1" ref="AA76" ca="1">_xlfn.LET(
_xlpm.rango, INDIRECT("E!$C$" &amp; $BA$8 &amp; ":$DR$" &amp; $BA$9),
_xlpm.col, AA$72+$D75*10,
INDEX(_xlpm.rango,$BA$4-3,_xlpm.col) +
INDEX(_xlpm.rango,$BA$4-2,_xlpm.col) +
INDEX(_xlpm.rango,$BA$4-1,_xlpm.col) +
INDEX(_xlpm.rango,$BA$4, _xlpm.col)
)</f>
        <v>#VALUE!</v>
      </c>
      <c r="AB76" s="93" t="e" cm="1" vm="1">
        <f t="array" aca="1" ref="AB76" ca="1">_xlfn.LET(
_xlpm.rango, INDIRECT("E!$C$" &amp; $BA$8 &amp; ":$DR$" &amp; $BA$9),
_xlpm.col, AB$72+$D75*10,
INDEX(_xlpm.rango,$BA$4-3,_xlpm.col) +
INDEX(_xlpm.rango,$BA$4-2,_xlpm.col) +
INDEX(_xlpm.rango,$BA$4-1,_xlpm.col) +
INDEX(_xlpm.rango,$BA$4, _xlpm.col)
)</f>
        <v>#VALUE!</v>
      </c>
      <c r="AC76" s="93" t="e" cm="1" vm="1">
        <f t="array" aca="1" ref="AC76" ca="1">_xlfn.LET(
_xlpm.rango, INDIRECT("E!$C$" &amp; $BA$8 &amp; ":$DR$" &amp; $BA$9),
_xlpm.col, AC$72+$D75*10,
INDEX(_xlpm.rango,$BA$4-3,_xlpm.col) +
INDEX(_xlpm.rango,$BA$4-2,_xlpm.col) +
INDEX(_xlpm.rango,$BA$4-1,_xlpm.col) +
INDEX(_xlpm.rango,$BA$4, _xlpm.col)
)</f>
        <v>#VALUE!</v>
      </c>
      <c r="AD76" s="93" t="e" cm="1" vm="1">
        <f t="array" aca="1" ref="AD76" ca="1">_xlfn.LET(
_xlpm.rango, INDIRECT("E!$C$" &amp; $BA$8 &amp; ":$DR$" &amp; $BA$9),
_xlpm.col, AD$72+$D75*10,
INDEX(_xlpm.rango,$BA$4-3,_xlpm.col) +
INDEX(_xlpm.rango,$BA$4-2,_xlpm.col) +
INDEX(_xlpm.rango,$BA$4-1,_xlpm.col) +
INDEX(_xlpm.rango,$BA$4, _xlpm.col)
)</f>
        <v>#VALUE!</v>
      </c>
      <c r="AE76" s="93" t="e" cm="1" vm="1">
        <f t="array" aca="1" ref="AE76" ca="1">_xlfn.LET(
_xlpm.rango, INDIRECT("E!$C$" &amp; $BA$8 &amp; ":$DR$" &amp; $BA$9),
_xlpm.col, AE$72+$D75*10,
INDEX(_xlpm.rango,$BA$4-3,_xlpm.col) +
INDEX(_xlpm.rango,$BA$4-2,_xlpm.col) +
INDEX(_xlpm.rango,$BA$4-1,_xlpm.col) +
INDEX(_xlpm.rango,$BA$4, _xlpm.col)
)</f>
        <v>#VALUE!</v>
      </c>
      <c r="AF76" s="93" t="e" cm="1" vm="1">
        <f t="array" aca="1" ref="AF76" ca="1">_xlfn.LET(
_xlpm.rango, INDIRECT("E!$C$" &amp; $BA$8 &amp; ":$DR$" &amp; $BA$9),
_xlpm.col, AF$72+$D75*10,
INDEX(_xlpm.rango,$BA$4-3,_xlpm.col) +
INDEX(_xlpm.rango,$BA$4-2,_xlpm.col) +
INDEX(_xlpm.rango,$BA$4-1,_xlpm.col) +
INDEX(_xlpm.rango,$BA$4, _xlpm.col)
)</f>
        <v>#VALUE!</v>
      </c>
      <c r="AG76" s="93" t="e" cm="1" vm="1">
        <f t="array" aca="1" ref="AG76" ca="1">_xlfn.LET(
_xlpm.rango, INDIRECT("E!$C$" &amp; $BA$8 &amp; ":$DR$" &amp; $BA$9),
_xlpm.col, AG$72+$D75*10,
INDEX(_xlpm.rango,$BA$4-3,_xlpm.col) +
INDEX(_xlpm.rango,$BA$4-2,_xlpm.col) +
INDEX(_xlpm.rango,$BA$4-1,_xlpm.col) +
INDEX(_xlpm.rango,$BA$4, _xlpm.col)
)</f>
        <v>#VALUE!</v>
      </c>
      <c r="AH76" s="93" t="e" cm="1" vm="1">
        <f t="array" aca="1" ref="AH76" ca="1">_xlfn.LET(
_xlpm.rango, INDIRECT("E!$C$" &amp; $BA$8 &amp; ":$DR$" &amp; $BA$9),
_xlpm.col, AH$72+$D75*10,
INDEX(_xlpm.rango,$BA$4-3,_xlpm.col) +
INDEX(_xlpm.rango,$BA$4-2,_xlpm.col) +
INDEX(_xlpm.rango,$BA$4-1,_xlpm.col) +
INDEX(_xlpm.rango,$BA$4, _xlpm.col)
)</f>
        <v>#VALUE!</v>
      </c>
      <c r="AI76" s="94" t="e" cm="1" vm="1">
        <f t="array" aca="1" ref="AI76" ca="1">_xlfn.LET(
_xlpm.rango, INDIRECT("E!$C$" &amp; $BA$8 &amp; ":$DR$" &amp; $BA$9),
_xlpm.col, AI$72+$D75*10,
INDEX(_xlpm.rango,$BA$4-3,_xlpm.col) +
INDEX(_xlpm.rango,$BA$4-2,_xlpm.col) +
INDEX(_xlpm.rango,$BA$4-1,_xlpm.col) +
INDEX(_xlpm.rango,$BA$4, _xlpm.col)
)</f>
        <v>#VALUE!</v>
      </c>
      <c r="AJ76" s="99" t="e" cm="1" vm="1">
        <f t="array" aca="1" ref="AJ76" ca="1">_xlfn.LET(
_xlpm.rango, INDIRECT("E!$C$" &amp; $BA$8 &amp; ":$DR$" &amp; $BA$9),
_xlpm.col, AJ$72+$D75*10,
INDEX(_xlpm.rango,$BA$4-3,_xlpm.col) +
INDEX(_xlpm.rango,$BA$4-2,_xlpm.col) +
INDEX(_xlpm.rango,$BA$4-1,_xlpm.col) +
INDEX(_xlpm.rango,$BA$4, _xlpm.col)
)</f>
        <v>#VALUE!</v>
      </c>
      <c r="AK76" s="93" t="e" cm="1" vm="1">
        <f t="array" aca="1" ref="AK76" ca="1">_xlfn.LET(
_xlpm.rango, INDIRECT("E!$C$" &amp; $BA$8 &amp; ":$DR$" &amp; $BA$9),
_xlpm.col, AK$72+$D75*10,
INDEX(_xlpm.rango,$BA$4-3,_xlpm.col) +
INDEX(_xlpm.rango,$BA$4-2,_xlpm.col) +
INDEX(_xlpm.rango,$BA$4-1,_xlpm.col) +
INDEX(_xlpm.rango,$BA$4, _xlpm.col)
)</f>
        <v>#VALUE!</v>
      </c>
      <c r="AL76" s="93" t="e" cm="1" vm="1">
        <f t="array" aca="1" ref="AL76" ca="1">_xlfn.LET(
_xlpm.rango, INDIRECT("E!$C$" &amp; $BA$8 &amp; ":$DR$" &amp; $BA$9),
_xlpm.col, AL$72+$D75*10,
INDEX(_xlpm.rango,$BA$4-3,_xlpm.col) +
INDEX(_xlpm.rango,$BA$4-2,_xlpm.col) +
INDEX(_xlpm.rango,$BA$4-1,_xlpm.col) +
INDEX(_xlpm.rango,$BA$4, _xlpm.col)
)</f>
        <v>#VALUE!</v>
      </c>
      <c r="AM76" s="93" t="e" cm="1" vm="1">
        <f t="array" aca="1" ref="AM76" ca="1">_xlfn.LET(
_xlpm.rango, INDIRECT("E!$C$" &amp; $BA$8 &amp; ":$DR$" &amp; $BA$9),
_xlpm.col, AM$72+$D75*10,
INDEX(_xlpm.rango,$BA$4-3,_xlpm.col) +
INDEX(_xlpm.rango,$BA$4-2,_xlpm.col) +
INDEX(_xlpm.rango,$BA$4-1,_xlpm.col) +
INDEX(_xlpm.rango,$BA$4, _xlpm.col)
)</f>
        <v>#VALUE!</v>
      </c>
      <c r="AN76" s="93" t="e" cm="1" vm="1">
        <f t="array" aca="1" ref="AN76" ca="1">_xlfn.LET(
_xlpm.rango, INDIRECT("E!$C$" &amp; $BA$8 &amp; ":$DR$" &amp; $BA$9),
_xlpm.col, AN$72+$D75*10,
INDEX(_xlpm.rango,$BA$4-3,_xlpm.col) +
INDEX(_xlpm.rango,$BA$4-2,_xlpm.col) +
INDEX(_xlpm.rango,$BA$4-1,_xlpm.col) +
INDEX(_xlpm.rango,$BA$4, _xlpm.col)
)</f>
        <v>#VALUE!</v>
      </c>
      <c r="AO76" s="93" t="e" cm="1" vm="1">
        <f t="array" aca="1" ref="AO76" ca="1">_xlfn.LET(
_xlpm.rango, INDIRECT("E!$C$" &amp; $BA$8 &amp; ":$DR$" &amp; $BA$9),
_xlpm.col, AO$72+$D75*10,
INDEX(_xlpm.rango,$BA$4-3,_xlpm.col) +
INDEX(_xlpm.rango,$BA$4-2,_xlpm.col) +
INDEX(_xlpm.rango,$BA$4-1,_xlpm.col) +
INDEX(_xlpm.rango,$BA$4, _xlpm.col)
)</f>
        <v>#VALUE!</v>
      </c>
      <c r="AP76" s="93" t="e" cm="1" vm="1">
        <f t="array" aca="1" ref="AP76" ca="1">_xlfn.LET(
_xlpm.rango, INDIRECT("E!$C$" &amp; $BA$8 &amp; ":$DR$" &amp; $BA$9),
_xlpm.col, AP$72+$D75*10,
INDEX(_xlpm.rango,$BA$4-3,_xlpm.col) +
INDEX(_xlpm.rango,$BA$4-2,_xlpm.col) +
INDEX(_xlpm.rango,$BA$4-1,_xlpm.col) +
INDEX(_xlpm.rango,$BA$4, _xlpm.col)
)</f>
        <v>#VALUE!</v>
      </c>
      <c r="AQ76" s="93" t="e" cm="1" vm="1">
        <f t="array" aca="1" ref="AQ76" ca="1">_xlfn.LET(
_xlpm.rango, INDIRECT("E!$C$" &amp; $BA$8 &amp; ":$DR$" &amp; $BA$9),
_xlpm.col, AQ$72+$D75*10,
INDEX(_xlpm.rango,$BA$4-3,_xlpm.col) +
INDEX(_xlpm.rango,$BA$4-2,_xlpm.col) +
INDEX(_xlpm.rango,$BA$4-1,_xlpm.col) +
INDEX(_xlpm.rango,$BA$4, _xlpm.col)
)</f>
        <v>#VALUE!</v>
      </c>
      <c r="AR76" s="93" t="e" cm="1" vm="1">
        <f t="array" aca="1" ref="AR76" ca="1">_xlfn.LET(
_xlpm.rango, INDIRECT("E!$C$" &amp; $BA$8 &amp; ":$DR$" &amp; $BA$9),
_xlpm.col, AR$72+$D75*10,
INDEX(_xlpm.rango,$BA$4-3,_xlpm.col) +
INDEX(_xlpm.rango,$BA$4-2,_xlpm.col) +
INDEX(_xlpm.rango,$BA$4-1,_xlpm.col) +
INDEX(_xlpm.rango,$BA$4, _xlpm.col)
)</f>
        <v>#VALUE!</v>
      </c>
      <c r="AS76" s="111" t="e" cm="1" vm="1">
        <f t="array" aca="1" ref="AS76" ca="1">_xlfn.LET(
_xlpm.rango, INDIRECT("E!$C$" &amp; $BA$8 &amp; ":$DR$" &amp; $BA$9),
_xlpm.col, AS$72+$D75*10,
INDEX(_xlpm.rango,$BA$4-3,_xlpm.col) +
INDEX(_xlpm.rango,$BA$4-2,_xlpm.col) +
INDEX(_xlpm.rango,$BA$4-1,_xlpm.col) +
INDEX(_xlpm.rango,$BA$4, _xlpm.col)
)</f>
        <v>#VALUE!</v>
      </c>
      <c r="AT76" s="118" t="e" vm="2">
        <f ca="1">SUM(F76:AS76)</f>
        <v>#VALUE!</v>
      </c>
      <c r="AU76" s="119" t="e" vm="2">
        <f ca="1">AT76/$AT$88</f>
        <v>#VALUE!</v>
      </c>
    </row>
    <row r="77" spans="4:47" x14ac:dyDescent="0.25">
      <c r="D77">
        <v>2</v>
      </c>
      <c r="E77" s="106" t="str">
        <f>Inicio!V5</f>
        <v>Moto</v>
      </c>
      <c r="F77" s="100" t="e" cm="1" vm="1">
        <f t="array" aca="1" ref="F77" ca="1">_xlfn.LET(
_xlpm.rango, INDIRECT("N!$C$" &amp; $BA$8 &amp; ":$DR$" &amp; $BA$9),
_xlpm.col, F$72+$D76*10,
INDEX(_xlpm.rango,$BA$4-3,_xlpm.col) +
INDEX(_xlpm.rango,$BA$4-2,_xlpm.col) +
INDEX(_xlpm.rango,$BA$4-1,_xlpm.col) +
INDEX(_xlpm.rango,$BA$4, _xlpm.col)
)</f>
        <v>#VALUE!</v>
      </c>
      <c r="G77" s="95" t="e" cm="1" vm="1">
        <f t="array" aca="1" ref="G77" ca="1">_xlfn.LET(
_xlpm.rango, INDIRECT("N!$C$" &amp; $BA$8 &amp; ":$DR$" &amp; $BA$9),
_xlpm.col, G$72+$D76*10,
INDEX(_xlpm.rango,$BA$4-3,_xlpm.col) +
INDEX(_xlpm.rango,$BA$4-2,_xlpm.col) +
INDEX(_xlpm.rango,$BA$4-1,_xlpm.col) +
INDEX(_xlpm.rango,$BA$4, _xlpm.col)
)</f>
        <v>#VALUE!</v>
      </c>
      <c r="H77" s="95" t="e" cm="1" vm="1">
        <f t="array" aca="1" ref="H77" ca="1">_xlfn.LET(
_xlpm.rango, INDIRECT("N!$C$" &amp; $BA$8 &amp; ":$DR$" &amp; $BA$9),
_xlpm.col, H$72+$D76*10,
INDEX(_xlpm.rango,$BA$4-3,_xlpm.col) +
INDEX(_xlpm.rango,$BA$4-2,_xlpm.col) +
INDEX(_xlpm.rango,$BA$4-1,_xlpm.col) +
INDEX(_xlpm.rango,$BA$4, _xlpm.col)
)</f>
        <v>#VALUE!</v>
      </c>
      <c r="I77" s="95" t="e" cm="1" vm="1">
        <f t="array" aca="1" ref="I77" ca="1">_xlfn.LET(
_xlpm.rango, INDIRECT("N!$C$" &amp; $BA$8 &amp; ":$DR$" &amp; $BA$9),
_xlpm.col, I$72+$D76*10,
INDEX(_xlpm.rango,$BA$4-3,_xlpm.col) +
INDEX(_xlpm.rango,$BA$4-2,_xlpm.col) +
INDEX(_xlpm.rango,$BA$4-1,_xlpm.col) +
INDEX(_xlpm.rango,$BA$4, _xlpm.col)
)</f>
        <v>#VALUE!</v>
      </c>
      <c r="J77" s="95" t="e" cm="1" vm="1">
        <f t="array" aca="1" ref="J77" ca="1">_xlfn.LET(
_xlpm.rango, INDIRECT("N!$C$" &amp; $BA$8 &amp; ":$DR$" &amp; $BA$9),
_xlpm.col, J$72+$D76*10,
INDEX(_xlpm.rango,$BA$4-3,_xlpm.col) +
INDEX(_xlpm.rango,$BA$4-2,_xlpm.col) +
INDEX(_xlpm.rango,$BA$4-1,_xlpm.col) +
INDEX(_xlpm.rango,$BA$4, _xlpm.col)
)</f>
        <v>#VALUE!</v>
      </c>
      <c r="K77" s="95" t="e" cm="1" vm="1">
        <f t="array" aca="1" ref="K77" ca="1">_xlfn.LET(
_xlpm.rango, INDIRECT("N!$C$" &amp; $BA$8 &amp; ":$DR$" &amp; $BA$9),
_xlpm.col, K$72+$D76*10,
INDEX(_xlpm.rango,$BA$4-3,_xlpm.col) +
INDEX(_xlpm.rango,$BA$4-2,_xlpm.col) +
INDEX(_xlpm.rango,$BA$4-1,_xlpm.col) +
INDEX(_xlpm.rango,$BA$4, _xlpm.col)
)</f>
        <v>#VALUE!</v>
      </c>
      <c r="L77" s="95" t="e" cm="1" vm="1">
        <f t="array" aca="1" ref="L77" ca="1">_xlfn.LET(
_xlpm.rango, INDIRECT("N!$C$" &amp; $BA$8 &amp; ":$DR$" &amp; $BA$9),
_xlpm.col, L$72+$D76*10,
INDEX(_xlpm.rango,$BA$4-3,_xlpm.col) +
INDEX(_xlpm.rango,$BA$4-2,_xlpm.col) +
INDEX(_xlpm.rango,$BA$4-1,_xlpm.col) +
INDEX(_xlpm.rango,$BA$4, _xlpm.col)
)</f>
        <v>#VALUE!</v>
      </c>
      <c r="M77" s="95" t="e" cm="1" vm="1">
        <f t="array" aca="1" ref="M77" ca="1">_xlfn.LET(
_xlpm.rango, INDIRECT("N!$C$" &amp; $BA$8 &amp; ":$DR$" &amp; $BA$9),
_xlpm.col, M$72+$D76*10,
INDEX(_xlpm.rango,$BA$4-3,_xlpm.col) +
INDEX(_xlpm.rango,$BA$4-2,_xlpm.col) +
INDEX(_xlpm.rango,$BA$4-1,_xlpm.col) +
INDEX(_xlpm.rango,$BA$4, _xlpm.col)
)</f>
        <v>#VALUE!</v>
      </c>
      <c r="N77" s="95" t="e" cm="1" vm="1">
        <f t="array" aca="1" ref="N77" ca="1">_xlfn.LET(
_xlpm.rango, INDIRECT("N!$C$" &amp; $BA$8 &amp; ":$DR$" &amp; $BA$9),
_xlpm.col, N$72+$D76*10,
INDEX(_xlpm.rango,$BA$4-3,_xlpm.col) +
INDEX(_xlpm.rango,$BA$4-2,_xlpm.col) +
INDEX(_xlpm.rango,$BA$4-1,_xlpm.col) +
INDEX(_xlpm.rango,$BA$4, _xlpm.col)
)</f>
        <v>#VALUE!</v>
      </c>
      <c r="O77" s="96" t="e" cm="1" vm="1">
        <f t="array" aca="1" ref="O77" ca="1">_xlfn.LET(
_xlpm.rango, INDIRECT("N!$C$" &amp; $BA$8 &amp; ":$DR$" &amp; $BA$9),
_xlpm.col, O$72+$D76*10,
INDEX(_xlpm.rango,$BA$4-3,_xlpm.col) +
INDEX(_xlpm.rango,$BA$4-2,_xlpm.col) +
INDEX(_xlpm.rango,$BA$4-1,_xlpm.col) +
INDEX(_xlpm.rango,$BA$4, _xlpm.col)
)</f>
        <v>#VALUE!</v>
      </c>
      <c r="P77" s="95" t="e" cm="1" vm="1">
        <f t="array" aca="1" ref="P77" ca="1">_xlfn.LET(
_xlpm.rango, INDIRECT("S!$C$" &amp; $BA$8 &amp; ":$DR$" &amp; $BA$9),
_xlpm.col, P$72+$D76*10,
INDEX(_xlpm.rango,$BA$4-3,_xlpm.col) +
INDEX(_xlpm.rango,$BA$4-2,_xlpm.col) +
INDEX(_xlpm.rango,$BA$4-1,_xlpm.col) +
INDEX(_xlpm.rango,$BA$4, _xlpm.col)
)</f>
        <v>#VALUE!</v>
      </c>
      <c r="Q77" s="95" t="e" cm="1" vm="1">
        <f t="array" aca="1" ref="Q77" ca="1">_xlfn.LET(
_xlpm.rango, INDIRECT("S!$C$" &amp; $BA$8 &amp; ":$DR$" &amp; $BA$9),
_xlpm.col, Q$72+$D76*10,
INDEX(_xlpm.rango,$BA$4-3,_xlpm.col) +
INDEX(_xlpm.rango,$BA$4-2,_xlpm.col) +
INDEX(_xlpm.rango,$BA$4-1,_xlpm.col) +
INDEX(_xlpm.rango,$BA$4, _xlpm.col)
)</f>
        <v>#VALUE!</v>
      </c>
      <c r="R77" s="95" t="e" cm="1" vm="1">
        <f t="array" aca="1" ref="R77" ca="1">_xlfn.LET(
_xlpm.rango, INDIRECT("S!$C$" &amp; $BA$8 &amp; ":$DR$" &amp; $BA$9),
_xlpm.col, R$72+$D76*10,
INDEX(_xlpm.rango,$BA$4-3,_xlpm.col) +
INDEX(_xlpm.rango,$BA$4-2,_xlpm.col) +
INDEX(_xlpm.rango,$BA$4-1,_xlpm.col) +
INDEX(_xlpm.rango,$BA$4, _xlpm.col)
)</f>
        <v>#VALUE!</v>
      </c>
      <c r="S77" s="95" t="e" cm="1" vm="1">
        <f t="array" aca="1" ref="S77" ca="1">_xlfn.LET(
_xlpm.rango, INDIRECT("S!$C$" &amp; $BA$8 &amp; ":$DR$" &amp; $BA$9),
_xlpm.col, S$72+$D76*10,
INDEX(_xlpm.rango,$BA$4-3,_xlpm.col) +
INDEX(_xlpm.rango,$BA$4-2,_xlpm.col) +
INDEX(_xlpm.rango,$BA$4-1,_xlpm.col) +
INDEX(_xlpm.rango,$BA$4, _xlpm.col)
)</f>
        <v>#VALUE!</v>
      </c>
      <c r="T77" s="95" t="e" cm="1" vm="1">
        <f t="array" aca="1" ref="T77" ca="1">_xlfn.LET(
_xlpm.rango, INDIRECT("S!$C$" &amp; $BA$8 &amp; ":$DR$" &amp; $BA$9),
_xlpm.col, T$72+$D76*10,
INDEX(_xlpm.rango,$BA$4-3,_xlpm.col) +
INDEX(_xlpm.rango,$BA$4-2,_xlpm.col) +
INDEX(_xlpm.rango,$BA$4-1,_xlpm.col) +
INDEX(_xlpm.rango,$BA$4, _xlpm.col)
)</f>
        <v>#VALUE!</v>
      </c>
      <c r="U77" s="95" t="e" cm="1" vm="1">
        <f t="array" aca="1" ref="U77" ca="1">_xlfn.LET(
_xlpm.rango, INDIRECT("S!$C$" &amp; $BA$8 &amp; ":$DR$" &amp; $BA$9),
_xlpm.col, U$72+$D76*10,
INDEX(_xlpm.rango,$BA$4-3,_xlpm.col) +
INDEX(_xlpm.rango,$BA$4-2,_xlpm.col) +
INDEX(_xlpm.rango,$BA$4-1,_xlpm.col) +
INDEX(_xlpm.rango,$BA$4, _xlpm.col)
)</f>
        <v>#VALUE!</v>
      </c>
      <c r="V77" s="95" t="e" cm="1" vm="1">
        <f t="array" aca="1" ref="V77" ca="1">_xlfn.LET(
_xlpm.rango, INDIRECT("S!$C$" &amp; $BA$8 &amp; ":$DR$" &amp; $BA$9),
_xlpm.col, V$72+$D76*10,
INDEX(_xlpm.rango,$BA$4-3,_xlpm.col) +
INDEX(_xlpm.rango,$BA$4-2,_xlpm.col) +
INDEX(_xlpm.rango,$BA$4-1,_xlpm.col) +
INDEX(_xlpm.rango,$BA$4, _xlpm.col)
)</f>
        <v>#VALUE!</v>
      </c>
      <c r="W77" s="95" t="e" cm="1" vm="1">
        <f t="array" aca="1" ref="W77" ca="1">_xlfn.LET(
_xlpm.rango, INDIRECT("S!$C$" &amp; $BA$8 &amp; ":$DR$" &amp; $BA$9),
_xlpm.col, W$72+$D76*10,
INDEX(_xlpm.rango,$BA$4-3,_xlpm.col) +
INDEX(_xlpm.rango,$BA$4-2,_xlpm.col) +
INDEX(_xlpm.rango,$BA$4-1,_xlpm.col) +
INDEX(_xlpm.rango,$BA$4, _xlpm.col)
)</f>
        <v>#VALUE!</v>
      </c>
      <c r="X77" s="95" t="e" cm="1" vm="1">
        <f t="array" aca="1" ref="X77" ca="1">_xlfn.LET(
_xlpm.rango, INDIRECT("S!$C$" &amp; $BA$8 &amp; ":$DR$" &amp; $BA$9),
_xlpm.col, X$72+$D76*10,
INDEX(_xlpm.rango,$BA$4-3,_xlpm.col) +
INDEX(_xlpm.rango,$BA$4-2,_xlpm.col) +
INDEX(_xlpm.rango,$BA$4-1,_xlpm.col) +
INDEX(_xlpm.rango,$BA$4, _xlpm.col)
)</f>
        <v>#VALUE!</v>
      </c>
      <c r="Y77" s="95" t="e" cm="1" vm="1">
        <f t="array" aca="1" ref="Y77" ca="1">_xlfn.LET(
_xlpm.rango, INDIRECT("S!$C$" &amp; $BA$8 &amp; ":$DR$" &amp; $BA$9),
_xlpm.col, Y$72+$D76*10,
INDEX(_xlpm.rango,$BA$4-3,_xlpm.col) +
INDEX(_xlpm.rango,$BA$4-2,_xlpm.col) +
INDEX(_xlpm.rango,$BA$4-1,_xlpm.col) +
INDEX(_xlpm.rango,$BA$4, _xlpm.col)
)</f>
        <v>#VALUE!</v>
      </c>
      <c r="Z77" s="100" t="e" cm="1" vm="1">
        <f t="array" aca="1" ref="Z77" ca="1">_xlfn.LET(
_xlpm.rango, INDIRECT("E!$C$" &amp; $BA$8 &amp; ":$DR$" &amp; $BA$9),
_xlpm.col, Z$72+$D76*10,
INDEX(_xlpm.rango,$BA$4-3,_xlpm.col) +
INDEX(_xlpm.rango,$BA$4-2,_xlpm.col) +
INDEX(_xlpm.rango,$BA$4-1,_xlpm.col) +
INDEX(_xlpm.rango,$BA$4, _xlpm.col)
)</f>
        <v>#VALUE!</v>
      </c>
      <c r="AA77" s="95" t="e" cm="1" vm="1">
        <f t="array" aca="1" ref="AA77" ca="1">_xlfn.LET(
_xlpm.rango, INDIRECT("E!$C$" &amp; $BA$8 &amp; ":$DR$" &amp; $BA$9),
_xlpm.col, AA$72+$D76*10,
INDEX(_xlpm.rango,$BA$4-3,_xlpm.col) +
INDEX(_xlpm.rango,$BA$4-2,_xlpm.col) +
INDEX(_xlpm.rango,$BA$4-1,_xlpm.col) +
INDEX(_xlpm.rango,$BA$4, _xlpm.col)
)</f>
        <v>#VALUE!</v>
      </c>
      <c r="AB77" s="95" t="e" cm="1" vm="1">
        <f t="array" aca="1" ref="AB77" ca="1">_xlfn.LET(
_xlpm.rango, INDIRECT("E!$C$" &amp; $BA$8 &amp; ":$DR$" &amp; $BA$9),
_xlpm.col, AB$72+$D76*10,
INDEX(_xlpm.rango,$BA$4-3,_xlpm.col) +
INDEX(_xlpm.rango,$BA$4-2,_xlpm.col) +
INDEX(_xlpm.rango,$BA$4-1,_xlpm.col) +
INDEX(_xlpm.rango,$BA$4, _xlpm.col)
)</f>
        <v>#VALUE!</v>
      </c>
      <c r="AC77" s="95" t="e" cm="1" vm="1">
        <f t="array" aca="1" ref="AC77" ca="1">_xlfn.LET(
_xlpm.rango, INDIRECT("E!$C$" &amp; $BA$8 &amp; ":$DR$" &amp; $BA$9),
_xlpm.col, AC$72+$D76*10,
INDEX(_xlpm.rango,$BA$4-3,_xlpm.col) +
INDEX(_xlpm.rango,$BA$4-2,_xlpm.col) +
INDEX(_xlpm.rango,$BA$4-1,_xlpm.col) +
INDEX(_xlpm.rango,$BA$4, _xlpm.col)
)</f>
        <v>#VALUE!</v>
      </c>
      <c r="AD77" s="95" t="e" cm="1" vm="1">
        <f t="array" aca="1" ref="AD77" ca="1">_xlfn.LET(
_xlpm.rango, INDIRECT("E!$C$" &amp; $BA$8 &amp; ":$DR$" &amp; $BA$9),
_xlpm.col, AD$72+$D76*10,
INDEX(_xlpm.rango,$BA$4-3,_xlpm.col) +
INDEX(_xlpm.rango,$BA$4-2,_xlpm.col) +
INDEX(_xlpm.rango,$BA$4-1,_xlpm.col) +
INDEX(_xlpm.rango,$BA$4, _xlpm.col)
)</f>
        <v>#VALUE!</v>
      </c>
      <c r="AE77" s="95" t="e" cm="1" vm="1">
        <f t="array" aca="1" ref="AE77" ca="1">_xlfn.LET(
_xlpm.rango, INDIRECT("E!$C$" &amp; $BA$8 &amp; ":$DR$" &amp; $BA$9),
_xlpm.col, AE$72+$D76*10,
INDEX(_xlpm.rango,$BA$4-3,_xlpm.col) +
INDEX(_xlpm.rango,$BA$4-2,_xlpm.col) +
INDEX(_xlpm.rango,$BA$4-1,_xlpm.col) +
INDEX(_xlpm.rango,$BA$4, _xlpm.col)
)</f>
        <v>#VALUE!</v>
      </c>
      <c r="AF77" s="95" t="e" cm="1" vm="1">
        <f t="array" aca="1" ref="AF77" ca="1">_xlfn.LET(
_xlpm.rango, INDIRECT("E!$C$" &amp; $BA$8 &amp; ":$DR$" &amp; $BA$9),
_xlpm.col, AF$72+$D76*10,
INDEX(_xlpm.rango,$BA$4-3,_xlpm.col) +
INDEX(_xlpm.rango,$BA$4-2,_xlpm.col) +
INDEX(_xlpm.rango,$BA$4-1,_xlpm.col) +
INDEX(_xlpm.rango,$BA$4, _xlpm.col)
)</f>
        <v>#VALUE!</v>
      </c>
      <c r="AG77" s="95" t="e" cm="1" vm="1">
        <f t="array" aca="1" ref="AG77" ca="1">_xlfn.LET(
_xlpm.rango, INDIRECT("E!$C$" &amp; $BA$8 &amp; ":$DR$" &amp; $BA$9),
_xlpm.col, AG$72+$D76*10,
INDEX(_xlpm.rango,$BA$4-3,_xlpm.col) +
INDEX(_xlpm.rango,$BA$4-2,_xlpm.col) +
INDEX(_xlpm.rango,$BA$4-1,_xlpm.col) +
INDEX(_xlpm.rango,$BA$4, _xlpm.col)
)</f>
        <v>#VALUE!</v>
      </c>
      <c r="AH77" s="95" t="e" cm="1" vm="1">
        <f t="array" aca="1" ref="AH77" ca="1">_xlfn.LET(
_xlpm.rango, INDIRECT("E!$C$" &amp; $BA$8 &amp; ":$DR$" &amp; $BA$9),
_xlpm.col, AH$72+$D76*10,
INDEX(_xlpm.rango,$BA$4-3,_xlpm.col) +
INDEX(_xlpm.rango,$BA$4-2,_xlpm.col) +
INDEX(_xlpm.rango,$BA$4-1,_xlpm.col) +
INDEX(_xlpm.rango,$BA$4, _xlpm.col)
)</f>
        <v>#VALUE!</v>
      </c>
      <c r="AI77" s="96" t="e" cm="1" vm="1">
        <f t="array" aca="1" ref="AI77" ca="1">_xlfn.LET(
_xlpm.rango, INDIRECT("E!$C$" &amp; $BA$8 &amp; ":$DR$" &amp; $BA$9),
_xlpm.col, AI$72+$D76*10,
INDEX(_xlpm.rango,$BA$4-3,_xlpm.col) +
INDEX(_xlpm.rango,$BA$4-2,_xlpm.col) +
INDEX(_xlpm.rango,$BA$4-1,_xlpm.col) +
INDEX(_xlpm.rango,$BA$4, _xlpm.col)
)</f>
        <v>#VALUE!</v>
      </c>
      <c r="AJ77" s="95" t="e" cm="1" vm="1">
        <f t="array" aca="1" ref="AJ77" ca="1">_xlfn.LET(
_xlpm.rango, INDIRECT("E!$C$" &amp; $BA$8 &amp; ":$DR$" &amp; $BA$9),
_xlpm.col, AJ$72+$D76*10,
INDEX(_xlpm.rango,$BA$4-3,_xlpm.col) +
INDEX(_xlpm.rango,$BA$4-2,_xlpm.col) +
INDEX(_xlpm.rango,$BA$4-1,_xlpm.col) +
INDEX(_xlpm.rango,$BA$4, _xlpm.col)
)</f>
        <v>#VALUE!</v>
      </c>
      <c r="AK77" s="95" t="e" cm="1" vm="1">
        <f t="array" aca="1" ref="AK77" ca="1">_xlfn.LET(
_xlpm.rango, INDIRECT("E!$C$" &amp; $BA$8 &amp; ":$DR$" &amp; $BA$9),
_xlpm.col, AK$72+$D76*10,
INDEX(_xlpm.rango,$BA$4-3,_xlpm.col) +
INDEX(_xlpm.rango,$BA$4-2,_xlpm.col) +
INDEX(_xlpm.rango,$BA$4-1,_xlpm.col) +
INDEX(_xlpm.rango,$BA$4, _xlpm.col)
)</f>
        <v>#VALUE!</v>
      </c>
      <c r="AL77" s="95" t="e" cm="1" vm="1">
        <f t="array" aca="1" ref="AL77" ca="1">_xlfn.LET(
_xlpm.rango, INDIRECT("E!$C$" &amp; $BA$8 &amp; ":$DR$" &amp; $BA$9),
_xlpm.col, AL$72+$D76*10,
INDEX(_xlpm.rango,$BA$4-3,_xlpm.col) +
INDEX(_xlpm.rango,$BA$4-2,_xlpm.col) +
INDEX(_xlpm.rango,$BA$4-1,_xlpm.col) +
INDEX(_xlpm.rango,$BA$4, _xlpm.col)
)</f>
        <v>#VALUE!</v>
      </c>
      <c r="AM77" s="95" t="e" cm="1" vm="1">
        <f t="array" aca="1" ref="AM77" ca="1">_xlfn.LET(
_xlpm.rango, INDIRECT("E!$C$" &amp; $BA$8 &amp; ":$DR$" &amp; $BA$9),
_xlpm.col, AM$72+$D76*10,
INDEX(_xlpm.rango,$BA$4-3,_xlpm.col) +
INDEX(_xlpm.rango,$BA$4-2,_xlpm.col) +
INDEX(_xlpm.rango,$BA$4-1,_xlpm.col) +
INDEX(_xlpm.rango,$BA$4, _xlpm.col)
)</f>
        <v>#VALUE!</v>
      </c>
      <c r="AN77" s="95" t="e" cm="1" vm="1">
        <f t="array" aca="1" ref="AN77" ca="1">_xlfn.LET(
_xlpm.rango, INDIRECT("E!$C$" &amp; $BA$8 &amp; ":$DR$" &amp; $BA$9),
_xlpm.col, AN$72+$D76*10,
INDEX(_xlpm.rango,$BA$4-3,_xlpm.col) +
INDEX(_xlpm.rango,$BA$4-2,_xlpm.col) +
INDEX(_xlpm.rango,$BA$4-1,_xlpm.col) +
INDEX(_xlpm.rango,$BA$4, _xlpm.col)
)</f>
        <v>#VALUE!</v>
      </c>
      <c r="AO77" s="95" t="e" cm="1" vm="1">
        <f t="array" aca="1" ref="AO77" ca="1">_xlfn.LET(
_xlpm.rango, INDIRECT("E!$C$" &amp; $BA$8 &amp; ":$DR$" &amp; $BA$9),
_xlpm.col, AO$72+$D76*10,
INDEX(_xlpm.rango,$BA$4-3,_xlpm.col) +
INDEX(_xlpm.rango,$BA$4-2,_xlpm.col) +
INDEX(_xlpm.rango,$BA$4-1,_xlpm.col) +
INDEX(_xlpm.rango,$BA$4, _xlpm.col)
)</f>
        <v>#VALUE!</v>
      </c>
      <c r="AP77" s="95" t="e" cm="1" vm="1">
        <f t="array" aca="1" ref="AP77" ca="1">_xlfn.LET(
_xlpm.rango, INDIRECT("E!$C$" &amp; $BA$8 &amp; ":$DR$" &amp; $BA$9),
_xlpm.col, AP$72+$D76*10,
INDEX(_xlpm.rango,$BA$4-3,_xlpm.col) +
INDEX(_xlpm.rango,$BA$4-2,_xlpm.col) +
INDEX(_xlpm.rango,$BA$4-1,_xlpm.col) +
INDEX(_xlpm.rango,$BA$4, _xlpm.col)
)</f>
        <v>#VALUE!</v>
      </c>
      <c r="AQ77" s="95" t="e" cm="1" vm="1">
        <f t="array" aca="1" ref="AQ77" ca="1">_xlfn.LET(
_xlpm.rango, INDIRECT("E!$C$" &amp; $BA$8 &amp; ":$DR$" &amp; $BA$9),
_xlpm.col, AQ$72+$D76*10,
INDEX(_xlpm.rango,$BA$4-3,_xlpm.col) +
INDEX(_xlpm.rango,$BA$4-2,_xlpm.col) +
INDEX(_xlpm.rango,$BA$4-1,_xlpm.col) +
INDEX(_xlpm.rango,$BA$4, _xlpm.col)
)</f>
        <v>#VALUE!</v>
      </c>
      <c r="AR77" s="95" t="e" cm="1" vm="1">
        <f t="array" aca="1" ref="AR77" ca="1">_xlfn.LET(
_xlpm.rango, INDIRECT("E!$C$" &amp; $BA$8 &amp; ":$DR$" &amp; $BA$9),
_xlpm.col, AR$72+$D76*10,
INDEX(_xlpm.rango,$BA$4-3,_xlpm.col) +
INDEX(_xlpm.rango,$BA$4-2,_xlpm.col) +
INDEX(_xlpm.rango,$BA$4-1,_xlpm.col) +
INDEX(_xlpm.rango,$BA$4, _xlpm.col)
)</f>
        <v>#VALUE!</v>
      </c>
      <c r="AS77" s="112" t="e" cm="1" vm="1">
        <f t="array" aca="1" ref="AS77" ca="1">_xlfn.LET(
_xlpm.rango, INDIRECT("E!$C$" &amp; $BA$8 &amp; ":$DR$" &amp; $BA$9),
_xlpm.col, AS$72+$D76*10,
INDEX(_xlpm.rango,$BA$4-3,_xlpm.col) +
INDEX(_xlpm.rango,$BA$4-2,_xlpm.col) +
INDEX(_xlpm.rango,$BA$4-1,_xlpm.col) +
INDEX(_xlpm.rango,$BA$4, _xlpm.col)
)</f>
        <v>#VALUE!</v>
      </c>
      <c r="AT77" s="118" t="e" vm="2">
        <f t="shared" ref="AT77:AT87" ca="1" si="0">SUM(F77:AS77)</f>
        <v>#VALUE!</v>
      </c>
      <c r="AU77" s="120" t="e" vm="2">
        <f t="shared" ref="AU77:AU87" ca="1" si="1">AT77/$AT$88</f>
        <v>#VALUE!</v>
      </c>
    </row>
    <row r="78" spans="4:47" x14ac:dyDescent="0.25">
      <c r="D78">
        <v>3</v>
      </c>
      <c r="E78" s="106" t="str">
        <f>Inicio!V6</f>
        <v>Bus</v>
      </c>
      <c r="F78" s="100" t="e" cm="1" vm="1">
        <f t="array" aca="1" ref="F78" ca="1">_xlfn.LET(
_xlpm.rango, INDIRECT("N!$C$" &amp; $BA$8 &amp; ":$DR$" &amp; $BA$9),
_xlpm.col, F$72+$D77*10,
INDEX(_xlpm.rango,$BA$4-3,_xlpm.col) +
INDEX(_xlpm.rango,$BA$4-2,_xlpm.col) +
INDEX(_xlpm.rango,$BA$4-1,_xlpm.col) +
INDEX(_xlpm.rango,$BA$4, _xlpm.col)
)</f>
        <v>#VALUE!</v>
      </c>
      <c r="G78" s="95" t="e" cm="1" vm="1">
        <f t="array" aca="1" ref="G78" ca="1">_xlfn.LET(
_xlpm.rango, INDIRECT("N!$C$" &amp; $BA$8 &amp; ":$DR$" &amp; $BA$9),
_xlpm.col, G$72+$D77*10,
INDEX(_xlpm.rango,$BA$4-3,_xlpm.col) +
INDEX(_xlpm.rango,$BA$4-2,_xlpm.col) +
INDEX(_xlpm.rango,$BA$4-1,_xlpm.col) +
INDEX(_xlpm.rango,$BA$4, _xlpm.col)
)</f>
        <v>#VALUE!</v>
      </c>
      <c r="H78" s="95" t="e" cm="1" vm="1">
        <f t="array" aca="1" ref="H78" ca="1">_xlfn.LET(
_xlpm.rango, INDIRECT("N!$C$" &amp; $BA$8 &amp; ":$DR$" &amp; $BA$9),
_xlpm.col, H$72+$D77*10,
INDEX(_xlpm.rango,$BA$4-3,_xlpm.col) +
INDEX(_xlpm.rango,$BA$4-2,_xlpm.col) +
INDEX(_xlpm.rango,$BA$4-1,_xlpm.col) +
INDEX(_xlpm.rango,$BA$4, _xlpm.col)
)</f>
        <v>#VALUE!</v>
      </c>
      <c r="I78" s="95" t="e" cm="1" vm="1">
        <f t="array" aca="1" ref="I78" ca="1">_xlfn.LET(
_xlpm.rango, INDIRECT("N!$C$" &amp; $BA$8 &amp; ":$DR$" &amp; $BA$9),
_xlpm.col, I$72+$D77*10,
INDEX(_xlpm.rango,$BA$4-3,_xlpm.col) +
INDEX(_xlpm.rango,$BA$4-2,_xlpm.col) +
INDEX(_xlpm.rango,$BA$4-1,_xlpm.col) +
INDEX(_xlpm.rango,$BA$4, _xlpm.col)
)</f>
        <v>#VALUE!</v>
      </c>
      <c r="J78" s="95" t="e" cm="1" vm="1">
        <f t="array" aca="1" ref="J78" ca="1">_xlfn.LET(
_xlpm.rango, INDIRECT("N!$C$" &amp; $BA$8 &amp; ":$DR$" &amp; $BA$9),
_xlpm.col, J$72+$D77*10,
INDEX(_xlpm.rango,$BA$4-3,_xlpm.col) +
INDEX(_xlpm.rango,$BA$4-2,_xlpm.col) +
INDEX(_xlpm.rango,$BA$4-1,_xlpm.col) +
INDEX(_xlpm.rango,$BA$4, _xlpm.col)
)</f>
        <v>#VALUE!</v>
      </c>
      <c r="K78" s="95" t="e" cm="1" vm="1">
        <f t="array" aca="1" ref="K78" ca="1">_xlfn.LET(
_xlpm.rango, INDIRECT("N!$C$" &amp; $BA$8 &amp; ":$DR$" &amp; $BA$9),
_xlpm.col, K$72+$D77*10,
INDEX(_xlpm.rango,$BA$4-3,_xlpm.col) +
INDEX(_xlpm.rango,$BA$4-2,_xlpm.col) +
INDEX(_xlpm.rango,$BA$4-1,_xlpm.col) +
INDEX(_xlpm.rango,$BA$4, _xlpm.col)
)</f>
        <v>#VALUE!</v>
      </c>
      <c r="L78" s="95" t="e" cm="1" vm="1">
        <f t="array" aca="1" ref="L78" ca="1">_xlfn.LET(
_xlpm.rango, INDIRECT("N!$C$" &amp; $BA$8 &amp; ":$DR$" &amp; $BA$9),
_xlpm.col, L$72+$D77*10,
INDEX(_xlpm.rango,$BA$4-3,_xlpm.col) +
INDEX(_xlpm.rango,$BA$4-2,_xlpm.col) +
INDEX(_xlpm.rango,$BA$4-1,_xlpm.col) +
INDEX(_xlpm.rango,$BA$4, _xlpm.col)
)</f>
        <v>#VALUE!</v>
      </c>
      <c r="M78" s="95" t="e" cm="1" vm="1">
        <f t="array" aca="1" ref="M78" ca="1">_xlfn.LET(
_xlpm.rango, INDIRECT("N!$C$" &amp; $BA$8 &amp; ":$DR$" &amp; $BA$9),
_xlpm.col, M$72+$D77*10,
INDEX(_xlpm.rango,$BA$4-3,_xlpm.col) +
INDEX(_xlpm.rango,$BA$4-2,_xlpm.col) +
INDEX(_xlpm.rango,$BA$4-1,_xlpm.col) +
INDEX(_xlpm.rango,$BA$4, _xlpm.col)
)</f>
        <v>#VALUE!</v>
      </c>
      <c r="N78" s="95" t="e" cm="1" vm="1">
        <f t="array" aca="1" ref="N78" ca="1">_xlfn.LET(
_xlpm.rango, INDIRECT("N!$C$" &amp; $BA$8 &amp; ":$DR$" &amp; $BA$9),
_xlpm.col, N$72+$D77*10,
INDEX(_xlpm.rango,$BA$4-3,_xlpm.col) +
INDEX(_xlpm.rango,$BA$4-2,_xlpm.col) +
INDEX(_xlpm.rango,$BA$4-1,_xlpm.col) +
INDEX(_xlpm.rango,$BA$4, _xlpm.col)
)</f>
        <v>#VALUE!</v>
      </c>
      <c r="O78" s="96" t="e" cm="1" vm="1">
        <f t="array" aca="1" ref="O78" ca="1">_xlfn.LET(
_xlpm.rango, INDIRECT("N!$C$" &amp; $BA$8 &amp; ":$DR$" &amp; $BA$9),
_xlpm.col, O$72+$D77*10,
INDEX(_xlpm.rango,$BA$4-3,_xlpm.col) +
INDEX(_xlpm.rango,$BA$4-2,_xlpm.col) +
INDEX(_xlpm.rango,$BA$4-1,_xlpm.col) +
INDEX(_xlpm.rango,$BA$4, _xlpm.col)
)</f>
        <v>#VALUE!</v>
      </c>
      <c r="P78" s="95" t="e" cm="1" vm="1">
        <f t="array" aca="1" ref="P78" ca="1">_xlfn.LET(
_xlpm.rango, INDIRECT("S!$C$" &amp; $BA$8 &amp; ":$DR$" &amp; $BA$9),
_xlpm.col, P$72+$D77*10,
INDEX(_xlpm.rango,$BA$4-3,_xlpm.col) +
INDEX(_xlpm.rango,$BA$4-2,_xlpm.col) +
INDEX(_xlpm.rango,$BA$4-1,_xlpm.col) +
INDEX(_xlpm.rango,$BA$4, _xlpm.col)
)</f>
        <v>#VALUE!</v>
      </c>
      <c r="Q78" s="95" t="e" cm="1" vm="1">
        <f t="array" aca="1" ref="Q78" ca="1">_xlfn.LET(
_xlpm.rango, INDIRECT("S!$C$" &amp; $BA$8 &amp; ":$DR$" &amp; $BA$9),
_xlpm.col, Q$72+$D77*10,
INDEX(_xlpm.rango,$BA$4-3,_xlpm.col) +
INDEX(_xlpm.rango,$BA$4-2,_xlpm.col) +
INDEX(_xlpm.rango,$BA$4-1,_xlpm.col) +
INDEX(_xlpm.rango,$BA$4, _xlpm.col)
)</f>
        <v>#VALUE!</v>
      </c>
      <c r="R78" s="95" t="e" cm="1" vm="1">
        <f t="array" aca="1" ref="R78" ca="1">_xlfn.LET(
_xlpm.rango, INDIRECT("S!$C$" &amp; $BA$8 &amp; ":$DR$" &amp; $BA$9),
_xlpm.col, R$72+$D77*10,
INDEX(_xlpm.rango,$BA$4-3,_xlpm.col) +
INDEX(_xlpm.rango,$BA$4-2,_xlpm.col) +
INDEX(_xlpm.rango,$BA$4-1,_xlpm.col) +
INDEX(_xlpm.rango,$BA$4, _xlpm.col)
)</f>
        <v>#VALUE!</v>
      </c>
      <c r="S78" s="95" t="e" cm="1" vm="1">
        <f t="array" aca="1" ref="S78" ca="1">_xlfn.LET(
_xlpm.rango, INDIRECT("S!$C$" &amp; $BA$8 &amp; ":$DR$" &amp; $BA$9),
_xlpm.col, S$72+$D77*10,
INDEX(_xlpm.rango,$BA$4-3,_xlpm.col) +
INDEX(_xlpm.rango,$BA$4-2,_xlpm.col) +
INDEX(_xlpm.rango,$BA$4-1,_xlpm.col) +
INDEX(_xlpm.rango,$BA$4, _xlpm.col)
)</f>
        <v>#VALUE!</v>
      </c>
      <c r="T78" s="95" t="e" cm="1" vm="1">
        <f t="array" aca="1" ref="T78" ca="1">_xlfn.LET(
_xlpm.rango, INDIRECT("S!$C$" &amp; $BA$8 &amp; ":$DR$" &amp; $BA$9),
_xlpm.col, T$72+$D77*10,
INDEX(_xlpm.rango,$BA$4-3,_xlpm.col) +
INDEX(_xlpm.rango,$BA$4-2,_xlpm.col) +
INDEX(_xlpm.rango,$BA$4-1,_xlpm.col) +
INDEX(_xlpm.rango,$BA$4, _xlpm.col)
)</f>
        <v>#VALUE!</v>
      </c>
      <c r="U78" s="95" t="e" cm="1" vm="1">
        <f t="array" aca="1" ref="U78" ca="1">_xlfn.LET(
_xlpm.rango, INDIRECT("S!$C$" &amp; $BA$8 &amp; ":$DR$" &amp; $BA$9),
_xlpm.col, U$72+$D77*10,
INDEX(_xlpm.rango,$BA$4-3,_xlpm.col) +
INDEX(_xlpm.rango,$BA$4-2,_xlpm.col) +
INDEX(_xlpm.rango,$BA$4-1,_xlpm.col) +
INDEX(_xlpm.rango,$BA$4, _xlpm.col)
)</f>
        <v>#VALUE!</v>
      </c>
      <c r="V78" s="95" t="e" cm="1" vm="1">
        <f t="array" aca="1" ref="V78" ca="1">_xlfn.LET(
_xlpm.rango, INDIRECT("S!$C$" &amp; $BA$8 &amp; ":$DR$" &amp; $BA$9),
_xlpm.col, V$72+$D77*10,
INDEX(_xlpm.rango,$BA$4-3,_xlpm.col) +
INDEX(_xlpm.rango,$BA$4-2,_xlpm.col) +
INDEX(_xlpm.rango,$BA$4-1,_xlpm.col) +
INDEX(_xlpm.rango,$BA$4, _xlpm.col)
)</f>
        <v>#VALUE!</v>
      </c>
      <c r="W78" s="95" t="e" cm="1" vm="1">
        <f t="array" aca="1" ref="W78" ca="1">_xlfn.LET(
_xlpm.rango, INDIRECT("S!$C$" &amp; $BA$8 &amp; ":$DR$" &amp; $BA$9),
_xlpm.col, W$72+$D77*10,
INDEX(_xlpm.rango,$BA$4-3,_xlpm.col) +
INDEX(_xlpm.rango,$BA$4-2,_xlpm.col) +
INDEX(_xlpm.rango,$BA$4-1,_xlpm.col) +
INDEX(_xlpm.rango,$BA$4, _xlpm.col)
)</f>
        <v>#VALUE!</v>
      </c>
      <c r="X78" s="95" t="e" cm="1" vm="1">
        <f t="array" aca="1" ref="X78" ca="1">_xlfn.LET(
_xlpm.rango, INDIRECT("S!$C$" &amp; $BA$8 &amp; ":$DR$" &amp; $BA$9),
_xlpm.col, X$72+$D77*10,
INDEX(_xlpm.rango,$BA$4-3,_xlpm.col) +
INDEX(_xlpm.rango,$BA$4-2,_xlpm.col) +
INDEX(_xlpm.rango,$BA$4-1,_xlpm.col) +
INDEX(_xlpm.rango,$BA$4, _xlpm.col)
)</f>
        <v>#VALUE!</v>
      </c>
      <c r="Y78" s="95" t="e" cm="1" vm="1">
        <f t="array" aca="1" ref="Y78" ca="1">_xlfn.LET(
_xlpm.rango, INDIRECT("S!$C$" &amp; $BA$8 &amp; ":$DR$" &amp; $BA$9),
_xlpm.col, Y$72+$D77*10,
INDEX(_xlpm.rango,$BA$4-3,_xlpm.col) +
INDEX(_xlpm.rango,$BA$4-2,_xlpm.col) +
INDEX(_xlpm.rango,$BA$4-1,_xlpm.col) +
INDEX(_xlpm.rango,$BA$4, _xlpm.col)
)</f>
        <v>#VALUE!</v>
      </c>
      <c r="Z78" s="100" t="e" cm="1" vm="1">
        <f t="array" aca="1" ref="Z78" ca="1">_xlfn.LET(
_xlpm.rango, INDIRECT("E!$C$" &amp; $BA$8 &amp; ":$DR$" &amp; $BA$9),
_xlpm.col, Z$72+$D77*10,
INDEX(_xlpm.rango,$BA$4-3,_xlpm.col) +
INDEX(_xlpm.rango,$BA$4-2,_xlpm.col) +
INDEX(_xlpm.rango,$BA$4-1,_xlpm.col) +
INDEX(_xlpm.rango,$BA$4, _xlpm.col)
)</f>
        <v>#VALUE!</v>
      </c>
      <c r="AA78" s="95" t="e" cm="1" vm="1">
        <f t="array" aca="1" ref="AA78" ca="1">_xlfn.LET(
_xlpm.rango, INDIRECT("E!$C$" &amp; $BA$8 &amp; ":$DR$" &amp; $BA$9),
_xlpm.col, AA$72+$D77*10,
INDEX(_xlpm.rango,$BA$4-3,_xlpm.col) +
INDEX(_xlpm.rango,$BA$4-2,_xlpm.col) +
INDEX(_xlpm.rango,$BA$4-1,_xlpm.col) +
INDEX(_xlpm.rango,$BA$4, _xlpm.col)
)</f>
        <v>#VALUE!</v>
      </c>
      <c r="AB78" s="95" t="e" cm="1" vm="1">
        <f t="array" aca="1" ref="AB78" ca="1">_xlfn.LET(
_xlpm.rango, INDIRECT("E!$C$" &amp; $BA$8 &amp; ":$DR$" &amp; $BA$9),
_xlpm.col, AB$72+$D77*10,
INDEX(_xlpm.rango,$BA$4-3,_xlpm.col) +
INDEX(_xlpm.rango,$BA$4-2,_xlpm.col) +
INDEX(_xlpm.rango,$BA$4-1,_xlpm.col) +
INDEX(_xlpm.rango,$BA$4, _xlpm.col)
)</f>
        <v>#VALUE!</v>
      </c>
      <c r="AC78" s="95" t="e" cm="1" vm="1">
        <f t="array" aca="1" ref="AC78" ca="1">_xlfn.LET(
_xlpm.rango, INDIRECT("E!$C$" &amp; $BA$8 &amp; ":$DR$" &amp; $BA$9),
_xlpm.col, AC$72+$D77*10,
INDEX(_xlpm.rango,$BA$4-3,_xlpm.col) +
INDEX(_xlpm.rango,$BA$4-2,_xlpm.col) +
INDEX(_xlpm.rango,$BA$4-1,_xlpm.col) +
INDEX(_xlpm.rango,$BA$4, _xlpm.col)
)</f>
        <v>#VALUE!</v>
      </c>
      <c r="AD78" s="95" t="e" cm="1" vm="1">
        <f t="array" aca="1" ref="AD78" ca="1">_xlfn.LET(
_xlpm.rango, INDIRECT("E!$C$" &amp; $BA$8 &amp; ":$DR$" &amp; $BA$9),
_xlpm.col, AD$72+$D77*10,
INDEX(_xlpm.rango,$BA$4-3,_xlpm.col) +
INDEX(_xlpm.rango,$BA$4-2,_xlpm.col) +
INDEX(_xlpm.rango,$BA$4-1,_xlpm.col) +
INDEX(_xlpm.rango,$BA$4, _xlpm.col)
)</f>
        <v>#VALUE!</v>
      </c>
      <c r="AE78" s="95" t="e" cm="1" vm="1">
        <f t="array" aca="1" ref="AE78" ca="1">_xlfn.LET(
_xlpm.rango, INDIRECT("E!$C$" &amp; $BA$8 &amp; ":$DR$" &amp; $BA$9),
_xlpm.col, AE$72+$D77*10,
INDEX(_xlpm.rango,$BA$4-3,_xlpm.col) +
INDEX(_xlpm.rango,$BA$4-2,_xlpm.col) +
INDEX(_xlpm.rango,$BA$4-1,_xlpm.col) +
INDEX(_xlpm.rango,$BA$4, _xlpm.col)
)</f>
        <v>#VALUE!</v>
      </c>
      <c r="AF78" s="95" t="e" cm="1" vm="1">
        <f t="array" aca="1" ref="AF78" ca="1">_xlfn.LET(
_xlpm.rango, INDIRECT("E!$C$" &amp; $BA$8 &amp; ":$DR$" &amp; $BA$9),
_xlpm.col, AF$72+$D77*10,
INDEX(_xlpm.rango,$BA$4-3,_xlpm.col) +
INDEX(_xlpm.rango,$BA$4-2,_xlpm.col) +
INDEX(_xlpm.rango,$BA$4-1,_xlpm.col) +
INDEX(_xlpm.rango,$BA$4, _xlpm.col)
)</f>
        <v>#VALUE!</v>
      </c>
      <c r="AG78" s="95" t="e" cm="1" vm="1">
        <f t="array" aca="1" ref="AG78" ca="1">_xlfn.LET(
_xlpm.rango, INDIRECT("E!$C$" &amp; $BA$8 &amp; ":$DR$" &amp; $BA$9),
_xlpm.col, AG$72+$D77*10,
INDEX(_xlpm.rango,$BA$4-3,_xlpm.col) +
INDEX(_xlpm.rango,$BA$4-2,_xlpm.col) +
INDEX(_xlpm.rango,$BA$4-1,_xlpm.col) +
INDEX(_xlpm.rango,$BA$4, _xlpm.col)
)</f>
        <v>#VALUE!</v>
      </c>
      <c r="AH78" s="95" t="e" cm="1" vm="1">
        <f t="array" aca="1" ref="AH78" ca="1">_xlfn.LET(
_xlpm.rango, INDIRECT("E!$C$" &amp; $BA$8 &amp; ":$DR$" &amp; $BA$9),
_xlpm.col, AH$72+$D77*10,
INDEX(_xlpm.rango,$BA$4-3,_xlpm.col) +
INDEX(_xlpm.rango,$BA$4-2,_xlpm.col) +
INDEX(_xlpm.rango,$BA$4-1,_xlpm.col) +
INDEX(_xlpm.rango,$BA$4, _xlpm.col)
)</f>
        <v>#VALUE!</v>
      </c>
      <c r="AI78" s="96" t="e" cm="1" vm="1">
        <f t="array" aca="1" ref="AI78" ca="1">_xlfn.LET(
_xlpm.rango, INDIRECT("E!$C$" &amp; $BA$8 &amp; ":$DR$" &amp; $BA$9),
_xlpm.col, AI$72+$D77*10,
INDEX(_xlpm.rango,$BA$4-3,_xlpm.col) +
INDEX(_xlpm.rango,$BA$4-2,_xlpm.col) +
INDEX(_xlpm.rango,$BA$4-1,_xlpm.col) +
INDEX(_xlpm.rango,$BA$4, _xlpm.col)
)</f>
        <v>#VALUE!</v>
      </c>
      <c r="AJ78" s="95" t="e" cm="1" vm="1">
        <f t="array" aca="1" ref="AJ78" ca="1">_xlfn.LET(
_xlpm.rango, INDIRECT("E!$C$" &amp; $BA$8 &amp; ":$DR$" &amp; $BA$9),
_xlpm.col, AJ$72+$D77*10,
INDEX(_xlpm.rango,$BA$4-3,_xlpm.col) +
INDEX(_xlpm.rango,$BA$4-2,_xlpm.col) +
INDEX(_xlpm.rango,$BA$4-1,_xlpm.col) +
INDEX(_xlpm.rango,$BA$4, _xlpm.col)
)</f>
        <v>#VALUE!</v>
      </c>
      <c r="AK78" s="95" t="e" cm="1" vm="1">
        <f t="array" aca="1" ref="AK78" ca="1">_xlfn.LET(
_xlpm.rango, INDIRECT("E!$C$" &amp; $BA$8 &amp; ":$DR$" &amp; $BA$9),
_xlpm.col, AK$72+$D77*10,
INDEX(_xlpm.rango,$BA$4-3,_xlpm.col) +
INDEX(_xlpm.rango,$BA$4-2,_xlpm.col) +
INDEX(_xlpm.rango,$BA$4-1,_xlpm.col) +
INDEX(_xlpm.rango,$BA$4, _xlpm.col)
)</f>
        <v>#VALUE!</v>
      </c>
      <c r="AL78" s="95" t="e" cm="1" vm="1">
        <f t="array" aca="1" ref="AL78" ca="1">_xlfn.LET(
_xlpm.rango, INDIRECT("E!$C$" &amp; $BA$8 &amp; ":$DR$" &amp; $BA$9),
_xlpm.col, AL$72+$D77*10,
INDEX(_xlpm.rango,$BA$4-3,_xlpm.col) +
INDEX(_xlpm.rango,$BA$4-2,_xlpm.col) +
INDEX(_xlpm.rango,$BA$4-1,_xlpm.col) +
INDEX(_xlpm.rango,$BA$4, _xlpm.col)
)</f>
        <v>#VALUE!</v>
      </c>
      <c r="AM78" s="95" t="e" cm="1" vm="1">
        <f t="array" aca="1" ref="AM78" ca="1">_xlfn.LET(
_xlpm.rango, INDIRECT("E!$C$" &amp; $BA$8 &amp; ":$DR$" &amp; $BA$9),
_xlpm.col, AM$72+$D77*10,
INDEX(_xlpm.rango,$BA$4-3,_xlpm.col) +
INDEX(_xlpm.rango,$BA$4-2,_xlpm.col) +
INDEX(_xlpm.rango,$BA$4-1,_xlpm.col) +
INDEX(_xlpm.rango,$BA$4, _xlpm.col)
)</f>
        <v>#VALUE!</v>
      </c>
      <c r="AN78" s="95" t="e" cm="1" vm="1">
        <f t="array" aca="1" ref="AN78" ca="1">_xlfn.LET(
_xlpm.rango, INDIRECT("E!$C$" &amp; $BA$8 &amp; ":$DR$" &amp; $BA$9),
_xlpm.col, AN$72+$D77*10,
INDEX(_xlpm.rango,$BA$4-3,_xlpm.col) +
INDEX(_xlpm.rango,$BA$4-2,_xlpm.col) +
INDEX(_xlpm.rango,$BA$4-1,_xlpm.col) +
INDEX(_xlpm.rango,$BA$4, _xlpm.col)
)</f>
        <v>#VALUE!</v>
      </c>
      <c r="AO78" s="95" t="e" cm="1" vm="1">
        <f t="array" aca="1" ref="AO78" ca="1">_xlfn.LET(
_xlpm.rango, INDIRECT("E!$C$" &amp; $BA$8 &amp; ":$DR$" &amp; $BA$9),
_xlpm.col, AO$72+$D77*10,
INDEX(_xlpm.rango,$BA$4-3,_xlpm.col) +
INDEX(_xlpm.rango,$BA$4-2,_xlpm.col) +
INDEX(_xlpm.rango,$BA$4-1,_xlpm.col) +
INDEX(_xlpm.rango,$BA$4, _xlpm.col)
)</f>
        <v>#VALUE!</v>
      </c>
      <c r="AP78" s="95" t="e" cm="1" vm="1">
        <f t="array" aca="1" ref="AP78" ca="1">_xlfn.LET(
_xlpm.rango, INDIRECT("E!$C$" &amp; $BA$8 &amp; ":$DR$" &amp; $BA$9),
_xlpm.col, AP$72+$D77*10,
INDEX(_xlpm.rango,$BA$4-3,_xlpm.col) +
INDEX(_xlpm.rango,$BA$4-2,_xlpm.col) +
INDEX(_xlpm.rango,$BA$4-1,_xlpm.col) +
INDEX(_xlpm.rango,$BA$4, _xlpm.col)
)</f>
        <v>#VALUE!</v>
      </c>
      <c r="AQ78" s="95" t="e" cm="1" vm="1">
        <f t="array" aca="1" ref="AQ78" ca="1">_xlfn.LET(
_xlpm.rango, INDIRECT("E!$C$" &amp; $BA$8 &amp; ":$DR$" &amp; $BA$9),
_xlpm.col, AQ$72+$D77*10,
INDEX(_xlpm.rango,$BA$4-3,_xlpm.col) +
INDEX(_xlpm.rango,$BA$4-2,_xlpm.col) +
INDEX(_xlpm.rango,$BA$4-1,_xlpm.col) +
INDEX(_xlpm.rango,$BA$4, _xlpm.col)
)</f>
        <v>#VALUE!</v>
      </c>
      <c r="AR78" s="95" t="e" cm="1" vm="1">
        <f t="array" aca="1" ref="AR78" ca="1">_xlfn.LET(
_xlpm.rango, INDIRECT("E!$C$" &amp; $BA$8 &amp; ":$DR$" &amp; $BA$9),
_xlpm.col, AR$72+$D77*10,
INDEX(_xlpm.rango,$BA$4-3,_xlpm.col) +
INDEX(_xlpm.rango,$BA$4-2,_xlpm.col) +
INDEX(_xlpm.rango,$BA$4-1,_xlpm.col) +
INDEX(_xlpm.rango,$BA$4, _xlpm.col)
)</f>
        <v>#VALUE!</v>
      </c>
      <c r="AS78" s="112" t="e" cm="1" vm="1">
        <f t="array" aca="1" ref="AS78" ca="1">_xlfn.LET(
_xlpm.rango, INDIRECT("E!$C$" &amp; $BA$8 &amp; ":$DR$" &amp; $BA$9),
_xlpm.col, AS$72+$D77*10,
INDEX(_xlpm.rango,$BA$4-3,_xlpm.col) +
INDEX(_xlpm.rango,$BA$4-2,_xlpm.col) +
INDEX(_xlpm.rango,$BA$4-1,_xlpm.col) +
INDEX(_xlpm.rango,$BA$4, _xlpm.col)
)</f>
        <v>#VALUE!</v>
      </c>
      <c r="AT78" s="118" t="e" vm="2">
        <f t="shared" ca="1" si="0"/>
        <v>#VALUE!</v>
      </c>
      <c r="AU78" s="120" t="e" vm="2">
        <f t="shared" ca="1" si="1"/>
        <v>#VALUE!</v>
      </c>
    </row>
    <row r="79" spans="4:47" x14ac:dyDescent="0.25">
      <c r="D79">
        <v>4</v>
      </c>
      <c r="E79" s="106" t="str">
        <f>Inicio!V7</f>
        <v>Camion</v>
      </c>
      <c r="F79" s="100" t="e" cm="1" vm="1">
        <f t="array" aca="1" ref="F79" ca="1">_xlfn.LET(
_xlpm.rango, INDIRECT("N!$C$" &amp; $BA$8 &amp; ":$DR$" &amp; $BA$9),
_xlpm.col, F$72+$D78*10,
INDEX(_xlpm.rango,$BA$4-3,_xlpm.col) +
INDEX(_xlpm.rango,$BA$4-2,_xlpm.col) +
INDEX(_xlpm.rango,$BA$4-1,_xlpm.col) +
INDEX(_xlpm.rango,$BA$4, _xlpm.col)
)</f>
        <v>#VALUE!</v>
      </c>
      <c r="G79" s="95" t="e" cm="1" vm="1">
        <f t="array" aca="1" ref="G79" ca="1">_xlfn.LET(
_xlpm.rango, INDIRECT("N!$C$" &amp; $BA$8 &amp; ":$DR$" &amp; $BA$9),
_xlpm.col, G$72+$D78*10,
INDEX(_xlpm.rango,$BA$4-3,_xlpm.col) +
INDEX(_xlpm.rango,$BA$4-2,_xlpm.col) +
INDEX(_xlpm.rango,$BA$4-1,_xlpm.col) +
INDEX(_xlpm.rango,$BA$4, _xlpm.col)
)</f>
        <v>#VALUE!</v>
      </c>
      <c r="H79" s="95" t="e" cm="1" vm="1">
        <f t="array" aca="1" ref="H79" ca="1">_xlfn.LET(
_xlpm.rango, INDIRECT("N!$C$" &amp; $BA$8 &amp; ":$DR$" &amp; $BA$9),
_xlpm.col, H$72+$D78*10,
INDEX(_xlpm.rango,$BA$4-3,_xlpm.col) +
INDEX(_xlpm.rango,$BA$4-2,_xlpm.col) +
INDEX(_xlpm.rango,$BA$4-1,_xlpm.col) +
INDEX(_xlpm.rango,$BA$4, _xlpm.col)
)</f>
        <v>#VALUE!</v>
      </c>
      <c r="I79" s="95" t="e" cm="1" vm="1">
        <f t="array" aca="1" ref="I79" ca="1">_xlfn.LET(
_xlpm.rango, INDIRECT("N!$C$" &amp; $BA$8 &amp; ":$DR$" &amp; $BA$9),
_xlpm.col, I$72+$D78*10,
INDEX(_xlpm.rango,$BA$4-3,_xlpm.col) +
INDEX(_xlpm.rango,$BA$4-2,_xlpm.col) +
INDEX(_xlpm.rango,$BA$4-1,_xlpm.col) +
INDEX(_xlpm.rango,$BA$4, _xlpm.col)
)</f>
        <v>#VALUE!</v>
      </c>
      <c r="J79" s="95" t="e" cm="1" vm="1">
        <f t="array" aca="1" ref="J79" ca="1">_xlfn.LET(
_xlpm.rango, INDIRECT("N!$C$" &amp; $BA$8 &amp; ":$DR$" &amp; $BA$9),
_xlpm.col, J$72+$D78*10,
INDEX(_xlpm.rango,$BA$4-3,_xlpm.col) +
INDEX(_xlpm.rango,$BA$4-2,_xlpm.col) +
INDEX(_xlpm.rango,$BA$4-1,_xlpm.col) +
INDEX(_xlpm.rango,$BA$4, _xlpm.col)
)</f>
        <v>#VALUE!</v>
      </c>
      <c r="K79" s="95" t="e" cm="1" vm="1">
        <f t="array" aca="1" ref="K79" ca="1">_xlfn.LET(
_xlpm.rango, INDIRECT("N!$C$" &amp; $BA$8 &amp; ":$DR$" &amp; $BA$9),
_xlpm.col, K$72+$D78*10,
INDEX(_xlpm.rango,$BA$4-3,_xlpm.col) +
INDEX(_xlpm.rango,$BA$4-2,_xlpm.col) +
INDEX(_xlpm.rango,$BA$4-1,_xlpm.col) +
INDEX(_xlpm.rango,$BA$4, _xlpm.col)
)</f>
        <v>#VALUE!</v>
      </c>
      <c r="L79" s="95" t="e" cm="1" vm="1">
        <f t="array" aca="1" ref="L79" ca="1">_xlfn.LET(
_xlpm.rango, INDIRECT("N!$C$" &amp; $BA$8 &amp; ":$DR$" &amp; $BA$9),
_xlpm.col, L$72+$D78*10,
INDEX(_xlpm.rango,$BA$4-3,_xlpm.col) +
INDEX(_xlpm.rango,$BA$4-2,_xlpm.col) +
INDEX(_xlpm.rango,$BA$4-1,_xlpm.col) +
INDEX(_xlpm.rango,$BA$4, _xlpm.col)
)</f>
        <v>#VALUE!</v>
      </c>
      <c r="M79" s="95" t="e" cm="1" vm="1">
        <f t="array" aca="1" ref="M79" ca="1">_xlfn.LET(
_xlpm.rango, INDIRECT("N!$C$" &amp; $BA$8 &amp; ":$DR$" &amp; $BA$9),
_xlpm.col, M$72+$D78*10,
INDEX(_xlpm.rango,$BA$4-3,_xlpm.col) +
INDEX(_xlpm.rango,$BA$4-2,_xlpm.col) +
INDEX(_xlpm.rango,$BA$4-1,_xlpm.col) +
INDEX(_xlpm.rango,$BA$4, _xlpm.col)
)</f>
        <v>#VALUE!</v>
      </c>
      <c r="N79" s="95" t="e" cm="1" vm="1">
        <f t="array" aca="1" ref="N79" ca="1">_xlfn.LET(
_xlpm.rango, INDIRECT("N!$C$" &amp; $BA$8 &amp; ":$DR$" &amp; $BA$9),
_xlpm.col, N$72+$D78*10,
INDEX(_xlpm.rango,$BA$4-3,_xlpm.col) +
INDEX(_xlpm.rango,$BA$4-2,_xlpm.col) +
INDEX(_xlpm.rango,$BA$4-1,_xlpm.col) +
INDEX(_xlpm.rango,$BA$4, _xlpm.col)
)</f>
        <v>#VALUE!</v>
      </c>
      <c r="O79" s="96" t="e" cm="1" vm="1">
        <f t="array" aca="1" ref="O79" ca="1">_xlfn.LET(
_xlpm.rango, INDIRECT("N!$C$" &amp; $BA$8 &amp; ":$DR$" &amp; $BA$9),
_xlpm.col, O$72+$D78*10,
INDEX(_xlpm.rango,$BA$4-3,_xlpm.col) +
INDEX(_xlpm.rango,$BA$4-2,_xlpm.col) +
INDEX(_xlpm.rango,$BA$4-1,_xlpm.col) +
INDEX(_xlpm.rango,$BA$4, _xlpm.col)
)</f>
        <v>#VALUE!</v>
      </c>
      <c r="P79" s="95" t="e" cm="1" vm="1">
        <f t="array" aca="1" ref="P79" ca="1">_xlfn.LET(
_xlpm.rango, INDIRECT("S!$C$" &amp; $BA$8 &amp; ":$DR$" &amp; $BA$9),
_xlpm.col, P$72+$D78*10,
INDEX(_xlpm.rango,$BA$4-3,_xlpm.col) +
INDEX(_xlpm.rango,$BA$4-2,_xlpm.col) +
INDEX(_xlpm.rango,$BA$4-1,_xlpm.col) +
INDEX(_xlpm.rango,$BA$4, _xlpm.col)
)</f>
        <v>#VALUE!</v>
      </c>
      <c r="Q79" s="95" t="e" cm="1" vm="1">
        <f t="array" aca="1" ref="Q79" ca="1">_xlfn.LET(
_xlpm.rango, INDIRECT("S!$C$" &amp; $BA$8 &amp; ":$DR$" &amp; $BA$9),
_xlpm.col, Q$72+$D78*10,
INDEX(_xlpm.rango,$BA$4-3,_xlpm.col) +
INDEX(_xlpm.rango,$BA$4-2,_xlpm.col) +
INDEX(_xlpm.rango,$BA$4-1,_xlpm.col) +
INDEX(_xlpm.rango,$BA$4, _xlpm.col)
)</f>
        <v>#VALUE!</v>
      </c>
      <c r="R79" s="95" t="e" cm="1" vm="1">
        <f t="array" aca="1" ref="R79" ca="1">_xlfn.LET(
_xlpm.rango, INDIRECT("S!$C$" &amp; $BA$8 &amp; ":$DR$" &amp; $BA$9),
_xlpm.col, R$72+$D78*10,
INDEX(_xlpm.rango,$BA$4-3,_xlpm.col) +
INDEX(_xlpm.rango,$BA$4-2,_xlpm.col) +
INDEX(_xlpm.rango,$BA$4-1,_xlpm.col) +
INDEX(_xlpm.rango,$BA$4, _xlpm.col)
)</f>
        <v>#VALUE!</v>
      </c>
      <c r="S79" s="95" t="e" cm="1" vm="1">
        <f t="array" aca="1" ref="S79" ca="1">_xlfn.LET(
_xlpm.rango, INDIRECT("S!$C$" &amp; $BA$8 &amp; ":$DR$" &amp; $BA$9),
_xlpm.col, S$72+$D78*10,
INDEX(_xlpm.rango,$BA$4-3,_xlpm.col) +
INDEX(_xlpm.rango,$BA$4-2,_xlpm.col) +
INDEX(_xlpm.rango,$BA$4-1,_xlpm.col) +
INDEX(_xlpm.rango,$BA$4, _xlpm.col)
)</f>
        <v>#VALUE!</v>
      </c>
      <c r="T79" s="95" t="e" cm="1" vm="1">
        <f t="array" aca="1" ref="T79" ca="1">_xlfn.LET(
_xlpm.rango, INDIRECT("S!$C$" &amp; $BA$8 &amp; ":$DR$" &amp; $BA$9),
_xlpm.col, T$72+$D78*10,
INDEX(_xlpm.rango,$BA$4-3,_xlpm.col) +
INDEX(_xlpm.rango,$BA$4-2,_xlpm.col) +
INDEX(_xlpm.rango,$BA$4-1,_xlpm.col) +
INDEX(_xlpm.rango,$BA$4, _xlpm.col)
)</f>
        <v>#VALUE!</v>
      </c>
      <c r="U79" s="95" t="e" cm="1" vm="1">
        <f t="array" aca="1" ref="U79" ca="1">_xlfn.LET(
_xlpm.rango, INDIRECT("S!$C$" &amp; $BA$8 &amp; ":$DR$" &amp; $BA$9),
_xlpm.col, U$72+$D78*10,
INDEX(_xlpm.rango,$BA$4-3,_xlpm.col) +
INDEX(_xlpm.rango,$BA$4-2,_xlpm.col) +
INDEX(_xlpm.rango,$BA$4-1,_xlpm.col) +
INDEX(_xlpm.rango,$BA$4, _xlpm.col)
)</f>
        <v>#VALUE!</v>
      </c>
      <c r="V79" s="95" t="e" cm="1" vm="1">
        <f t="array" aca="1" ref="V79" ca="1">_xlfn.LET(
_xlpm.rango, INDIRECT("S!$C$" &amp; $BA$8 &amp; ":$DR$" &amp; $BA$9),
_xlpm.col, V$72+$D78*10,
INDEX(_xlpm.rango,$BA$4-3,_xlpm.col) +
INDEX(_xlpm.rango,$BA$4-2,_xlpm.col) +
INDEX(_xlpm.rango,$BA$4-1,_xlpm.col) +
INDEX(_xlpm.rango,$BA$4, _xlpm.col)
)</f>
        <v>#VALUE!</v>
      </c>
      <c r="W79" s="95" t="e" cm="1" vm="1">
        <f t="array" aca="1" ref="W79" ca="1">_xlfn.LET(
_xlpm.rango, INDIRECT("S!$C$" &amp; $BA$8 &amp; ":$DR$" &amp; $BA$9),
_xlpm.col, W$72+$D78*10,
INDEX(_xlpm.rango,$BA$4-3,_xlpm.col) +
INDEX(_xlpm.rango,$BA$4-2,_xlpm.col) +
INDEX(_xlpm.rango,$BA$4-1,_xlpm.col) +
INDEX(_xlpm.rango,$BA$4, _xlpm.col)
)</f>
        <v>#VALUE!</v>
      </c>
      <c r="X79" s="95" t="e" cm="1" vm="1">
        <f t="array" aca="1" ref="X79" ca="1">_xlfn.LET(
_xlpm.rango, INDIRECT("S!$C$" &amp; $BA$8 &amp; ":$DR$" &amp; $BA$9),
_xlpm.col, X$72+$D78*10,
INDEX(_xlpm.rango,$BA$4-3,_xlpm.col) +
INDEX(_xlpm.rango,$BA$4-2,_xlpm.col) +
INDEX(_xlpm.rango,$BA$4-1,_xlpm.col) +
INDEX(_xlpm.rango,$BA$4, _xlpm.col)
)</f>
        <v>#VALUE!</v>
      </c>
      <c r="Y79" s="95" t="e" cm="1" vm="1">
        <f t="array" aca="1" ref="Y79" ca="1">_xlfn.LET(
_xlpm.rango, INDIRECT("S!$C$" &amp; $BA$8 &amp; ":$DR$" &amp; $BA$9),
_xlpm.col, Y$72+$D78*10,
INDEX(_xlpm.rango,$BA$4-3,_xlpm.col) +
INDEX(_xlpm.rango,$BA$4-2,_xlpm.col) +
INDEX(_xlpm.rango,$BA$4-1,_xlpm.col) +
INDEX(_xlpm.rango,$BA$4, _xlpm.col)
)</f>
        <v>#VALUE!</v>
      </c>
      <c r="Z79" s="100" t="e" cm="1" vm="1">
        <f t="array" aca="1" ref="Z79" ca="1">_xlfn.LET(
_xlpm.rango, INDIRECT("E!$C$" &amp; $BA$8 &amp; ":$DR$" &amp; $BA$9),
_xlpm.col, Z$72+$D78*10,
INDEX(_xlpm.rango,$BA$4-3,_xlpm.col) +
INDEX(_xlpm.rango,$BA$4-2,_xlpm.col) +
INDEX(_xlpm.rango,$BA$4-1,_xlpm.col) +
INDEX(_xlpm.rango,$BA$4, _xlpm.col)
)</f>
        <v>#VALUE!</v>
      </c>
      <c r="AA79" s="95" t="e" cm="1" vm="1">
        <f t="array" aca="1" ref="AA79" ca="1">_xlfn.LET(
_xlpm.rango, INDIRECT("E!$C$" &amp; $BA$8 &amp; ":$DR$" &amp; $BA$9),
_xlpm.col, AA$72+$D78*10,
INDEX(_xlpm.rango,$BA$4-3,_xlpm.col) +
INDEX(_xlpm.rango,$BA$4-2,_xlpm.col) +
INDEX(_xlpm.rango,$BA$4-1,_xlpm.col) +
INDEX(_xlpm.rango,$BA$4, _xlpm.col)
)</f>
        <v>#VALUE!</v>
      </c>
      <c r="AB79" s="95" t="e" cm="1" vm="1">
        <f t="array" aca="1" ref="AB79" ca="1">_xlfn.LET(
_xlpm.rango, INDIRECT("E!$C$" &amp; $BA$8 &amp; ":$DR$" &amp; $BA$9),
_xlpm.col, AB$72+$D78*10,
INDEX(_xlpm.rango,$BA$4-3,_xlpm.col) +
INDEX(_xlpm.rango,$BA$4-2,_xlpm.col) +
INDEX(_xlpm.rango,$BA$4-1,_xlpm.col) +
INDEX(_xlpm.rango,$BA$4, _xlpm.col)
)</f>
        <v>#VALUE!</v>
      </c>
      <c r="AC79" s="95" t="e" cm="1" vm="1">
        <f t="array" aca="1" ref="AC79" ca="1">_xlfn.LET(
_xlpm.rango, INDIRECT("E!$C$" &amp; $BA$8 &amp; ":$DR$" &amp; $BA$9),
_xlpm.col, AC$72+$D78*10,
INDEX(_xlpm.rango,$BA$4-3,_xlpm.col) +
INDEX(_xlpm.rango,$BA$4-2,_xlpm.col) +
INDEX(_xlpm.rango,$BA$4-1,_xlpm.col) +
INDEX(_xlpm.rango,$BA$4, _xlpm.col)
)</f>
        <v>#VALUE!</v>
      </c>
      <c r="AD79" s="95" t="e" cm="1" vm="1">
        <f t="array" aca="1" ref="AD79" ca="1">_xlfn.LET(
_xlpm.rango, INDIRECT("E!$C$" &amp; $BA$8 &amp; ":$DR$" &amp; $BA$9),
_xlpm.col, AD$72+$D78*10,
INDEX(_xlpm.rango,$BA$4-3,_xlpm.col) +
INDEX(_xlpm.rango,$BA$4-2,_xlpm.col) +
INDEX(_xlpm.rango,$BA$4-1,_xlpm.col) +
INDEX(_xlpm.rango,$BA$4, _xlpm.col)
)</f>
        <v>#VALUE!</v>
      </c>
      <c r="AE79" s="95" t="e" cm="1" vm="1">
        <f t="array" aca="1" ref="AE79" ca="1">_xlfn.LET(
_xlpm.rango, INDIRECT("E!$C$" &amp; $BA$8 &amp; ":$DR$" &amp; $BA$9),
_xlpm.col, AE$72+$D78*10,
INDEX(_xlpm.rango,$BA$4-3,_xlpm.col) +
INDEX(_xlpm.rango,$BA$4-2,_xlpm.col) +
INDEX(_xlpm.rango,$BA$4-1,_xlpm.col) +
INDEX(_xlpm.rango,$BA$4, _xlpm.col)
)</f>
        <v>#VALUE!</v>
      </c>
      <c r="AF79" s="95" t="e" cm="1" vm="1">
        <f t="array" aca="1" ref="AF79" ca="1">_xlfn.LET(
_xlpm.rango, INDIRECT("E!$C$" &amp; $BA$8 &amp; ":$DR$" &amp; $BA$9),
_xlpm.col, AF$72+$D78*10,
INDEX(_xlpm.rango,$BA$4-3,_xlpm.col) +
INDEX(_xlpm.rango,$BA$4-2,_xlpm.col) +
INDEX(_xlpm.rango,$BA$4-1,_xlpm.col) +
INDEX(_xlpm.rango,$BA$4, _xlpm.col)
)</f>
        <v>#VALUE!</v>
      </c>
      <c r="AG79" s="95" t="e" cm="1" vm="1">
        <f t="array" aca="1" ref="AG79" ca="1">_xlfn.LET(
_xlpm.rango, INDIRECT("E!$C$" &amp; $BA$8 &amp; ":$DR$" &amp; $BA$9),
_xlpm.col, AG$72+$D78*10,
INDEX(_xlpm.rango,$BA$4-3,_xlpm.col) +
INDEX(_xlpm.rango,$BA$4-2,_xlpm.col) +
INDEX(_xlpm.rango,$BA$4-1,_xlpm.col) +
INDEX(_xlpm.rango,$BA$4, _xlpm.col)
)</f>
        <v>#VALUE!</v>
      </c>
      <c r="AH79" s="95" t="e" cm="1" vm="1">
        <f t="array" aca="1" ref="AH79" ca="1">_xlfn.LET(
_xlpm.rango, INDIRECT("E!$C$" &amp; $BA$8 &amp; ":$DR$" &amp; $BA$9),
_xlpm.col, AH$72+$D78*10,
INDEX(_xlpm.rango,$BA$4-3,_xlpm.col) +
INDEX(_xlpm.rango,$BA$4-2,_xlpm.col) +
INDEX(_xlpm.rango,$BA$4-1,_xlpm.col) +
INDEX(_xlpm.rango,$BA$4, _xlpm.col)
)</f>
        <v>#VALUE!</v>
      </c>
      <c r="AI79" s="96" t="e" cm="1" vm="1">
        <f t="array" aca="1" ref="AI79" ca="1">_xlfn.LET(
_xlpm.rango, INDIRECT("E!$C$" &amp; $BA$8 &amp; ":$DR$" &amp; $BA$9),
_xlpm.col, AI$72+$D78*10,
INDEX(_xlpm.rango,$BA$4-3,_xlpm.col) +
INDEX(_xlpm.rango,$BA$4-2,_xlpm.col) +
INDEX(_xlpm.rango,$BA$4-1,_xlpm.col) +
INDEX(_xlpm.rango,$BA$4, _xlpm.col)
)</f>
        <v>#VALUE!</v>
      </c>
      <c r="AJ79" s="95" t="e" cm="1" vm="1">
        <f t="array" aca="1" ref="AJ79" ca="1">_xlfn.LET(
_xlpm.rango, INDIRECT("E!$C$" &amp; $BA$8 &amp; ":$DR$" &amp; $BA$9),
_xlpm.col, AJ$72+$D78*10,
INDEX(_xlpm.rango,$BA$4-3,_xlpm.col) +
INDEX(_xlpm.rango,$BA$4-2,_xlpm.col) +
INDEX(_xlpm.rango,$BA$4-1,_xlpm.col) +
INDEX(_xlpm.rango,$BA$4, _xlpm.col)
)</f>
        <v>#VALUE!</v>
      </c>
      <c r="AK79" s="95" t="e" cm="1" vm="1">
        <f t="array" aca="1" ref="AK79" ca="1">_xlfn.LET(
_xlpm.rango, INDIRECT("E!$C$" &amp; $BA$8 &amp; ":$DR$" &amp; $BA$9),
_xlpm.col, AK$72+$D78*10,
INDEX(_xlpm.rango,$BA$4-3,_xlpm.col) +
INDEX(_xlpm.rango,$BA$4-2,_xlpm.col) +
INDEX(_xlpm.rango,$BA$4-1,_xlpm.col) +
INDEX(_xlpm.rango,$BA$4, _xlpm.col)
)</f>
        <v>#VALUE!</v>
      </c>
      <c r="AL79" s="95" t="e" cm="1" vm="1">
        <f t="array" aca="1" ref="AL79" ca="1">_xlfn.LET(
_xlpm.rango, INDIRECT("E!$C$" &amp; $BA$8 &amp; ":$DR$" &amp; $BA$9),
_xlpm.col, AL$72+$D78*10,
INDEX(_xlpm.rango,$BA$4-3,_xlpm.col) +
INDEX(_xlpm.rango,$BA$4-2,_xlpm.col) +
INDEX(_xlpm.rango,$BA$4-1,_xlpm.col) +
INDEX(_xlpm.rango,$BA$4, _xlpm.col)
)</f>
        <v>#VALUE!</v>
      </c>
      <c r="AM79" s="95" t="e" cm="1" vm="1">
        <f t="array" aca="1" ref="AM79" ca="1">_xlfn.LET(
_xlpm.rango, INDIRECT("E!$C$" &amp; $BA$8 &amp; ":$DR$" &amp; $BA$9),
_xlpm.col, AM$72+$D78*10,
INDEX(_xlpm.rango,$BA$4-3,_xlpm.col) +
INDEX(_xlpm.rango,$BA$4-2,_xlpm.col) +
INDEX(_xlpm.rango,$BA$4-1,_xlpm.col) +
INDEX(_xlpm.rango,$BA$4, _xlpm.col)
)</f>
        <v>#VALUE!</v>
      </c>
      <c r="AN79" s="95" t="e" cm="1" vm="1">
        <f t="array" aca="1" ref="AN79" ca="1">_xlfn.LET(
_xlpm.rango, INDIRECT("E!$C$" &amp; $BA$8 &amp; ":$DR$" &amp; $BA$9),
_xlpm.col, AN$72+$D78*10,
INDEX(_xlpm.rango,$BA$4-3,_xlpm.col) +
INDEX(_xlpm.rango,$BA$4-2,_xlpm.col) +
INDEX(_xlpm.rango,$BA$4-1,_xlpm.col) +
INDEX(_xlpm.rango,$BA$4, _xlpm.col)
)</f>
        <v>#VALUE!</v>
      </c>
      <c r="AO79" s="95" t="e" cm="1" vm="1">
        <f t="array" aca="1" ref="AO79" ca="1">_xlfn.LET(
_xlpm.rango, INDIRECT("E!$C$" &amp; $BA$8 &amp; ":$DR$" &amp; $BA$9),
_xlpm.col, AO$72+$D78*10,
INDEX(_xlpm.rango,$BA$4-3,_xlpm.col) +
INDEX(_xlpm.rango,$BA$4-2,_xlpm.col) +
INDEX(_xlpm.rango,$BA$4-1,_xlpm.col) +
INDEX(_xlpm.rango,$BA$4, _xlpm.col)
)</f>
        <v>#VALUE!</v>
      </c>
      <c r="AP79" s="95" t="e" cm="1" vm="1">
        <f t="array" aca="1" ref="AP79" ca="1">_xlfn.LET(
_xlpm.rango, INDIRECT("E!$C$" &amp; $BA$8 &amp; ":$DR$" &amp; $BA$9),
_xlpm.col, AP$72+$D78*10,
INDEX(_xlpm.rango,$BA$4-3,_xlpm.col) +
INDEX(_xlpm.rango,$BA$4-2,_xlpm.col) +
INDEX(_xlpm.rango,$BA$4-1,_xlpm.col) +
INDEX(_xlpm.rango,$BA$4, _xlpm.col)
)</f>
        <v>#VALUE!</v>
      </c>
      <c r="AQ79" s="95" t="e" cm="1" vm="1">
        <f t="array" aca="1" ref="AQ79" ca="1">_xlfn.LET(
_xlpm.rango, INDIRECT("E!$C$" &amp; $BA$8 &amp; ":$DR$" &amp; $BA$9),
_xlpm.col, AQ$72+$D78*10,
INDEX(_xlpm.rango,$BA$4-3,_xlpm.col) +
INDEX(_xlpm.rango,$BA$4-2,_xlpm.col) +
INDEX(_xlpm.rango,$BA$4-1,_xlpm.col) +
INDEX(_xlpm.rango,$BA$4, _xlpm.col)
)</f>
        <v>#VALUE!</v>
      </c>
      <c r="AR79" s="95" t="e" cm="1" vm="1">
        <f t="array" aca="1" ref="AR79" ca="1">_xlfn.LET(
_xlpm.rango, INDIRECT("E!$C$" &amp; $BA$8 &amp; ":$DR$" &amp; $BA$9),
_xlpm.col, AR$72+$D78*10,
INDEX(_xlpm.rango,$BA$4-3,_xlpm.col) +
INDEX(_xlpm.rango,$BA$4-2,_xlpm.col) +
INDEX(_xlpm.rango,$BA$4-1,_xlpm.col) +
INDEX(_xlpm.rango,$BA$4, _xlpm.col)
)</f>
        <v>#VALUE!</v>
      </c>
      <c r="AS79" s="112" t="e" cm="1" vm="1">
        <f t="array" aca="1" ref="AS79" ca="1">_xlfn.LET(
_xlpm.rango, INDIRECT("E!$C$" &amp; $BA$8 &amp; ":$DR$" &amp; $BA$9),
_xlpm.col, AS$72+$D78*10,
INDEX(_xlpm.rango,$BA$4-3,_xlpm.col) +
INDEX(_xlpm.rango,$BA$4-2,_xlpm.col) +
INDEX(_xlpm.rango,$BA$4-1,_xlpm.col) +
INDEX(_xlpm.rango,$BA$4, _xlpm.col)
)</f>
        <v>#VALUE!</v>
      </c>
      <c r="AT79" s="118" t="e" vm="2">
        <f t="shared" ca="1" si="0"/>
        <v>#VALUE!</v>
      </c>
      <c r="AU79" s="120" t="e" vm="2">
        <f t="shared" ca="1" si="1"/>
        <v>#VALUE!</v>
      </c>
    </row>
    <row r="80" spans="4:47" x14ac:dyDescent="0.25">
      <c r="D80">
        <v>5</v>
      </c>
      <c r="E80" s="106" t="str">
        <f>Inicio!V8</f>
        <v>Bicicleta</v>
      </c>
      <c r="F80" s="100" t="e" cm="1" vm="1">
        <f t="array" aca="1" ref="F80" ca="1">_xlfn.LET(
_xlpm.rango, INDIRECT("N!$C$" &amp; $BA$8 &amp; ":$DR$" &amp; $BA$9),
_xlpm.col, F$72+$D79*10,
INDEX(_xlpm.rango,$BA$4-3,_xlpm.col) +
INDEX(_xlpm.rango,$BA$4-2,_xlpm.col) +
INDEX(_xlpm.rango,$BA$4-1,_xlpm.col) +
INDEX(_xlpm.rango,$BA$4, _xlpm.col)
)</f>
        <v>#VALUE!</v>
      </c>
      <c r="G80" s="95" t="e" cm="1" vm="1">
        <f t="array" aca="1" ref="G80" ca="1">_xlfn.LET(
_xlpm.rango, INDIRECT("N!$C$" &amp; $BA$8 &amp; ":$DR$" &amp; $BA$9),
_xlpm.col, G$72+$D79*10,
INDEX(_xlpm.rango,$BA$4-3,_xlpm.col) +
INDEX(_xlpm.rango,$BA$4-2,_xlpm.col) +
INDEX(_xlpm.rango,$BA$4-1,_xlpm.col) +
INDEX(_xlpm.rango,$BA$4, _xlpm.col)
)</f>
        <v>#VALUE!</v>
      </c>
      <c r="H80" s="95" t="e" cm="1" vm="1">
        <f t="array" aca="1" ref="H80" ca="1">_xlfn.LET(
_xlpm.rango, INDIRECT("N!$C$" &amp; $BA$8 &amp; ":$DR$" &amp; $BA$9),
_xlpm.col, H$72+$D79*10,
INDEX(_xlpm.rango,$BA$4-3,_xlpm.col) +
INDEX(_xlpm.rango,$BA$4-2,_xlpm.col) +
INDEX(_xlpm.rango,$BA$4-1,_xlpm.col) +
INDEX(_xlpm.rango,$BA$4, _xlpm.col)
)</f>
        <v>#VALUE!</v>
      </c>
      <c r="I80" s="95" t="e" cm="1" vm="1">
        <f t="array" aca="1" ref="I80" ca="1">_xlfn.LET(
_xlpm.rango, INDIRECT("N!$C$" &amp; $BA$8 &amp; ":$DR$" &amp; $BA$9),
_xlpm.col, I$72+$D79*10,
INDEX(_xlpm.rango,$BA$4-3,_xlpm.col) +
INDEX(_xlpm.rango,$BA$4-2,_xlpm.col) +
INDEX(_xlpm.rango,$BA$4-1,_xlpm.col) +
INDEX(_xlpm.rango,$BA$4, _xlpm.col)
)</f>
        <v>#VALUE!</v>
      </c>
      <c r="J80" s="95" t="e" cm="1" vm="1">
        <f t="array" aca="1" ref="J80" ca="1">_xlfn.LET(
_xlpm.rango, INDIRECT("N!$C$" &amp; $BA$8 &amp; ":$DR$" &amp; $BA$9),
_xlpm.col, J$72+$D79*10,
INDEX(_xlpm.rango,$BA$4-3,_xlpm.col) +
INDEX(_xlpm.rango,$BA$4-2,_xlpm.col) +
INDEX(_xlpm.rango,$BA$4-1,_xlpm.col) +
INDEX(_xlpm.rango,$BA$4, _xlpm.col)
)</f>
        <v>#VALUE!</v>
      </c>
      <c r="K80" s="95" t="e" cm="1" vm="1">
        <f t="array" aca="1" ref="K80" ca="1">_xlfn.LET(
_xlpm.rango, INDIRECT("N!$C$" &amp; $BA$8 &amp; ":$DR$" &amp; $BA$9),
_xlpm.col, K$72+$D79*10,
INDEX(_xlpm.rango,$BA$4-3,_xlpm.col) +
INDEX(_xlpm.rango,$BA$4-2,_xlpm.col) +
INDEX(_xlpm.rango,$BA$4-1,_xlpm.col) +
INDEX(_xlpm.rango,$BA$4, _xlpm.col)
)</f>
        <v>#VALUE!</v>
      </c>
      <c r="L80" s="95" t="e" cm="1" vm="1">
        <f t="array" aca="1" ref="L80" ca="1">_xlfn.LET(
_xlpm.rango, INDIRECT("N!$C$" &amp; $BA$8 &amp; ":$DR$" &amp; $BA$9),
_xlpm.col, L$72+$D79*10,
INDEX(_xlpm.rango,$BA$4-3,_xlpm.col) +
INDEX(_xlpm.rango,$BA$4-2,_xlpm.col) +
INDEX(_xlpm.rango,$BA$4-1,_xlpm.col) +
INDEX(_xlpm.rango,$BA$4, _xlpm.col)
)</f>
        <v>#VALUE!</v>
      </c>
      <c r="M80" s="95" t="e" cm="1" vm="1">
        <f t="array" aca="1" ref="M80" ca="1">_xlfn.LET(
_xlpm.rango, INDIRECT("N!$C$" &amp; $BA$8 &amp; ":$DR$" &amp; $BA$9),
_xlpm.col, M$72+$D79*10,
INDEX(_xlpm.rango,$BA$4-3,_xlpm.col) +
INDEX(_xlpm.rango,$BA$4-2,_xlpm.col) +
INDEX(_xlpm.rango,$BA$4-1,_xlpm.col) +
INDEX(_xlpm.rango,$BA$4, _xlpm.col)
)</f>
        <v>#VALUE!</v>
      </c>
      <c r="N80" s="95" t="e" cm="1" vm="1">
        <f t="array" aca="1" ref="N80" ca="1">_xlfn.LET(
_xlpm.rango, INDIRECT("N!$C$" &amp; $BA$8 &amp; ":$DR$" &amp; $BA$9),
_xlpm.col, N$72+$D79*10,
INDEX(_xlpm.rango,$BA$4-3,_xlpm.col) +
INDEX(_xlpm.rango,$BA$4-2,_xlpm.col) +
INDEX(_xlpm.rango,$BA$4-1,_xlpm.col) +
INDEX(_xlpm.rango,$BA$4, _xlpm.col)
)</f>
        <v>#VALUE!</v>
      </c>
      <c r="O80" s="96" t="e" cm="1" vm="1">
        <f t="array" aca="1" ref="O80" ca="1">_xlfn.LET(
_xlpm.rango, INDIRECT("N!$C$" &amp; $BA$8 &amp; ":$DR$" &amp; $BA$9),
_xlpm.col, O$72+$D79*10,
INDEX(_xlpm.rango,$BA$4-3,_xlpm.col) +
INDEX(_xlpm.rango,$BA$4-2,_xlpm.col) +
INDEX(_xlpm.rango,$BA$4-1,_xlpm.col) +
INDEX(_xlpm.rango,$BA$4, _xlpm.col)
)</f>
        <v>#VALUE!</v>
      </c>
      <c r="P80" s="95" t="e" cm="1" vm="1">
        <f t="array" aca="1" ref="P80" ca="1">_xlfn.LET(
_xlpm.rango, INDIRECT("S!$C$" &amp; $BA$8 &amp; ":$DR$" &amp; $BA$9),
_xlpm.col, P$72+$D79*10,
INDEX(_xlpm.rango,$BA$4-3,_xlpm.col) +
INDEX(_xlpm.rango,$BA$4-2,_xlpm.col) +
INDEX(_xlpm.rango,$BA$4-1,_xlpm.col) +
INDEX(_xlpm.rango,$BA$4, _xlpm.col)
)</f>
        <v>#VALUE!</v>
      </c>
      <c r="Q80" s="95" t="e" cm="1" vm="1">
        <f t="array" aca="1" ref="Q80" ca="1">_xlfn.LET(
_xlpm.rango, INDIRECT("S!$C$" &amp; $BA$8 &amp; ":$DR$" &amp; $BA$9),
_xlpm.col, Q$72+$D79*10,
INDEX(_xlpm.rango,$BA$4-3,_xlpm.col) +
INDEX(_xlpm.rango,$BA$4-2,_xlpm.col) +
INDEX(_xlpm.rango,$BA$4-1,_xlpm.col) +
INDEX(_xlpm.rango,$BA$4, _xlpm.col)
)</f>
        <v>#VALUE!</v>
      </c>
      <c r="R80" s="95" t="e" cm="1" vm="1">
        <f t="array" aca="1" ref="R80" ca="1">_xlfn.LET(
_xlpm.rango, INDIRECT("S!$C$" &amp; $BA$8 &amp; ":$DR$" &amp; $BA$9),
_xlpm.col, R$72+$D79*10,
INDEX(_xlpm.rango,$BA$4-3,_xlpm.col) +
INDEX(_xlpm.rango,$BA$4-2,_xlpm.col) +
INDEX(_xlpm.rango,$BA$4-1,_xlpm.col) +
INDEX(_xlpm.rango,$BA$4, _xlpm.col)
)</f>
        <v>#VALUE!</v>
      </c>
      <c r="S80" s="95" t="e" cm="1" vm="1">
        <f t="array" aca="1" ref="S80" ca="1">_xlfn.LET(
_xlpm.rango, INDIRECT("S!$C$" &amp; $BA$8 &amp; ":$DR$" &amp; $BA$9),
_xlpm.col, S$72+$D79*10,
INDEX(_xlpm.rango,$BA$4-3,_xlpm.col) +
INDEX(_xlpm.rango,$BA$4-2,_xlpm.col) +
INDEX(_xlpm.rango,$BA$4-1,_xlpm.col) +
INDEX(_xlpm.rango,$BA$4, _xlpm.col)
)</f>
        <v>#VALUE!</v>
      </c>
      <c r="T80" s="95" t="e" cm="1" vm="1">
        <f t="array" aca="1" ref="T80" ca="1">_xlfn.LET(
_xlpm.rango, INDIRECT("S!$C$" &amp; $BA$8 &amp; ":$DR$" &amp; $BA$9),
_xlpm.col, T$72+$D79*10,
INDEX(_xlpm.rango,$BA$4-3,_xlpm.col) +
INDEX(_xlpm.rango,$BA$4-2,_xlpm.col) +
INDEX(_xlpm.rango,$BA$4-1,_xlpm.col) +
INDEX(_xlpm.rango,$BA$4, _xlpm.col)
)</f>
        <v>#VALUE!</v>
      </c>
      <c r="U80" s="95" t="e" cm="1" vm="1">
        <f t="array" aca="1" ref="U80" ca="1">_xlfn.LET(
_xlpm.rango, INDIRECT("S!$C$" &amp; $BA$8 &amp; ":$DR$" &amp; $BA$9),
_xlpm.col, U$72+$D79*10,
INDEX(_xlpm.rango,$BA$4-3,_xlpm.col) +
INDEX(_xlpm.rango,$BA$4-2,_xlpm.col) +
INDEX(_xlpm.rango,$BA$4-1,_xlpm.col) +
INDEX(_xlpm.rango,$BA$4, _xlpm.col)
)</f>
        <v>#VALUE!</v>
      </c>
      <c r="V80" s="95" t="e" cm="1" vm="1">
        <f t="array" aca="1" ref="V80" ca="1">_xlfn.LET(
_xlpm.rango, INDIRECT("S!$C$" &amp; $BA$8 &amp; ":$DR$" &amp; $BA$9),
_xlpm.col, V$72+$D79*10,
INDEX(_xlpm.rango,$BA$4-3,_xlpm.col) +
INDEX(_xlpm.rango,$BA$4-2,_xlpm.col) +
INDEX(_xlpm.rango,$BA$4-1,_xlpm.col) +
INDEX(_xlpm.rango,$BA$4, _xlpm.col)
)</f>
        <v>#VALUE!</v>
      </c>
      <c r="W80" s="95" t="e" cm="1" vm="1">
        <f t="array" aca="1" ref="W80" ca="1">_xlfn.LET(
_xlpm.rango, INDIRECT("S!$C$" &amp; $BA$8 &amp; ":$DR$" &amp; $BA$9),
_xlpm.col, W$72+$D79*10,
INDEX(_xlpm.rango,$BA$4-3,_xlpm.col) +
INDEX(_xlpm.rango,$BA$4-2,_xlpm.col) +
INDEX(_xlpm.rango,$BA$4-1,_xlpm.col) +
INDEX(_xlpm.rango,$BA$4, _xlpm.col)
)</f>
        <v>#VALUE!</v>
      </c>
      <c r="X80" s="95" t="e" cm="1" vm="1">
        <f t="array" aca="1" ref="X80" ca="1">_xlfn.LET(
_xlpm.rango, INDIRECT("S!$C$" &amp; $BA$8 &amp; ":$DR$" &amp; $BA$9),
_xlpm.col, X$72+$D79*10,
INDEX(_xlpm.rango,$BA$4-3,_xlpm.col) +
INDEX(_xlpm.rango,$BA$4-2,_xlpm.col) +
INDEX(_xlpm.rango,$BA$4-1,_xlpm.col) +
INDEX(_xlpm.rango,$BA$4, _xlpm.col)
)</f>
        <v>#VALUE!</v>
      </c>
      <c r="Y80" s="95" t="e" cm="1" vm="1">
        <f t="array" aca="1" ref="Y80" ca="1">_xlfn.LET(
_xlpm.rango, INDIRECT("S!$C$" &amp; $BA$8 &amp; ":$DR$" &amp; $BA$9),
_xlpm.col, Y$72+$D79*10,
INDEX(_xlpm.rango,$BA$4-3,_xlpm.col) +
INDEX(_xlpm.rango,$BA$4-2,_xlpm.col) +
INDEX(_xlpm.rango,$BA$4-1,_xlpm.col) +
INDEX(_xlpm.rango,$BA$4, _xlpm.col)
)</f>
        <v>#VALUE!</v>
      </c>
      <c r="Z80" s="100" t="e" cm="1" vm="1">
        <f t="array" aca="1" ref="Z80" ca="1">_xlfn.LET(
_xlpm.rango, INDIRECT("E!$C$" &amp; $BA$8 &amp; ":$DR$" &amp; $BA$9),
_xlpm.col, Z$72+$D79*10,
INDEX(_xlpm.rango,$BA$4-3,_xlpm.col) +
INDEX(_xlpm.rango,$BA$4-2,_xlpm.col) +
INDEX(_xlpm.rango,$BA$4-1,_xlpm.col) +
INDEX(_xlpm.rango,$BA$4, _xlpm.col)
)</f>
        <v>#VALUE!</v>
      </c>
      <c r="AA80" s="95" t="e" cm="1" vm="1">
        <f t="array" aca="1" ref="AA80" ca="1">_xlfn.LET(
_xlpm.rango, INDIRECT("E!$C$" &amp; $BA$8 &amp; ":$DR$" &amp; $BA$9),
_xlpm.col, AA$72+$D79*10,
INDEX(_xlpm.rango,$BA$4-3,_xlpm.col) +
INDEX(_xlpm.rango,$BA$4-2,_xlpm.col) +
INDEX(_xlpm.rango,$BA$4-1,_xlpm.col) +
INDEX(_xlpm.rango,$BA$4, _xlpm.col)
)</f>
        <v>#VALUE!</v>
      </c>
      <c r="AB80" s="95" t="e" cm="1" vm="1">
        <f t="array" aca="1" ref="AB80" ca="1">_xlfn.LET(
_xlpm.rango, INDIRECT("E!$C$" &amp; $BA$8 &amp; ":$DR$" &amp; $BA$9),
_xlpm.col, AB$72+$D79*10,
INDEX(_xlpm.rango,$BA$4-3,_xlpm.col) +
INDEX(_xlpm.rango,$BA$4-2,_xlpm.col) +
INDEX(_xlpm.rango,$BA$4-1,_xlpm.col) +
INDEX(_xlpm.rango,$BA$4, _xlpm.col)
)</f>
        <v>#VALUE!</v>
      </c>
      <c r="AC80" s="95" t="e" cm="1" vm="1">
        <f t="array" aca="1" ref="AC80" ca="1">_xlfn.LET(
_xlpm.rango, INDIRECT("E!$C$" &amp; $BA$8 &amp; ":$DR$" &amp; $BA$9),
_xlpm.col, AC$72+$D79*10,
INDEX(_xlpm.rango,$BA$4-3,_xlpm.col) +
INDEX(_xlpm.rango,$BA$4-2,_xlpm.col) +
INDEX(_xlpm.rango,$BA$4-1,_xlpm.col) +
INDEX(_xlpm.rango,$BA$4, _xlpm.col)
)</f>
        <v>#VALUE!</v>
      </c>
      <c r="AD80" s="95" t="e" cm="1" vm="1">
        <f t="array" aca="1" ref="AD80" ca="1">_xlfn.LET(
_xlpm.rango, INDIRECT("E!$C$" &amp; $BA$8 &amp; ":$DR$" &amp; $BA$9),
_xlpm.col, AD$72+$D79*10,
INDEX(_xlpm.rango,$BA$4-3,_xlpm.col) +
INDEX(_xlpm.rango,$BA$4-2,_xlpm.col) +
INDEX(_xlpm.rango,$BA$4-1,_xlpm.col) +
INDEX(_xlpm.rango,$BA$4, _xlpm.col)
)</f>
        <v>#VALUE!</v>
      </c>
      <c r="AE80" s="95" t="e" cm="1" vm="1">
        <f t="array" aca="1" ref="AE80" ca="1">_xlfn.LET(
_xlpm.rango, INDIRECT("E!$C$" &amp; $BA$8 &amp; ":$DR$" &amp; $BA$9),
_xlpm.col, AE$72+$D79*10,
INDEX(_xlpm.rango,$BA$4-3,_xlpm.col) +
INDEX(_xlpm.rango,$BA$4-2,_xlpm.col) +
INDEX(_xlpm.rango,$BA$4-1,_xlpm.col) +
INDEX(_xlpm.rango,$BA$4, _xlpm.col)
)</f>
        <v>#VALUE!</v>
      </c>
      <c r="AF80" s="95" t="e" cm="1" vm="1">
        <f t="array" aca="1" ref="AF80" ca="1">_xlfn.LET(
_xlpm.rango, INDIRECT("E!$C$" &amp; $BA$8 &amp; ":$DR$" &amp; $BA$9),
_xlpm.col, AF$72+$D79*10,
INDEX(_xlpm.rango,$BA$4-3,_xlpm.col) +
INDEX(_xlpm.rango,$BA$4-2,_xlpm.col) +
INDEX(_xlpm.rango,$BA$4-1,_xlpm.col) +
INDEX(_xlpm.rango,$BA$4, _xlpm.col)
)</f>
        <v>#VALUE!</v>
      </c>
      <c r="AG80" s="95" t="e" cm="1" vm="1">
        <f t="array" aca="1" ref="AG80" ca="1">_xlfn.LET(
_xlpm.rango, INDIRECT("E!$C$" &amp; $BA$8 &amp; ":$DR$" &amp; $BA$9),
_xlpm.col, AG$72+$D79*10,
INDEX(_xlpm.rango,$BA$4-3,_xlpm.col) +
INDEX(_xlpm.rango,$BA$4-2,_xlpm.col) +
INDEX(_xlpm.rango,$BA$4-1,_xlpm.col) +
INDEX(_xlpm.rango,$BA$4, _xlpm.col)
)</f>
        <v>#VALUE!</v>
      </c>
      <c r="AH80" s="95" t="e" cm="1" vm="1">
        <f t="array" aca="1" ref="AH80" ca="1">_xlfn.LET(
_xlpm.rango, INDIRECT("E!$C$" &amp; $BA$8 &amp; ":$DR$" &amp; $BA$9),
_xlpm.col, AH$72+$D79*10,
INDEX(_xlpm.rango,$BA$4-3,_xlpm.col) +
INDEX(_xlpm.rango,$BA$4-2,_xlpm.col) +
INDEX(_xlpm.rango,$BA$4-1,_xlpm.col) +
INDEX(_xlpm.rango,$BA$4, _xlpm.col)
)</f>
        <v>#VALUE!</v>
      </c>
      <c r="AI80" s="96" t="e" cm="1" vm="1">
        <f t="array" aca="1" ref="AI80" ca="1">_xlfn.LET(
_xlpm.rango, INDIRECT("E!$C$" &amp; $BA$8 &amp; ":$DR$" &amp; $BA$9),
_xlpm.col, AI$72+$D79*10,
INDEX(_xlpm.rango,$BA$4-3,_xlpm.col) +
INDEX(_xlpm.rango,$BA$4-2,_xlpm.col) +
INDEX(_xlpm.rango,$BA$4-1,_xlpm.col) +
INDEX(_xlpm.rango,$BA$4, _xlpm.col)
)</f>
        <v>#VALUE!</v>
      </c>
      <c r="AJ80" s="95" t="e" cm="1" vm="1">
        <f t="array" aca="1" ref="AJ80" ca="1">_xlfn.LET(
_xlpm.rango, INDIRECT("E!$C$" &amp; $BA$8 &amp; ":$DR$" &amp; $BA$9),
_xlpm.col, AJ$72+$D79*10,
INDEX(_xlpm.rango,$BA$4-3,_xlpm.col) +
INDEX(_xlpm.rango,$BA$4-2,_xlpm.col) +
INDEX(_xlpm.rango,$BA$4-1,_xlpm.col) +
INDEX(_xlpm.rango,$BA$4, _xlpm.col)
)</f>
        <v>#VALUE!</v>
      </c>
      <c r="AK80" s="95" t="e" cm="1" vm="1">
        <f t="array" aca="1" ref="AK80" ca="1">_xlfn.LET(
_xlpm.rango, INDIRECT("E!$C$" &amp; $BA$8 &amp; ":$DR$" &amp; $BA$9),
_xlpm.col, AK$72+$D79*10,
INDEX(_xlpm.rango,$BA$4-3,_xlpm.col) +
INDEX(_xlpm.rango,$BA$4-2,_xlpm.col) +
INDEX(_xlpm.rango,$BA$4-1,_xlpm.col) +
INDEX(_xlpm.rango,$BA$4, _xlpm.col)
)</f>
        <v>#VALUE!</v>
      </c>
      <c r="AL80" s="95" t="e" cm="1" vm="1">
        <f t="array" aca="1" ref="AL80" ca="1">_xlfn.LET(
_xlpm.rango, INDIRECT("E!$C$" &amp; $BA$8 &amp; ":$DR$" &amp; $BA$9),
_xlpm.col, AL$72+$D79*10,
INDEX(_xlpm.rango,$BA$4-3,_xlpm.col) +
INDEX(_xlpm.rango,$BA$4-2,_xlpm.col) +
INDEX(_xlpm.rango,$BA$4-1,_xlpm.col) +
INDEX(_xlpm.rango,$BA$4, _xlpm.col)
)</f>
        <v>#VALUE!</v>
      </c>
      <c r="AM80" s="95" t="e" cm="1" vm="1">
        <f t="array" aca="1" ref="AM80" ca="1">_xlfn.LET(
_xlpm.rango, INDIRECT("E!$C$" &amp; $BA$8 &amp; ":$DR$" &amp; $BA$9),
_xlpm.col, AM$72+$D79*10,
INDEX(_xlpm.rango,$BA$4-3,_xlpm.col) +
INDEX(_xlpm.rango,$BA$4-2,_xlpm.col) +
INDEX(_xlpm.rango,$BA$4-1,_xlpm.col) +
INDEX(_xlpm.rango,$BA$4, _xlpm.col)
)</f>
        <v>#VALUE!</v>
      </c>
      <c r="AN80" s="95" t="e" cm="1" vm="1">
        <f t="array" aca="1" ref="AN80" ca="1">_xlfn.LET(
_xlpm.rango, INDIRECT("E!$C$" &amp; $BA$8 &amp; ":$DR$" &amp; $BA$9),
_xlpm.col, AN$72+$D79*10,
INDEX(_xlpm.rango,$BA$4-3,_xlpm.col) +
INDEX(_xlpm.rango,$BA$4-2,_xlpm.col) +
INDEX(_xlpm.rango,$BA$4-1,_xlpm.col) +
INDEX(_xlpm.rango,$BA$4, _xlpm.col)
)</f>
        <v>#VALUE!</v>
      </c>
      <c r="AO80" s="95" t="e" cm="1" vm="1">
        <f t="array" aca="1" ref="AO80" ca="1">_xlfn.LET(
_xlpm.rango, INDIRECT("E!$C$" &amp; $BA$8 &amp; ":$DR$" &amp; $BA$9),
_xlpm.col, AO$72+$D79*10,
INDEX(_xlpm.rango,$BA$4-3,_xlpm.col) +
INDEX(_xlpm.rango,$BA$4-2,_xlpm.col) +
INDEX(_xlpm.rango,$BA$4-1,_xlpm.col) +
INDEX(_xlpm.rango,$BA$4, _xlpm.col)
)</f>
        <v>#VALUE!</v>
      </c>
      <c r="AP80" s="95" t="e" cm="1" vm="1">
        <f t="array" aca="1" ref="AP80" ca="1">_xlfn.LET(
_xlpm.rango, INDIRECT("E!$C$" &amp; $BA$8 &amp; ":$DR$" &amp; $BA$9),
_xlpm.col, AP$72+$D79*10,
INDEX(_xlpm.rango,$BA$4-3,_xlpm.col) +
INDEX(_xlpm.rango,$BA$4-2,_xlpm.col) +
INDEX(_xlpm.rango,$BA$4-1,_xlpm.col) +
INDEX(_xlpm.rango,$BA$4, _xlpm.col)
)</f>
        <v>#VALUE!</v>
      </c>
      <c r="AQ80" s="95" t="e" cm="1" vm="1">
        <f t="array" aca="1" ref="AQ80" ca="1">_xlfn.LET(
_xlpm.rango, INDIRECT("E!$C$" &amp; $BA$8 &amp; ":$DR$" &amp; $BA$9),
_xlpm.col, AQ$72+$D79*10,
INDEX(_xlpm.rango,$BA$4-3,_xlpm.col) +
INDEX(_xlpm.rango,$BA$4-2,_xlpm.col) +
INDEX(_xlpm.rango,$BA$4-1,_xlpm.col) +
INDEX(_xlpm.rango,$BA$4, _xlpm.col)
)</f>
        <v>#VALUE!</v>
      </c>
      <c r="AR80" s="95" t="e" cm="1" vm="1">
        <f t="array" aca="1" ref="AR80" ca="1">_xlfn.LET(
_xlpm.rango, INDIRECT("E!$C$" &amp; $BA$8 &amp; ":$DR$" &amp; $BA$9),
_xlpm.col, AR$72+$D79*10,
INDEX(_xlpm.rango,$BA$4-3,_xlpm.col) +
INDEX(_xlpm.rango,$BA$4-2,_xlpm.col) +
INDEX(_xlpm.rango,$BA$4-1,_xlpm.col) +
INDEX(_xlpm.rango,$BA$4, _xlpm.col)
)</f>
        <v>#VALUE!</v>
      </c>
      <c r="AS80" s="112" t="e" cm="1" vm="1">
        <f t="array" aca="1" ref="AS80" ca="1">_xlfn.LET(
_xlpm.rango, INDIRECT("E!$C$" &amp; $BA$8 &amp; ":$DR$" &amp; $BA$9),
_xlpm.col, AS$72+$D79*10,
INDEX(_xlpm.rango,$BA$4-3,_xlpm.col) +
INDEX(_xlpm.rango,$BA$4-2,_xlpm.col) +
INDEX(_xlpm.rango,$BA$4-1,_xlpm.col) +
INDEX(_xlpm.rango,$BA$4, _xlpm.col)
)</f>
        <v>#VALUE!</v>
      </c>
      <c r="AT80" s="118" t="e" vm="2">
        <f t="shared" ca="1" si="0"/>
        <v>#VALUE!</v>
      </c>
      <c r="AU80" s="120" t="e" vm="2">
        <f t="shared" ca="1" si="1"/>
        <v>#VALUE!</v>
      </c>
    </row>
    <row r="81" spans="4:47" x14ac:dyDescent="0.25">
      <c r="D81">
        <v>6</v>
      </c>
      <c r="E81" s="106" t="str">
        <f>Inicio!V9</f>
        <v>Taxi</v>
      </c>
      <c r="F81" s="100" t="e" cm="1" vm="1">
        <f t="array" aca="1" ref="F81" ca="1">_xlfn.LET(
_xlpm.rango, INDIRECT("N!$C$" &amp; $BA$8 &amp; ":$DR$" &amp; $BA$9),
_xlpm.col, F$72+$D80*10,
INDEX(_xlpm.rango,$BA$4-3,_xlpm.col) +
INDEX(_xlpm.rango,$BA$4-2,_xlpm.col) +
INDEX(_xlpm.rango,$BA$4-1,_xlpm.col) +
INDEX(_xlpm.rango,$BA$4, _xlpm.col)
)</f>
        <v>#VALUE!</v>
      </c>
      <c r="G81" s="95" t="e" cm="1" vm="1">
        <f t="array" aca="1" ref="G81" ca="1">_xlfn.LET(
_xlpm.rango, INDIRECT("N!$C$" &amp; $BA$8 &amp; ":$DR$" &amp; $BA$9),
_xlpm.col, G$72+$D80*10,
INDEX(_xlpm.rango,$BA$4-3,_xlpm.col) +
INDEX(_xlpm.rango,$BA$4-2,_xlpm.col) +
INDEX(_xlpm.rango,$BA$4-1,_xlpm.col) +
INDEX(_xlpm.rango,$BA$4, _xlpm.col)
)</f>
        <v>#VALUE!</v>
      </c>
      <c r="H81" s="95" t="e" cm="1" vm="1">
        <f t="array" aca="1" ref="H81" ca="1">_xlfn.LET(
_xlpm.rango, INDIRECT("N!$C$" &amp; $BA$8 &amp; ":$DR$" &amp; $BA$9),
_xlpm.col, H$72+$D80*10,
INDEX(_xlpm.rango,$BA$4-3,_xlpm.col) +
INDEX(_xlpm.rango,$BA$4-2,_xlpm.col) +
INDEX(_xlpm.rango,$BA$4-1,_xlpm.col) +
INDEX(_xlpm.rango,$BA$4, _xlpm.col)
)</f>
        <v>#VALUE!</v>
      </c>
      <c r="I81" s="95" t="e" cm="1" vm="1">
        <f t="array" aca="1" ref="I81" ca="1">_xlfn.LET(
_xlpm.rango, INDIRECT("N!$C$" &amp; $BA$8 &amp; ":$DR$" &amp; $BA$9),
_xlpm.col, I$72+$D80*10,
INDEX(_xlpm.rango,$BA$4-3,_xlpm.col) +
INDEX(_xlpm.rango,$BA$4-2,_xlpm.col) +
INDEX(_xlpm.rango,$BA$4-1,_xlpm.col) +
INDEX(_xlpm.rango,$BA$4, _xlpm.col)
)</f>
        <v>#VALUE!</v>
      </c>
      <c r="J81" s="95" t="e" cm="1" vm="1">
        <f t="array" aca="1" ref="J81" ca="1">_xlfn.LET(
_xlpm.rango, INDIRECT("N!$C$" &amp; $BA$8 &amp; ":$DR$" &amp; $BA$9),
_xlpm.col, J$72+$D80*10,
INDEX(_xlpm.rango,$BA$4-3,_xlpm.col) +
INDEX(_xlpm.rango,$BA$4-2,_xlpm.col) +
INDEX(_xlpm.rango,$BA$4-1,_xlpm.col) +
INDEX(_xlpm.rango,$BA$4, _xlpm.col)
)</f>
        <v>#VALUE!</v>
      </c>
      <c r="K81" s="95" t="e" cm="1" vm="1">
        <f t="array" aca="1" ref="K81" ca="1">_xlfn.LET(
_xlpm.rango, INDIRECT("N!$C$" &amp; $BA$8 &amp; ":$DR$" &amp; $BA$9),
_xlpm.col, K$72+$D80*10,
INDEX(_xlpm.rango,$BA$4-3,_xlpm.col) +
INDEX(_xlpm.rango,$BA$4-2,_xlpm.col) +
INDEX(_xlpm.rango,$BA$4-1,_xlpm.col) +
INDEX(_xlpm.rango,$BA$4, _xlpm.col)
)</f>
        <v>#VALUE!</v>
      </c>
      <c r="L81" s="95" t="e" cm="1" vm="1">
        <f t="array" aca="1" ref="L81" ca="1">_xlfn.LET(
_xlpm.rango, INDIRECT("N!$C$" &amp; $BA$8 &amp; ":$DR$" &amp; $BA$9),
_xlpm.col, L$72+$D80*10,
INDEX(_xlpm.rango,$BA$4-3,_xlpm.col) +
INDEX(_xlpm.rango,$BA$4-2,_xlpm.col) +
INDEX(_xlpm.rango,$BA$4-1,_xlpm.col) +
INDEX(_xlpm.rango,$BA$4, _xlpm.col)
)</f>
        <v>#VALUE!</v>
      </c>
      <c r="M81" s="95" t="e" cm="1" vm="1">
        <f t="array" aca="1" ref="M81" ca="1">_xlfn.LET(
_xlpm.rango, INDIRECT("N!$C$" &amp; $BA$8 &amp; ":$DR$" &amp; $BA$9),
_xlpm.col, M$72+$D80*10,
INDEX(_xlpm.rango,$BA$4-3,_xlpm.col) +
INDEX(_xlpm.rango,$BA$4-2,_xlpm.col) +
INDEX(_xlpm.rango,$BA$4-1,_xlpm.col) +
INDEX(_xlpm.rango,$BA$4, _xlpm.col)
)</f>
        <v>#VALUE!</v>
      </c>
      <c r="N81" s="95" t="e" cm="1" vm="1">
        <f t="array" aca="1" ref="N81" ca="1">_xlfn.LET(
_xlpm.rango, INDIRECT("N!$C$" &amp; $BA$8 &amp; ":$DR$" &amp; $BA$9),
_xlpm.col, N$72+$D80*10,
INDEX(_xlpm.rango,$BA$4-3,_xlpm.col) +
INDEX(_xlpm.rango,$BA$4-2,_xlpm.col) +
INDEX(_xlpm.rango,$BA$4-1,_xlpm.col) +
INDEX(_xlpm.rango,$BA$4, _xlpm.col)
)</f>
        <v>#VALUE!</v>
      </c>
      <c r="O81" s="96" t="e" cm="1" vm="1">
        <f t="array" aca="1" ref="O81" ca="1">_xlfn.LET(
_xlpm.rango, INDIRECT("N!$C$" &amp; $BA$8 &amp; ":$DR$" &amp; $BA$9),
_xlpm.col, O$72+$D80*10,
INDEX(_xlpm.rango,$BA$4-3,_xlpm.col) +
INDEX(_xlpm.rango,$BA$4-2,_xlpm.col) +
INDEX(_xlpm.rango,$BA$4-1,_xlpm.col) +
INDEX(_xlpm.rango,$BA$4, _xlpm.col)
)</f>
        <v>#VALUE!</v>
      </c>
      <c r="P81" s="95" t="e" cm="1" vm="1">
        <f t="array" aca="1" ref="P81" ca="1">_xlfn.LET(
_xlpm.rango, INDIRECT("S!$C$" &amp; $BA$8 &amp; ":$DR$" &amp; $BA$9),
_xlpm.col, P$72+$D80*10,
INDEX(_xlpm.rango,$BA$4-3,_xlpm.col) +
INDEX(_xlpm.rango,$BA$4-2,_xlpm.col) +
INDEX(_xlpm.rango,$BA$4-1,_xlpm.col) +
INDEX(_xlpm.rango,$BA$4, _xlpm.col)
)</f>
        <v>#VALUE!</v>
      </c>
      <c r="Q81" s="95" t="e" cm="1" vm="1">
        <f t="array" aca="1" ref="Q81" ca="1">_xlfn.LET(
_xlpm.rango, INDIRECT("S!$C$" &amp; $BA$8 &amp; ":$DR$" &amp; $BA$9),
_xlpm.col, Q$72+$D80*10,
INDEX(_xlpm.rango,$BA$4-3,_xlpm.col) +
INDEX(_xlpm.rango,$BA$4-2,_xlpm.col) +
INDEX(_xlpm.rango,$BA$4-1,_xlpm.col) +
INDEX(_xlpm.rango,$BA$4, _xlpm.col)
)</f>
        <v>#VALUE!</v>
      </c>
      <c r="R81" s="95" t="e" cm="1" vm="1">
        <f t="array" aca="1" ref="R81" ca="1">_xlfn.LET(
_xlpm.rango, INDIRECT("S!$C$" &amp; $BA$8 &amp; ":$DR$" &amp; $BA$9),
_xlpm.col, R$72+$D80*10,
INDEX(_xlpm.rango,$BA$4-3,_xlpm.col) +
INDEX(_xlpm.rango,$BA$4-2,_xlpm.col) +
INDEX(_xlpm.rango,$BA$4-1,_xlpm.col) +
INDEX(_xlpm.rango,$BA$4, _xlpm.col)
)</f>
        <v>#VALUE!</v>
      </c>
      <c r="S81" s="95" t="e" cm="1" vm="1">
        <f t="array" aca="1" ref="S81" ca="1">_xlfn.LET(
_xlpm.rango, INDIRECT("S!$C$" &amp; $BA$8 &amp; ":$DR$" &amp; $BA$9),
_xlpm.col, S$72+$D80*10,
INDEX(_xlpm.rango,$BA$4-3,_xlpm.col) +
INDEX(_xlpm.rango,$BA$4-2,_xlpm.col) +
INDEX(_xlpm.rango,$BA$4-1,_xlpm.col) +
INDEX(_xlpm.rango,$BA$4, _xlpm.col)
)</f>
        <v>#VALUE!</v>
      </c>
      <c r="T81" s="95" t="e" cm="1" vm="1">
        <f t="array" aca="1" ref="T81" ca="1">_xlfn.LET(
_xlpm.rango, INDIRECT("S!$C$" &amp; $BA$8 &amp; ":$DR$" &amp; $BA$9),
_xlpm.col, T$72+$D80*10,
INDEX(_xlpm.rango,$BA$4-3,_xlpm.col) +
INDEX(_xlpm.rango,$BA$4-2,_xlpm.col) +
INDEX(_xlpm.rango,$BA$4-1,_xlpm.col) +
INDEX(_xlpm.rango,$BA$4, _xlpm.col)
)</f>
        <v>#VALUE!</v>
      </c>
      <c r="U81" s="95" t="e" cm="1" vm="1">
        <f t="array" aca="1" ref="U81" ca="1">_xlfn.LET(
_xlpm.rango, INDIRECT("S!$C$" &amp; $BA$8 &amp; ":$DR$" &amp; $BA$9),
_xlpm.col, U$72+$D80*10,
INDEX(_xlpm.rango,$BA$4-3,_xlpm.col) +
INDEX(_xlpm.rango,$BA$4-2,_xlpm.col) +
INDEX(_xlpm.rango,$BA$4-1,_xlpm.col) +
INDEX(_xlpm.rango,$BA$4, _xlpm.col)
)</f>
        <v>#VALUE!</v>
      </c>
      <c r="V81" s="95" t="e" cm="1" vm="1">
        <f t="array" aca="1" ref="V81" ca="1">_xlfn.LET(
_xlpm.rango, INDIRECT("S!$C$" &amp; $BA$8 &amp; ":$DR$" &amp; $BA$9),
_xlpm.col, V$72+$D80*10,
INDEX(_xlpm.rango,$BA$4-3,_xlpm.col) +
INDEX(_xlpm.rango,$BA$4-2,_xlpm.col) +
INDEX(_xlpm.rango,$BA$4-1,_xlpm.col) +
INDEX(_xlpm.rango,$BA$4, _xlpm.col)
)</f>
        <v>#VALUE!</v>
      </c>
      <c r="W81" s="95" t="e" cm="1" vm="1">
        <f t="array" aca="1" ref="W81" ca="1">_xlfn.LET(
_xlpm.rango, INDIRECT("S!$C$" &amp; $BA$8 &amp; ":$DR$" &amp; $BA$9),
_xlpm.col, W$72+$D80*10,
INDEX(_xlpm.rango,$BA$4-3,_xlpm.col) +
INDEX(_xlpm.rango,$BA$4-2,_xlpm.col) +
INDEX(_xlpm.rango,$BA$4-1,_xlpm.col) +
INDEX(_xlpm.rango,$BA$4, _xlpm.col)
)</f>
        <v>#VALUE!</v>
      </c>
      <c r="X81" s="95" t="e" cm="1" vm="1">
        <f t="array" aca="1" ref="X81" ca="1">_xlfn.LET(
_xlpm.rango, INDIRECT("S!$C$" &amp; $BA$8 &amp; ":$DR$" &amp; $BA$9),
_xlpm.col, X$72+$D80*10,
INDEX(_xlpm.rango,$BA$4-3,_xlpm.col) +
INDEX(_xlpm.rango,$BA$4-2,_xlpm.col) +
INDEX(_xlpm.rango,$BA$4-1,_xlpm.col) +
INDEX(_xlpm.rango,$BA$4, _xlpm.col)
)</f>
        <v>#VALUE!</v>
      </c>
      <c r="Y81" s="95" t="e" cm="1" vm="1">
        <f t="array" aca="1" ref="Y81" ca="1">_xlfn.LET(
_xlpm.rango, INDIRECT("S!$C$" &amp; $BA$8 &amp; ":$DR$" &amp; $BA$9),
_xlpm.col, Y$72+$D80*10,
INDEX(_xlpm.rango,$BA$4-3,_xlpm.col) +
INDEX(_xlpm.rango,$BA$4-2,_xlpm.col) +
INDEX(_xlpm.rango,$BA$4-1,_xlpm.col) +
INDEX(_xlpm.rango,$BA$4, _xlpm.col)
)</f>
        <v>#VALUE!</v>
      </c>
      <c r="Z81" s="100" t="e" cm="1" vm="1">
        <f t="array" aca="1" ref="Z81" ca="1">_xlfn.LET(
_xlpm.rango, INDIRECT("E!$C$" &amp; $BA$8 &amp; ":$DR$" &amp; $BA$9),
_xlpm.col, Z$72+$D80*10,
INDEX(_xlpm.rango,$BA$4-3,_xlpm.col) +
INDEX(_xlpm.rango,$BA$4-2,_xlpm.col) +
INDEX(_xlpm.rango,$BA$4-1,_xlpm.col) +
INDEX(_xlpm.rango,$BA$4, _xlpm.col)
)</f>
        <v>#VALUE!</v>
      </c>
      <c r="AA81" s="95" t="e" cm="1" vm="1">
        <f t="array" aca="1" ref="AA81" ca="1">_xlfn.LET(
_xlpm.rango, INDIRECT("E!$C$" &amp; $BA$8 &amp; ":$DR$" &amp; $BA$9),
_xlpm.col, AA$72+$D80*10,
INDEX(_xlpm.rango,$BA$4-3,_xlpm.col) +
INDEX(_xlpm.rango,$BA$4-2,_xlpm.col) +
INDEX(_xlpm.rango,$BA$4-1,_xlpm.col) +
INDEX(_xlpm.rango,$BA$4, _xlpm.col)
)</f>
        <v>#VALUE!</v>
      </c>
      <c r="AB81" s="95" t="e" cm="1" vm="1">
        <f t="array" aca="1" ref="AB81" ca="1">_xlfn.LET(
_xlpm.rango, INDIRECT("E!$C$" &amp; $BA$8 &amp; ":$DR$" &amp; $BA$9),
_xlpm.col, AB$72+$D80*10,
INDEX(_xlpm.rango,$BA$4-3,_xlpm.col) +
INDEX(_xlpm.rango,$BA$4-2,_xlpm.col) +
INDEX(_xlpm.rango,$BA$4-1,_xlpm.col) +
INDEX(_xlpm.rango,$BA$4, _xlpm.col)
)</f>
        <v>#VALUE!</v>
      </c>
      <c r="AC81" s="95" t="e" cm="1" vm="1">
        <f t="array" aca="1" ref="AC81" ca="1">_xlfn.LET(
_xlpm.rango, INDIRECT("E!$C$" &amp; $BA$8 &amp; ":$DR$" &amp; $BA$9),
_xlpm.col, AC$72+$D80*10,
INDEX(_xlpm.rango,$BA$4-3,_xlpm.col) +
INDEX(_xlpm.rango,$BA$4-2,_xlpm.col) +
INDEX(_xlpm.rango,$BA$4-1,_xlpm.col) +
INDEX(_xlpm.rango,$BA$4, _xlpm.col)
)</f>
        <v>#VALUE!</v>
      </c>
      <c r="AD81" s="95" t="e" cm="1" vm="1">
        <f t="array" aca="1" ref="AD81" ca="1">_xlfn.LET(
_xlpm.rango, INDIRECT("E!$C$" &amp; $BA$8 &amp; ":$DR$" &amp; $BA$9),
_xlpm.col, AD$72+$D80*10,
INDEX(_xlpm.rango,$BA$4-3,_xlpm.col) +
INDEX(_xlpm.rango,$BA$4-2,_xlpm.col) +
INDEX(_xlpm.rango,$BA$4-1,_xlpm.col) +
INDEX(_xlpm.rango,$BA$4, _xlpm.col)
)</f>
        <v>#VALUE!</v>
      </c>
      <c r="AE81" s="95" t="e" cm="1" vm="1">
        <f t="array" aca="1" ref="AE81" ca="1">_xlfn.LET(
_xlpm.rango, INDIRECT("E!$C$" &amp; $BA$8 &amp; ":$DR$" &amp; $BA$9),
_xlpm.col, AE$72+$D80*10,
INDEX(_xlpm.rango,$BA$4-3,_xlpm.col) +
INDEX(_xlpm.rango,$BA$4-2,_xlpm.col) +
INDEX(_xlpm.rango,$BA$4-1,_xlpm.col) +
INDEX(_xlpm.rango,$BA$4, _xlpm.col)
)</f>
        <v>#VALUE!</v>
      </c>
      <c r="AF81" s="95" t="e" cm="1" vm="1">
        <f t="array" aca="1" ref="AF81" ca="1">_xlfn.LET(
_xlpm.rango, INDIRECT("E!$C$" &amp; $BA$8 &amp; ":$DR$" &amp; $BA$9),
_xlpm.col, AF$72+$D80*10,
INDEX(_xlpm.rango,$BA$4-3,_xlpm.col) +
INDEX(_xlpm.rango,$BA$4-2,_xlpm.col) +
INDEX(_xlpm.rango,$BA$4-1,_xlpm.col) +
INDEX(_xlpm.rango,$BA$4, _xlpm.col)
)</f>
        <v>#VALUE!</v>
      </c>
      <c r="AG81" s="95" t="e" cm="1" vm="1">
        <f t="array" aca="1" ref="AG81" ca="1">_xlfn.LET(
_xlpm.rango, INDIRECT("E!$C$" &amp; $BA$8 &amp; ":$DR$" &amp; $BA$9),
_xlpm.col, AG$72+$D80*10,
INDEX(_xlpm.rango,$BA$4-3,_xlpm.col) +
INDEX(_xlpm.rango,$BA$4-2,_xlpm.col) +
INDEX(_xlpm.rango,$BA$4-1,_xlpm.col) +
INDEX(_xlpm.rango,$BA$4, _xlpm.col)
)</f>
        <v>#VALUE!</v>
      </c>
      <c r="AH81" s="95" t="e" cm="1" vm="1">
        <f t="array" aca="1" ref="AH81" ca="1">_xlfn.LET(
_xlpm.rango, INDIRECT("E!$C$" &amp; $BA$8 &amp; ":$DR$" &amp; $BA$9),
_xlpm.col, AH$72+$D80*10,
INDEX(_xlpm.rango,$BA$4-3,_xlpm.col) +
INDEX(_xlpm.rango,$BA$4-2,_xlpm.col) +
INDEX(_xlpm.rango,$BA$4-1,_xlpm.col) +
INDEX(_xlpm.rango,$BA$4, _xlpm.col)
)</f>
        <v>#VALUE!</v>
      </c>
      <c r="AI81" s="96" t="e" cm="1" vm="1">
        <f t="array" aca="1" ref="AI81" ca="1">_xlfn.LET(
_xlpm.rango, INDIRECT("E!$C$" &amp; $BA$8 &amp; ":$DR$" &amp; $BA$9),
_xlpm.col, AI$72+$D80*10,
INDEX(_xlpm.rango,$BA$4-3,_xlpm.col) +
INDEX(_xlpm.rango,$BA$4-2,_xlpm.col) +
INDEX(_xlpm.rango,$BA$4-1,_xlpm.col) +
INDEX(_xlpm.rango,$BA$4, _xlpm.col)
)</f>
        <v>#VALUE!</v>
      </c>
      <c r="AJ81" s="95" t="e" cm="1" vm="1">
        <f t="array" aca="1" ref="AJ81" ca="1">_xlfn.LET(
_xlpm.rango, INDIRECT("E!$C$" &amp; $BA$8 &amp; ":$DR$" &amp; $BA$9),
_xlpm.col, AJ$72+$D80*10,
INDEX(_xlpm.rango,$BA$4-3,_xlpm.col) +
INDEX(_xlpm.rango,$BA$4-2,_xlpm.col) +
INDEX(_xlpm.rango,$BA$4-1,_xlpm.col) +
INDEX(_xlpm.rango,$BA$4, _xlpm.col)
)</f>
        <v>#VALUE!</v>
      </c>
      <c r="AK81" s="95" t="e" cm="1" vm="1">
        <f t="array" aca="1" ref="AK81" ca="1">_xlfn.LET(
_xlpm.rango, INDIRECT("E!$C$" &amp; $BA$8 &amp; ":$DR$" &amp; $BA$9),
_xlpm.col, AK$72+$D80*10,
INDEX(_xlpm.rango,$BA$4-3,_xlpm.col) +
INDEX(_xlpm.rango,$BA$4-2,_xlpm.col) +
INDEX(_xlpm.rango,$BA$4-1,_xlpm.col) +
INDEX(_xlpm.rango,$BA$4, _xlpm.col)
)</f>
        <v>#VALUE!</v>
      </c>
      <c r="AL81" s="95" t="e" cm="1" vm="1">
        <f t="array" aca="1" ref="AL81" ca="1">_xlfn.LET(
_xlpm.rango, INDIRECT("E!$C$" &amp; $BA$8 &amp; ":$DR$" &amp; $BA$9),
_xlpm.col, AL$72+$D80*10,
INDEX(_xlpm.rango,$BA$4-3,_xlpm.col) +
INDEX(_xlpm.rango,$BA$4-2,_xlpm.col) +
INDEX(_xlpm.rango,$BA$4-1,_xlpm.col) +
INDEX(_xlpm.rango,$BA$4, _xlpm.col)
)</f>
        <v>#VALUE!</v>
      </c>
      <c r="AM81" s="95" t="e" cm="1" vm="1">
        <f t="array" aca="1" ref="AM81" ca="1">_xlfn.LET(
_xlpm.rango, INDIRECT("E!$C$" &amp; $BA$8 &amp; ":$DR$" &amp; $BA$9),
_xlpm.col, AM$72+$D80*10,
INDEX(_xlpm.rango,$BA$4-3,_xlpm.col) +
INDEX(_xlpm.rango,$BA$4-2,_xlpm.col) +
INDEX(_xlpm.rango,$BA$4-1,_xlpm.col) +
INDEX(_xlpm.rango,$BA$4, _xlpm.col)
)</f>
        <v>#VALUE!</v>
      </c>
      <c r="AN81" s="95" t="e" cm="1" vm="1">
        <f t="array" aca="1" ref="AN81" ca="1">_xlfn.LET(
_xlpm.rango, INDIRECT("E!$C$" &amp; $BA$8 &amp; ":$DR$" &amp; $BA$9),
_xlpm.col, AN$72+$D80*10,
INDEX(_xlpm.rango,$BA$4-3,_xlpm.col) +
INDEX(_xlpm.rango,$BA$4-2,_xlpm.col) +
INDEX(_xlpm.rango,$BA$4-1,_xlpm.col) +
INDEX(_xlpm.rango,$BA$4, _xlpm.col)
)</f>
        <v>#VALUE!</v>
      </c>
      <c r="AO81" s="95" t="e" cm="1" vm="1">
        <f t="array" aca="1" ref="AO81" ca="1">_xlfn.LET(
_xlpm.rango, INDIRECT("E!$C$" &amp; $BA$8 &amp; ":$DR$" &amp; $BA$9),
_xlpm.col, AO$72+$D80*10,
INDEX(_xlpm.rango,$BA$4-3,_xlpm.col) +
INDEX(_xlpm.rango,$BA$4-2,_xlpm.col) +
INDEX(_xlpm.rango,$BA$4-1,_xlpm.col) +
INDEX(_xlpm.rango,$BA$4, _xlpm.col)
)</f>
        <v>#VALUE!</v>
      </c>
      <c r="AP81" s="95" t="e" cm="1" vm="1">
        <f t="array" aca="1" ref="AP81" ca="1">_xlfn.LET(
_xlpm.rango, INDIRECT("E!$C$" &amp; $BA$8 &amp; ":$DR$" &amp; $BA$9),
_xlpm.col, AP$72+$D80*10,
INDEX(_xlpm.rango,$BA$4-3,_xlpm.col) +
INDEX(_xlpm.rango,$BA$4-2,_xlpm.col) +
INDEX(_xlpm.rango,$BA$4-1,_xlpm.col) +
INDEX(_xlpm.rango,$BA$4, _xlpm.col)
)</f>
        <v>#VALUE!</v>
      </c>
      <c r="AQ81" s="95" t="e" cm="1" vm="1">
        <f t="array" aca="1" ref="AQ81" ca="1">_xlfn.LET(
_xlpm.rango, INDIRECT("E!$C$" &amp; $BA$8 &amp; ":$DR$" &amp; $BA$9),
_xlpm.col, AQ$72+$D80*10,
INDEX(_xlpm.rango,$BA$4-3,_xlpm.col) +
INDEX(_xlpm.rango,$BA$4-2,_xlpm.col) +
INDEX(_xlpm.rango,$BA$4-1,_xlpm.col) +
INDEX(_xlpm.rango,$BA$4, _xlpm.col)
)</f>
        <v>#VALUE!</v>
      </c>
      <c r="AR81" s="95" t="e" cm="1" vm="1">
        <f t="array" aca="1" ref="AR81" ca="1">_xlfn.LET(
_xlpm.rango, INDIRECT("E!$C$" &amp; $BA$8 &amp; ":$DR$" &amp; $BA$9),
_xlpm.col, AR$72+$D80*10,
INDEX(_xlpm.rango,$BA$4-3,_xlpm.col) +
INDEX(_xlpm.rango,$BA$4-2,_xlpm.col) +
INDEX(_xlpm.rango,$BA$4-1,_xlpm.col) +
INDEX(_xlpm.rango,$BA$4, _xlpm.col)
)</f>
        <v>#VALUE!</v>
      </c>
      <c r="AS81" s="112" t="e" cm="1" vm="1">
        <f t="array" aca="1" ref="AS81" ca="1">_xlfn.LET(
_xlpm.rango, INDIRECT("E!$C$" &amp; $BA$8 &amp; ":$DR$" &amp; $BA$9),
_xlpm.col, AS$72+$D80*10,
INDEX(_xlpm.rango,$BA$4-3,_xlpm.col) +
INDEX(_xlpm.rango,$BA$4-2,_xlpm.col) +
INDEX(_xlpm.rango,$BA$4-1,_xlpm.col) +
INDEX(_xlpm.rango,$BA$4, _xlpm.col)
)</f>
        <v>#VALUE!</v>
      </c>
      <c r="AT81" s="118" t="e" vm="2">
        <f t="shared" ca="1" si="0"/>
        <v>#VALUE!</v>
      </c>
      <c r="AU81" s="120" t="e" vm="2">
        <f t="shared" ca="1" si="1"/>
        <v>#VALUE!</v>
      </c>
    </row>
    <row r="82" spans="4:47" x14ac:dyDescent="0.25">
      <c r="D82">
        <v>7</v>
      </c>
      <c r="E82" s="106" t="str">
        <f>Inicio!V10</f>
        <v>Van</v>
      </c>
      <c r="F82" s="100" t="e" cm="1" vm="1">
        <f t="array" aca="1" ref="F82" ca="1">_xlfn.LET(
_xlpm.rango, INDIRECT("N!$C$" &amp; $BA$8 &amp; ":$DR$" &amp; $BA$9),
_xlpm.col, F$72+$D81*10,
INDEX(_xlpm.rango,$BA$4-3,_xlpm.col) +
INDEX(_xlpm.rango,$BA$4-2,_xlpm.col) +
INDEX(_xlpm.rango,$BA$4-1,_xlpm.col) +
INDEX(_xlpm.rango,$BA$4, _xlpm.col)
)</f>
        <v>#VALUE!</v>
      </c>
      <c r="G82" s="95" t="e" cm="1" vm="1">
        <f t="array" aca="1" ref="G82" ca="1">_xlfn.LET(
_xlpm.rango, INDIRECT("N!$C$" &amp; $BA$8 &amp; ":$DR$" &amp; $BA$9),
_xlpm.col, G$72+$D81*10,
INDEX(_xlpm.rango,$BA$4-3,_xlpm.col) +
INDEX(_xlpm.rango,$BA$4-2,_xlpm.col) +
INDEX(_xlpm.rango,$BA$4-1,_xlpm.col) +
INDEX(_xlpm.rango,$BA$4, _xlpm.col)
)</f>
        <v>#VALUE!</v>
      </c>
      <c r="H82" s="95" t="e" cm="1" vm="1">
        <f t="array" aca="1" ref="H82" ca="1">_xlfn.LET(
_xlpm.rango, INDIRECT("N!$C$" &amp; $BA$8 &amp; ":$DR$" &amp; $BA$9),
_xlpm.col, H$72+$D81*10,
INDEX(_xlpm.rango,$BA$4-3,_xlpm.col) +
INDEX(_xlpm.rango,$BA$4-2,_xlpm.col) +
INDEX(_xlpm.rango,$BA$4-1,_xlpm.col) +
INDEX(_xlpm.rango,$BA$4, _xlpm.col)
)</f>
        <v>#VALUE!</v>
      </c>
      <c r="I82" s="95" t="e" cm="1" vm="1">
        <f t="array" aca="1" ref="I82" ca="1">_xlfn.LET(
_xlpm.rango, INDIRECT("N!$C$" &amp; $BA$8 &amp; ":$DR$" &amp; $BA$9),
_xlpm.col, I$72+$D81*10,
INDEX(_xlpm.rango,$BA$4-3,_xlpm.col) +
INDEX(_xlpm.rango,$BA$4-2,_xlpm.col) +
INDEX(_xlpm.rango,$BA$4-1,_xlpm.col) +
INDEX(_xlpm.rango,$BA$4, _xlpm.col)
)</f>
        <v>#VALUE!</v>
      </c>
      <c r="J82" s="95" t="e" cm="1" vm="1">
        <f t="array" aca="1" ref="J82" ca="1">_xlfn.LET(
_xlpm.rango, INDIRECT("N!$C$" &amp; $BA$8 &amp; ":$DR$" &amp; $BA$9),
_xlpm.col, J$72+$D81*10,
INDEX(_xlpm.rango,$BA$4-3,_xlpm.col) +
INDEX(_xlpm.rango,$BA$4-2,_xlpm.col) +
INDEX(_xlpm.rango,$BA$4-1,_xlpm.col) +
INDEX(_xlpm.rango,$BA$4, _xlpm.col)
)</f>
        <v>#VALUE!</v>
      </c>
      <c r="K82" s="95" t="e" cm="1" vm="1">
        <f t="array" aca="1" ref="K82" ca="1">_xlfn.LET(
_xlpm.rango, INDIRECT("N!$C$" &amp; $BA$8 &amp; ":$DR$" &amp; $BA$9),
_xlpm.col, K$72+$D81*10,
INDEX(_xlpm.rango,$BA$4-3,_xlpm.col) +
INDEX(_xlpm.rango,$BA$4-2,_xlpm.col) +
INDEX(_xlpm.rango,$BA$4-1,_xlpm.col) +
INDEX(_xlpm.rango,$BA$4, _xlpm.col)
)</f>
        <v>#VALUE!</v>
      </c>
      <c r="L82" s="95" t="e" cm="1" vm="1">
        <f t="array" aca="1" ref="L82" ca="1">_xlfn.LET(
_xlpm.rango, INDIRECT("N!$C$" &amp; $BA$8 &amp; ":$DR$" &amp; $BA$9),
_xlpm.col, L$72+$D81*10,
INDEX(_xlpm.rango,$BA$4-3,_xlpm.col) +
INDEX(_xlpm.rango,$BA$4-2,_xlpm.col) +
INDEX(_xlpm.rango,$BA$4-1,_xlpm.col) +
INDEX(_xlpm.rango,$BA$4, _xlpm.col)
)</f>
        <v>#VALUE!</v>
      </c>
      <c r="M82" s="95" t="e" cm="1" vm="1">
        <f t="array" aca="1" ref="M82" ca="1">_xlfn.LET(
_xlpm.rango, INDIRECT("N!$C$" &amp; $BA$8 &amp; ":$DR$" &amp; $BA$9),
_xlpm.col, M$72+$D81*10,
INDEX(_xlpm.rango,$BA$4-3,_xlpm.col) +
INDEX(_xlpm.rango,$BA$4-2,_xlpm.col) +
INDEX(_xlpm.rango,$BA$4-1,_xlpm.col) +
INDEX(_xlpm.rango,$BA$4, _xlpm.col)
)</f>
        <v>#VALUE!</v>
      </c>
      <c r="N82" s="95" t="e" cm="1" vm="1">
        <f t="array" aca="1" ref="N82" ca="1">_xlfn.LET(
_xlpm.rango, INDIRECT("N!$C$" &amp; $BA$8 &amp; ":$DR$" &amp; $BA$9),
_xlpm.col, N$72+$D81*10,
INDEX(_xlpm.rango,$BA$4-3,_xlpm.col) +
INDEX(_xlpm.rango,$BA$4-2,_xlpm.col) +
INDEX(_xlpm.rango,$BA$4-1,_xlpm.col) +
INDEX(_xlpm.rango,$BA$4, _xlpm.col)
)</f>
        <v>#VALUE!</v>
      </c>
      <c r="O82" s="96" t="e" cm="1" vm="1">
        <f t="array" aca="1" ref="O82" ca="1">_xlfn.LET(
_xlpm.rango, INDIRECT("N!$C$" &amp; $BA$8 &amp; ":$DR$" &amp; $BA$9),
_xlpm.col, O$72+$D81*10,
INDEX(_xlpm.rango,$BA$4-3,_xlpm.col) +
INDEX(_xlpm.rango,$BA$4-2,_xlpm.col) +
INDEX(_xlpm.rango,$BA$4-1,_xlpm.col) +
INDEX(_xlpm.rango,$BA$4, _xlpm.col)
)</f>
        <v>#VALUE!</v>
      </c>
      <c r="P82" s="95" t="e" cm="1" vm="1">
        <f t="array" aca="1" ref="P82" ca="1">_xlfn.LET(
_xlpm.rango, INDIRECT("S!$C$" &amp; $BA$8 &amp; ":$DR$" &amp; $BA$9),
_xlpm.col, P$72+$D81*10,
INDEX(_xlpm.rango,$BA$4-3,_xlpm.col) +
INDEX(_xlpm.rango,$BA$4-2,_xlpm.col) +
INDEX(_xlpm.rango,$BA$4-1,_xlpm.col) +
INDEX(_xlpm.rango,$BA$4, _xlpm.col)
)</f>
        <v>#VALUE!</v>
      </c>
      <c r="Q82" s="95" t="e" cm="1" vm="1">
        <f t="array" aca="1" ref="Q82" ca="1">_xlfn.LET(
_xlpm.rango, INDIRECT("S!$C$" &amp; $BA$8 &amp; ":$DR$" &amp; $BA$9),
_xlpm.col, Q$72+$D81*10,
INDEX(_xlpm.rango,$BA$4-3,_xlpm.col) +
INDEX(_xlpm.rango,$BA$4-2,_xlpm.col) +
INDEX(_xlpm.rango,$BA$4-1,_xlpm.col) +
INDEX(_xlpm.rango,$BA$4, _xlpm.col)
)</f>
        <v>#VALUE!</v>
      </c>
      <c r="R82" s="95" t="e" cm="1" vm="1">
        <f t="array" aca="1" ref="R82" ca="1">_xlfn.LET(
_xlpm.rango, INDIRECT("S!$C$" &amp; $BA$8 &amp; ":$DR$" &amp; $BA$9),
_xlpm.col, R$72+$D81*10,
INDEX(_xlpm.rango,$BA$4-3,_xlpm.col) +
INDEX(_xlpm.rango,$BA$4-2,_xlpm.col) +
INDEX(_xlpm.rango,$BA$4-1,_xlpm.col) +
INDEX(_xlpm.rango,$BA$4, _xlpm.col)
)</f>
        <v>#VALUE!</v>
      </c>
      <c r="S82" s="95" t="e" cm="1" vm="1">
        <f t="array" aca="1" ref="S82" ca="1">_xlfn.LET(
_xlpm.rango, INDIRECT("S!$C$" &amp; $BA$8 &amp; ":$DR$" &amp; $BA$9),
_xlpm.col, S$72+$D81*10,
INDEX(_xlpm.rango,$BA$4-3,_xlpm.col) +
INDEX(_xlpm.rango,$BA$4-2,_xlpm.col) +
INDEX(_xlpm.rango,$BA$4-1,_xlpm.col) +
INDEX(_xlpm.rango,$BA$4, _xlpm.col)
)</f>
        <v>#VALUE!</v>
      </c>
      <c r="T82" s="95" t="e" cm="1" vm="1">
        <f t="array" aca="1" ref="T82" ca="1">_xlfn.LET(
_xlpm.rango, INDIRECT("S!$C$" &amp; $BA$8 &amp; ":$DR$" &amp; $BA$9),
_xlpm.col, T$72+$D81*10,
INDEX(_xlpm.rango,$BA$4-3,_xlpm.col) +
INDEX(_xlpm.rango,$BA$4-2,_xlpm.col) +
INDEX(_xlpm.rango,$BA$4-1,_xlpm.col) +
INDEX(_xlpm.rango,$BA$4, _xlpm.col)
)</f>
        <v>#VALUE!</v>
      </c>
      <c r="U82" s="95" t="e" cm="1" vm="1">
        <f t="array" aca="1" ref="U82" ca="1">_xlfn.LET(
_xlpm.rango, INDIRECT("S!$C$" &amp; $BA$8 &amp; ":$DR$" &amp; $BA$9),
_xlpm.col, U$72+$D81*10,
INDEX(_xlpm.rango,$BA$4-3,_xlpm.col) +
INDEX(_xlpm.rango,$BA$4-2,_xlpm.col) +
INDEX(_xlpm.rango,$BA$4-1,_xlpm.col) +
INDEX(_xlpm.rango,$BA$4, _xlpm.col)
)</f>
        <v>#VALUE!</v>
      </c>
      <c r="V82" s="95" t="e" cm="1" vm="1">
        <f t="array" aca="1" ref="V82" ca="1">_xlfn.LET(
_xlpm.rango, INDIRECT("S!$C$" &amp; $BA$8 &amp; ":$DR$" &amp; $BA$9),
_xlpm.col, V$72+$D81*10,
INDEX(_xlpm.rango,$BA$4-3,_xlpm.col) +
INDEX(_xlpm.rango,$BA$4-2,_xlpm.col) +
INDEX(_xlpm.rango,$BA$4-1,_xlpm.col) +
INDEX(_xlpm.rango,$BA$4, _xlpm.col)
)</f>
        <v>#VALUE!</v>
      </c>
      <c r="W82" s="95" t="e" cm="1" vm="1">
        <f t="array" aca="1" ref="W82" ca="1">_xlfn.LET(
_xlpm.rango, INDIRECT("S!$C$" &amp; $BA$8 &amp; ":$DR$" &amp; $BA$9),
_xlpm.col, W$72+$D81*10,
INDEX(_xlpm.rango,$BA$4-3,_xlpm.col) +
INDEX(_xlpm.rango,$BA$4-2,_xlpm.col) +
INDEX(_xlpm.rango,$BA$4-1,_xlpm.col) +
INDEX(_xlpm.rango,$BA$4, _xlpm.col)
)</f>
        <v>#VALUE!</v>
      </c>
      <c r="X82" s="95" t="e" cm="1" vm="1">
        <f t="array" aca="1" ref="X82" ca="1">_xlfn.LET(
_xlpm.rango, INDIRECT("S!$C$" &amp; $BA$8 &amp; ":$DR$" &amp; $BA$9),
_xlpm.col, X$72+$D81*10,
INDEX(_xlpm.rango,$BA$4-3,_xlpm.col) +
INDEX(_xlpm.rango,$BA$4-2,_xlpm.col) +
INDEX(_xlpm.rango,$BA$4-1,_xlpm.col) +
INDEX(_xlpm.rango,$BA$4, _xlpm.col)
)</f>
        <v>#VALUE!</v>
      </c>
      <c r="Y82" s="95" t="e" cm="1" vm="1">
        <f t="array" aca="1" ref="Y82" ca="1">_xlfn.LET(
_xlpm.rango, INDIRECT("S!$C$" &amp; $BA$8 &amp; ":$DR$" &amp; $BA$9),
_xlpm.col, Y$72+$D81*10,
INDEX(_xlpm.rango,$BA$4-3,_xlpm.col) +
INDEX(_xlpm.rango,$BA$4-2,_xlpm.col) +
INDEX(_xlpm.rango,$BA$4-1,_xlpm.col) +
INDEX(_xlpm.rango,$BA$4, _xlpm.col)
)</f>
        <v>#VALUE!</v>
      </c>
      <c r="Z82" s="100" t="e" cm="1" vm="1">
        <f t="array" aca="1" ref="Z82" ca="1">_xlfn.LET(
_xlpm.rango, INDIRECT("E!$C$" &amp; $BA$8 &amp; ":$DR$" &amp; $BA$9),
_xlpm.col, Z$72+$D81*10,
INDEX(_xlpm.rango,$BA$4-3,_xlpm.col) +
INDEX(_xlpm.rango,$BA$4-2,_xlpm.col) +
INDEX(_xlpm.rango,$BA$4-1,_xlpm.col) +
INDEX(_xlpm.rango,$BA$4, _xlpm.col)
)</f>
        <v>#VALUE!</v>
      </c>
      <c r="AA82" s="95" t="e" cm="1" vm="1">
        <f t="array" aca="1" ref="AA82" ca="1">_xlfn.LET(
_xlpm.rango, INDIRECT("E!$C$" &amp; $BA$8 &amp; ":$DR$" &amp; $BA$9),
_xlpm.col, AA$72+$D81*10,
INDEX(_xlpm.rango,$BA$4-3,_xlpm.col) +
INDEX(_xlpm.rango,$BA$4-2,_xlpm.col) +
INDEX(_xlpm.rango,$BA$4-1,_xlpm.col) +
INDEX(_xlpm.rango,$BA$4, _xlpm.col)
)</f>
        <v>#VALUE!</v>
      </c>
      <c r="AB82" s="95" t="e" cm="1" vm="1">
        <f t="array" aca="1" ref="AB82" ca="1">_xlfn.LET(
_xlpm.rango, INDIRECT("E!$C$" &amp; $BA$8 &amp; ":$DR$" &amp; $BA$9),
_xlpm.col, AB$72+$D81*10,
INDEX(_xlpm.rango,$BA$4-3,_xlpm.col) +
INDEX(_xlpm.rango,$BA$4-2,_xlpm.col) +
INDEX(_xlpm.rango,$BA$4-1,_xlpm.col) +
INDEX(_xlpm.rango,$BA$4, _xlpm.col)
)</f>
        <v>#VALUE!</v>
      </c>
      <c r="AC82" s="95" t="e" cm="1" vm="1">
        <f t="array" aca="1" ref="AC82" ca="1">_xlfn.LET(
_xlpm.rango, INDIRECT("E!$C$" &amp; $BA$8 &amp; ":$DR$" &amp; $BA$9),
_xlpm.col, AC$72+$D81*10,
INDEX(_xlpm.rango,$BA$4-3,_xlpm.col) +
INDEX(_xlpm.rango,$BA$4-2,_xlpm.col) +
INDEX(_xlpm.rango,$BA$4-1,_xlpm.col) +
INDEX(_xlpm.rango,$BA$4, _xlpm.col)
)</f>
        <v>#VALUE!</v>
      </c>
      <c r="AD82" s="95" t="e" cm="1" vm="1">
        <f t="array" aca="1" ref="AD82" ca="1">_xlfn.LET(
_xlpm.rango, INDIRECT("E!$C$" &amp; $BA$8 &amp; ":$DR$" &amp; $BA$9),
_xlpm.col, AD$72+$D81*10,
INDEX(_xlpm.rango,$BA$4-3,_xlpm.col) +
INDEX(_xlpm.rango,$BA$4-2,_xlpm.col) +
INDEX(_xlpm.rango,$BA$4-1,_xlpm.col) +
INDEX(_xlpm.rango,$BA$4, _xlpm.col)
)</f>
        <v>#VALUE!</v>
      </c>
      <c r="AE82" s="95" t="e" cm="1" vm="1">
        <f t="array" aca="1" ref="AE82" ca="1">_xlfn.LET(
_xlpm.rango, INDIRECT("E!$C$" &amp; $BA$8 &amp; ":$DR$" &amp; $BA$9),
_xlpm.col, AE$72+$D81*10,
INDEX(_xlpm.rango,$BA$4-3,_xlpm.col) +
INDEX(_xlpm.rango,$BA$4-2,_xlpm.col) +
INDEX(_xlpm.rango,$BA$4-1,_xlpm.col) +
INDEX(_xlpm.rango,$BA$4, _xlpm.col)
)</f>
        <v>#VALUE!</v>
      </c>
      <c r="AF82" s="95" t="e" cm="1" vm="1">
        <f t="array" aca="1" ref="AF82" ca="1">_xlfn.LET(
_xlpm.rango, INDIRECT("E!$C$" &amp; $BA$8 &amp; ":$DR$" &amp; $BA$9),
_xlpm.col, AF$72+$D81*10,
INDEX(_xlpm.rango,$BA$4-3,_xlpm.col) +
INDEX(_xlpm.rango,$BA$4-2,_xlpm.col) +
INDEX(_xlpm.rango,$BA$4-1,_xlpm.col) +
INDEX(_xlpm.rango,$BA$4, _xlpm.col)
)</f>
        <v>#VALUE!</v>
      </c>
      <c r="AG82" s="95" t="e" cm="1" vm="1">
        <f t="array" aca="1" ref="AG82" ca="1">_xlfn.LET(
_xlpm.rango, INDIRECT("E!$C$" &amp; $BA$8 &amp; ":$DR$" &amp; $BA$9),
_xlpm.col, AG$72+$D81*10,
INDEX(_xlpm.rango,$BA$4-3,_xlpm.col) +
INDEX(_xlpm.rango,$BA$4-2,_xlpm.col) +
INDEX(_xlpm.rango,$BA$4-1,_xlpm.col) +
INDEX(_xlpm.rango,$BA$4, _xlpm.col)
)</f>
        <v>#VALUE!</v>
      </c>
      <c r="AH82" s="95" t="e" cm="1" vm="1">
        <f t="array" aca="1" ref="AH82" ca="1">_xlfn.LET(
_xlpm.rango, INDIRECT("E!$C$" &amp; $BA$8 &amp; ":$DR$" &amp; $BA$9),
_xlpm.col, AH$72+$D81*10,
INDEX(_xlpm.rango,$BA$4-3,_xlpm.col) +
INDEX(_xlpm.rango,$BA$4-2,_xlpm.col) +
INDEX(_xlpm.rango,$BA$4-1,_xlpm.col) +
INDEX(_xlpm.rango,$BA$4, _xlpm.col)
)</f>
        <v>#VALUE!</v>
      </c>
      <c r="AI82" s="96" t="e" cm="1" vm="1">
        <f t="array" aca="1" ref="AI82" ca="1">_xlfn.LET(
_xlpm.rango, INDIRECT("E!$C$" &amp; $BA$8 &amp; ":$DR$" &amp; $BA$9),
_xlpm.col, AI$72+$D81*10,
INDEX(_xlpm.rango,$BA$4-3,_xlpm.col) +
INDEX(_xlpm.rango,$BA$4-2,_xlpm.col) +
INDEX(_xlpm.rango,$BA$4-1,_xlpm.col) +
INDEX(_xlpm.rango,$BA$4, _xlpm.col)
)</f>
        <v>#VALUE!</v>
      </c>
      <c r="AJ82" s="95" t="e" cm="1" vm="1">
        <f t="array" aca="1" ref="AJ82" ca="1">_xlfn.LET(
_xlpm.rango, INDIRECT("E!$C$" &amp; $BA$8 &amp; ":$DR$" &amp; $BA$9),
_xlpm.col, AJ$72+$D81*10,
INDEX(_xlpm.rango,$BA$4-3,_xlpm.col) +
INDEX(_xlpm.rango,$BA$4-2,_xlpm.col) +
INDEX(_xlpm.rango,$BA$4-1,_xlpm.col) +
INDEX(_xlpm.rango,$BA$4, _xlpm.col)
)</f>
        <v>#VALUE!</v>
      </c>
      <c r="AK82" s="95" t="e" cm="1" vm="1">
        <f t="array" aca="1" ref="AK82" ca="1">_xlfn.LET(
_xlpm.rango, INDIRECT("E!$C$" &amp; $BA$8 &amp; ":$DR$" &amp; $BA$9),
_xlpm.col, AK$72+$D81*10,
INDEX(_xlpm.rango,$BA$4-3,_xlpm.col) +
INDEX(_xlpm.rango,$BA$4-2,_xlpm.col) +
INDEX(_xlpm.rango,$BA$4-1,_xlpm.col) +
INDEX(_xlpm.rango,$BA$4, _xlpm.col)
)</f>
        <v>#VALUE!</v>
      </c>
      <c r="AL82" s="95" t="e" cm="1" vm="1">
        <f t="array" aca="1" ref="AL82" ca="1">_xlfn.LET(
_xlpm.rango, INDIRECT("E!$C$" &amp; $BA$8 &amp; ":$DR$" &amp; $BA$9),
_xlpm.col, AL$72+$D81*10,
INDEX(_xlpm.rango,$BA$4-3,_xlpm.col) +
INDEX(_xlpm.rango,$BA$4-2,_xlpm.col) +
INDEX(_xlpm.rango,$BA$4-1,_xlpm.col) +
INDEX(_xlpm.rango,$BA$4, _xlpm.col)
)</f>
        <v>#VALUE!</v>
      </c>
      <c r="AM82" s="95" t="e" cm="1" vm="1">
        <f t="array" aca="1" ref="AM82" ca="1">_xlfn.LET(
_xlpm.rango, INDIRECT("E!$C$" &amp; $BA$8 &amp; ":$DR$" &amp; $BA$9),
_xlpm.col, AM$72+$D81*10,
INDEX(_xlpm.rango,$BA$4-3,_xlpm.col) +
INDEX(_xlpm.rango,$BA$4-2,_xlpm.col) +
INDEX(_xlpm.rango,$BA$4-1,_xlpm.col) +
INDEX(_xlpm.rango,$BA$4, _xlpm.col)
)</f>
        <v>#VALUE!</v>
      </c>
      <c r="AN82" s="95" t="e" cm="1" vm="1">
        <f t="array" aca="1" ref="AN82" ca="1">_xlfn.LET(
_xlpm.rango, INDIRECT("E!$C$" &amp; $BA$8 &amp; ":$DR$" &amp; $BA$9),
_xlpm.col, AN$72+$D81*10,
INDEX(_xlpm.rango,$BA$4-3,_xlpm.col) +
INDEX(_xlpm.rango,$BA$4-2,_xlpm.col) +
INDEX(_xlpm.rango,$BA$4-1,_xlpm.col) +
INDEX(_xlpm.rango,$BA$4, _xlpm.col)
)</f>
        <v>#VALUE!</v>
      </c>
      <c r="AO82" s="95" t="e" cm="1" vm="1">
        <f t="array" aca="1" ref="AO82" ca="1">_xlfn.LET(
_xlpm.rango, INDIRECT("E!$C$" &amp; $BA$8 &amp; ":$DR$" &amp; $BA$9),
_xlpm.col, AO$72+$D81*10,
INDEX(_xlpm.rango,$BA$4-3,_xlpm.col) +
INDEX(_xlpm.rango,$BA$4-2,_xlpm.col) +
INDEX(_xlpm.rango,$BA$4-1,_xlpm.col) +
INDEX(_xlpm.rango,$BA$4, _xlpm.col)
)</f>
        <v>#VALUE!</v>
      </c>
      <c r="AP82" s="95" t="e" cm="1" vm="1">
        <f t="array" aca="1" ref="AP82" ca="1">_xlfn.LET(
_xlpm.rango, INDIRECT("E!$C$" &amp; $BA$8 &amp; ":$DR$" &amp; $BA$9),
_xlpm.col, AP$72+$D81*10,
INDEX(_xlpm.rango,$BA$4-3,_xlpm.col) +
INDEX(_xlpm.rango,$BA$4-2,_xlpm.col) +
INDEX(_xlpm.rango,$BA$4-1,_xlpm.col) +
INDEX(_xlpm.rango,$BA$4, _xlpm.col)
)</f>
        <v>#VALUE!</v>
      </c>
      <c r="AQ82" s="95" t="e" cm="1" vm="1">
        <f t="array" aca="1" ref="AQ82" ca="1">_xlfn.LET(
_xlpm.rango, INDIRECT("E!$C$" &amp; $BA$8 &amp; ":$DR$" &amp; $BA$9),
_xlpm.col, AQ$72+$D81*10,
INDEX(_xlpm.rango,$BA$4-3,_xlpm.col) +
INDEX(_xlpm.rango,$BA$4-2,_xlpm.col) +
INDEX(_xlpm.rango,$BA$4-1,_xlpm.col) +
INDEX(_xlpm.rango,$BA$4, _xlpm.col)
)</f>
        <v>#VALUE!</v>
      </c>
      <c r="AR82" s="95" t="e" cm="1" vm="1">
        <f t="array" aca="1" ref="AR82" ca="1">_xlfn.LET(
_xlpm.rango, INDIRECT("E!$C$" &amp; $BA$8 &amp; ":$DR$" &amp; $BA$9),
_xlpm.col, AR$72+$D81*10,
INDEX(_xlpm.rango,$BA$4-3,_xlpm.col) +
INDEX(_xlpm.rango,$BA$4-2,_xlpm.col) +
INDEX(_xlpm.rango,$BA$4-1,_xlpm.col) +
INDEX(_xlpm.rango,$BA$4, _xlpm.col)
)</f>
        <v>#VALUE!</v>
      </c>
      <c r="AS82" s="112" t="e" cm="1" vm="1">
        <f t="array" aca="1" ref="AS82" ca="1">_xlfn.LET(
_xlpm.rango, INDIRECT("E!$C$" &amp; $BA$8 &amp; ":$DR$" &amp; $BA$9),
_xlpm.col, AS$72+$D81*10,
INDEX(_xlpm.rango,$BA$4-3,_xlpm.col) +
INDEX(_xlpm.rango,$BA$4-2,_xlpm.col) +
INDEX(_xlpm.rango,$BA$4-1,_xlpm.col) +
INDEX(_xlpm.rango,$BA$4, _xlpm.col)
)</f>
        <v>#VALUE!</v>
      </c>
      <c r="AT82" s="118" t="e" vm="2">
        <f t="shared" ca="1" si="0"/>
        <v>#VALUE!</v>
      </c>
      <c r="AU82" s="120" t="e" vm="2">
        <f t="shared" ca="1" si="1"/>
        <v>#VALUE!</v>
      </c>
    </row>
    <row r="83" spans="4:47" x14ac:dyDescent="0.25">
      <c r="D83">
        <v>8</v>
      </c>
      <c r="E83" s="106" t="str">
        <f>Inicio!V11</f>
        <v>Combi</v>
      </c>
      <c r="F83" s="100" t="e" cm="1" vm="1">
        <f t="array" aca="1" ref="F83" ca="1">_xlfn.LET(
_xlpm.rango, INDIRECT("N!$C$" &amp; $BA$8 &amp; ":$DR$" &amp; $BA$9),
_xlpm.col, F$72+$D82*10,
INDEX(_xlpm.rango,$BA$4-3,_xlpm.col) +
INDEX(_xlpm.rango,$BA$4-2,_xlpm.col) +
INDEX(_xlpm.rango,$BA$4-1,_xlpm.col) +
INDEX(_xlpm.rango,$BA$4, _xlpm.col)
)</f>
        <v>#VALUE!</v>
      </c>
      <c r="G83" s="95" t="e" cm="1" vm="1">
        <f t="array" aca="1" ref="G83" ca="1">_xlfn.LET(
_xlpm.rango, INDIRECT("N!$C$" &amp; $BA$8 &amp; ":$DR$" &amp; $BA$9),
_xlpm.col, G$72+$D82*10,
INDEX(_xlpm.rango,$BA$4-3,_xlpm.col) +
INDEX(_xlpm.rango,$BA$4-2,_xlpm.col) +
INDEX(_xlpm.rango,$BA$4-1,_xlpm.col) +
INDEX(_xlpm.rango,$BA$4, _xlpm.col)
)</f>
        <v>#VALUE!</v>
      </c>
      <c r="H83" s="95" t="e" cm="1" vm="1">
        <f t="array" aca="1" ref="H83" ca="1">_xlfn.LET(
_xlpm.rango, INDIRECT("N!$C$" &amp; $BA$8 &amp; ":$DR$" &amp; $BA$9),
_xlpm.col, H$72+$D82*10,
INDEX(_xlpm.rango,$BA$4-3,_xlpm.col) +
INDEX(_xlpm.rango,$BA$4-2,_xlpm.col) +
INDEX(_xlpm.rango,$BA$4-1,_xlpm.col) +
INDEX(_xlpm.rango,$BA$4, _xlpm.col)
)</f>
        <v>#VALUE!</v>
      </c>
      <c r="I83" s="95" t="e" cm="1" vm="1">
        <f t="array" aca="1" ref="I83" ca="1">_xlfn.LET(
_xlpm.rango, INDIRECT("N!$C$" &amp; $BA$8 &amp; ":$DR$" &amp; $BA$9),
_xlpm.col, I$72+$D82*10,
INDEX(_xlpm.rango,$BA$4-3,_xlpm.col) +
INDEX(_xlpm.rango,$BA$4-2,_xlpm.col) +
INDEX(_xlpm.rango,$BA$4-1,_xlpm.col) +
INDEX(_xlpm.rango,$BA$4, _xlpm.col)
)</f>
        <v>#VALUE!</v>
      </c>
      <c r="J83" s="95" t="e" cm="1" vm="1">
        <f t="array" aca="1" ref="J83" ca="1">_xlfn.LET(
_xlpm.rango, INDIRECT("N!$C$" &amp; $BA$8 &amp; ":$DR$" &amp; $BA$9),
_xlpm.col, J$72+$D82*10,
INDEX(_xlpm.rango,$BA$4-3,_xlpm.col) +
INDEX(_xlpm.rango,$BA$4-2,_xlpm.col) +
INDEX(_xlpm.rango,$BA$4-1,_xlpm.col) +
INDEX(_xlpm.rango,$BA$4, _xlpm.col)
)</f>
        <v>#VALUE!</v>
      </c>
      <c r="K83" s="95" t="e" cm="1" vm="1">
        <f t="array" aca="1" ref="K83" ca="1">_xlfn.LET(
_xlpm.rango, INDIRECT("N!$C$" &amp; $BA$8 &amp; ":$DR$" &amp; $BA$9),
_xlpm.col, K$72+$D82*10,
INDEX(_xlpm.rango,$BA$4-3,_xlpm.col) +
INDEX(_xlpm.rango,$BA$4-2,_xlpm.col) +
INDEX(_xlpm.rango,$BA$4-1,_xlpm.col) +
INDEX(_xlpm.rango,$BA$4, _xlpm.col)
)</f>
        <v>#VALUE!</v>
      </c>
      <c r="L83" s="95" t="e" cm="1" vm="1">
        <f t="array" aca="1" ref="L83" ca="1">_xlfn.LET(
_xlpm.rango, INDIRECT("N!$C$" &amp; $BA$8 &amp; ":$DR$" &amp; $BA$9),
_xlpm.col, L$72+$D82*10,
INDEX(_xlpm.rango,$BA$4-3,_xlpm.col) +
INDEX(_xlpm.rango,$BA$4-2,_xlpm.col) +
INDEX(_xlpm.rango,$BA$4-1,_xlpm.col) +
INDEX(_xlpm.rango,$BA$4, _xlpm.col)
)</f>
        <v>#VALUE!</v>
      </c>
      <c r="M83" s="95" t="e" cm="1" vm="1">
        <f t="array" aca="1" ref="M83" ca="1">_xlfn.LET(
_xlpm.rango, INDIRECT("N!$C$" &amp; $BA$8 &amp; ":$DR$" &amp; $BA$9),
_xlpm.col, M$72+$D82*10,
INDEX(_xlpm.rango,$BA$4-3,_xlpm.col) +
INDEX(_xlpm.rango,$BA$4-2,_xlpm.col) +
INDEX(_xlpm.rango,$BA$4-1,_xlpm.col) +
INDEX(_xlpm.rango,$BA$4, _xlpm.col)
)</f>
        <v>#VALUE!</v>
      </c>
      <c r="N83" s="95" t="e" cm="1" vm="1">
        <f t="array" aca="1" ref="N83" ca="1">_xlfn.LET(
_xlpm.rango, INDIRECT("N!$C$" &amp; $BA$8 &amp; ":$DR$" &amp; $BA$9),
_xlpm.col, N$72+$D82*10,
INDEX(_xlpm.rango,$BA$4-3,_xlpm.col) +
INDEX(_xlpm.rango,$BA$4-2,_xlpm.col) +
INDEX(_xlpm.rango,$BA$4-1,_xlpm.col) +
INDEX(_xlpm.rango,$BA$4, _xlpm.col)
)</f>
        <v>#VALUE!</v>
      </c>
      <c r="O83" s="96" t="e" cm="1" vm="1">
        <f t="array" aca="1" ref="O83" ca="1">_xlfn.LET(
_xlpm.rango, INDIRECT("N!$C$" &amp; $BA$8 &amp; ":$DR$" &amp; $BA$9),
_xlpm.col, O$72+$D82*10,
INDEX(_xlpm.rango,$BA$4-3,_xlpm.col) +
INDEX(_xlpm.rango,$BA$4-2,_xlpm.col) +
INDEX(_xlpm.rango,$BA$4-1,_xlpm.col) +
INDEX(_xlpm.rango,$BA$4, _xlpm.col)
)</f>
        <v>#VALUE!</v>
      </c>
      <c r="P83" s="95" t="e" cm="1" vm="1">
        <f t="array" aca="1" ref="P83" ca="1">_xlfn.LET(
_xlpm.rango, INDIRECT("S!$C$" &amp; $BA$8 &amp; ":$DR$" &amp; $BA$9),
_xlpm.col, P$72+$D82*10,
INDEX(_xlpm.rango,$BA$4-3,_xlpm.col) +
INDEX(_xlpm.rango,$BA$4-2,_xlpm.col) +
INDEX(_xlpm.rango,$BA$4-1,_xlpm.col) +
INDEX(_xlpm.rango,$BA$4, _xlpm.col)
)</f>
        <v>#VALUE!</v>
      </c>
      <c r="Q83" s="95" t="e" cm="1" vm="1">
        <f t="array" aca="1" ref="Q83" ca="1">_xlfn.LET(
_xlpm.rango, INDIRECT("S!$C$" &amp; $BA$8 &amp; ":$DR$" &amp; $BA$9),
_xlpm.col, Q$72+$D82*10,
INDEX(_xlpm.rango,$BA$4-3,_xlpm.col) +
INDEX(_xlpm.rango,$BA$4-2,_xlpm.col) +
INDEX(_xlpm.rango,$BA$4-1,_xlpm.col) +
INDEX(_xlpm.rango,$BA$4, _xlpm.col)
)</f>
        <v>#VALUE!</v>
      </c>
      <c r="R83" s="95" t="e" cm="1" vm="1">
        <f t="array" aca="1" ref="R83" ca="1">_xlfn.LET(
_xlpm.rango, INDIRECT("S!$C$" &amp; $BA$8 &amp; ":$DR$" &amp; $BA$9),
_xlpm.col, R$72+$D82*10,
INDEX(_xlpm.rango,$BA$4-3,_xlpm.col) +
INDEX(_xlpm.rango,$BA$4-2,_xlpm.col) +
INDEX(_xlpm.rango,$BA$4-1,_xlpm.col) +
INDEX(_xlpm.rango,$BA$4, _xlpm.col)
)</f>
        <v>#VALUE!</v>
      </c>
      <c r="S83" s="95" t="e" cm="1" vm="1">
        <f t="array" aca="1" ref="S83" ca="1">_xlfn.LET(
_xlpm.rango, INDIRECT("S!$C$" &amp; $BA$8 &amp; ":$DR$" &amp; $BA$9),
_xlpm.col, S$72+$D82*10,
INDEX(_xlpm.rango,$BA$4-3,_xlpm.col) +
INDEX(_xlpm.rango,$BA$4-2,_xlpm.col) +
INDEX(_xlpm.rango,$BA$4-1,_xlpm.col) +
INDEX(_xlpm.rango,$BA$4, _xlpm.col)
)</f>
        <v>#VALUE!</v>
      </c>
      <c r="T83" s="95" t="e" cm="1" vm="1">
        <f t="array" aca="1" ref="T83" ca="1">_xlfn.LET(
_xlpm.rango, INDIRECT("S!$C$" &amp; $BA$8 &amp; ":$DR$" &amp; $BA$9),
_xlpm.col, T$72+$D82*10,
INDEX(_xlpm.rango,$BA$4-3,_xlpm.col) +
INDEX(_xlpm.rango,$BA$4-2,_xlpm.col) +
INDEX(_xlpm.rango,$BA$4-1,_xlpm.col) +
INDEX(_xlpm.rango,$BA$4, _xlpm.col)
)</f>
        <v>#VALUE!</v>
      </c>
      <c r="U83" s="95" t="e" cm="1" vm="1">
        <f t="array" aca="1" ref="U83" ca="1">_xlfn.LET(
_xlpm.rango, INDIRECT("S!$C$" &amp; $BA$8 &amp; ":$DR$" &amp; $BA$9),
_xlpm.col, U$72+$D82*10,
INDEX(_xlpm.rango,$BA$4-3,_xlpm.col) +
INDEX(_xlpm.rango,$BA$4-2,_xlpm.col) +
INDEX(_xlpm.rango,$BA$4-1,_xlpm.col) +
INDEX(_xlpm.rango,$BA$4, _xlpm.col)
)</f>
        <v>#VALUE!</v>
      </c>
      <c r="V83" s="95" t="e" cm="1" vm="1">
        <f t="array" aca="1" ref="V83" ca="1">_xlfn.LET(
_xlpm.rango, INDIRECT("S!$C$" &amp; $BA$8 &amp; ":$DR$" &amp; $BA$9),
_xlpm.col, V$72+$D82*10,
INDEX(_xlpm.rango,$BA$4-3,_xlpm.col) +
INDEX(_xlpm.rango,$BA$4-2,_xlpm.col) +
INDEX(_xlpm.rango,$BA$4-1,_xlpm.col) +
INDEX(_xlpm.rango,$BA$4, _xlpm.col)
)</f>
        <v>#VALUE!</v>
      </c>
      <c r="W83" s="95" t="e" cm="1" vm="1">
        <f t="array" aca="1" ref="W83" ca="1">_xlfn.LET(
_xlpm.rango, INDIRECT("S!$C$" &amp; $BA$8 &amp; ":$DR$" &amp; $BA$9),
_xlpm.col, W$72+$D82*10,
INDEX(_xlpm.rango,$BA$4-3,_xlpm.col) +
INDEX(_xlpm.rango,$BA$4-2,_xlpm.col) +
INDEX(_xlpm.rango,$BA$4-1,_xlpm.col) +
INDEX(_xlpm.rango,$BA$4, _xlpm.col)
)</f>
        <v>#VALUE!</v>
      </c>
      <c r="X83" s="95" t="e" cm="1" vm="1">
        <f t="array" aca="1" ref="X83" ca="1">_xlfn.LET(
_xlpm.rango, INDIRECT("S!$C$" &amp; $BA$8 &amp; ":$DR$" &amp; $BA$9),
_xlpm.col, X$72+$D82*10,
INDEX(_xlpm.rango,$BA$4-3,_xlpm.col) +
INDEX(_xlpm.rango,$BA$4-2,_xlpm.col) +
INDEX(_xlpm.rango,$BA$4-1,_xlpm.col) +
INDEX(_xlpm.rango,$BA$4, _xlpm.col)
)</f>
        <v>#VALUE!</v>
      </c>
      <c r="Y83" s="95" t="e" cm="1" vm="1">
        <f t="array" aca="1" ref="Y83" ca="1">_xlfn.LET(
_xlpm.rango, INDIRECT("S!$C$" &amp; $BA$8 &amp; ":$DR$" &amp; $BA$9),
_xlpm.col, Y$72+$D82*10,
INDEX(_xlpm.rango,$BA$4-3,_xlpm.col) +
INDEX(_xlpm.rango,$BA$4-2,_xlpm.col) +
INDEX(_xlpm.rango,$BA$4-1,_xlpm.col) +
INDEX(_xlpm.rango,$BA$4, _xlpm.col)
)</f>
        <v>#VALUE!</v>
      </c>
      <c r="Z83" s="100" t="e" cm="1" vm="1">
        <f t="array" aca="1" ref="Z83" ca="1">_xlfn.LET(
_xlpm.rango, INDIRECT("E!$C$" &amp; $BA$8 &amp; ":$DR$" &amp; $BA$9),
_xlpm.col, Z$72+$D82*10,
INDEX(_xlpm.rango,$BA$4-3,_xlpm.col) +
INDEX(_xlpm.rango,$BA$4-2,_xlpm.col) +
INDEX(_xlpm.rango,$BA$4-1,_xlpm.col) +
INDEX(_xlpm.rango,$BA$4, _xlpm.col)
)</f>
        <v>#VALUE!</v>
      </c>
      <c r="AA83" s="95" t="e" cm="1" vm="1">
        <f t="array" aca="1" ref="AA83" ca="1">_xlfn.LET(
_xlpm.rango, INDIRECT("E!$C$" &amp; $BA$8 &amp; ":$DR$" &amp; $BA$9),
_xlpm.col, AA$72+$D82*10,
INDEX(_xlpm.rango,$BA$4-3,_xlpm.col) +
INDEX(_xlpm.rango,$BA$4-2,_xlpm.col) +
INDEX(_xlpm.rango,$BA$4-1,_xlpm.col) +
INDEX(_xlpm.rango,$BA$4, _xlpm.col)
)</f>
        <v>#VALUE!</v>
      </c>
      <c r="AB83" s="95" t="e" cm="1" vm="1">
        <f t="array" aca="1" ref="AB83" ca="1">_xlfn.LET(
_xlpm.rango, INDIRECT("E!$C$" &amp; $BA$8 &amp; ":$DR$" &amp; $BA$9),
_xlpm.col, AB$72+$D82*10,
INDEX(_xlpm.rango,$BA$4-3,_xlpm.col) +
INDEX(_xlpm.rango,$BA$4-2,_xlpm.col) +
INDEX(_xlpm.rango,$BA$4-1,_xlpm.col) +
INDEX(_xlpm.rango,$BA$4, _xlpm.col)
)</f>
        <v>#VALUE!</v>
      </c>
      <c r="AC83" s="95" t="e" cm="1" vm="1">
        <f t="array" aca="1" ref="AC83" ca="1">_xlfn.LET(
_xlpm.rango, INDIRECT("E!$C$" &amp; $BA$8 &amp; ":$DR$" &amp; $BA$9),
_xlpm.col, AC$72+$D82*10,
INDEX(_xlpm.rango,$BA$4-3,_xlpm.col) +
INDEX(_xlpm.rango,$BA$4-2,_xlpm.col) +
INDEX(_xlpm.rango,$BA$4-1,_xlpm.col) +
INDEX(_xlpm.rango,$BA$4, _xlpm.col)
)</f>
        <v>#VALUE!</v>
      </c>
      <c r="AD83" s="95" t="e" cm="1" vm="1">
        <f t="array" aca="1" ref="AD83" ca="1">_xlfn.LET(
_xlpm.rango, INDIRECT("E!$C$" &amp; $BA$8 &amp; ":$DR$" &amp; $BA$9),
_xlpm.col, AD$72+$D82*10,
INDEX(_xlpm.rango,$BA$4-3,_xlpm.col) +
INDEX(_xlpm.rango,$BA$4-2,_xlpm.col) +
INDEX(_xlpm.rango,$BA$4-1,_xlpm.col) +
INDEX(_xlpm.rango,$BA$4, _xlpm.col)
)</f>
        <v>#VALUE!</v>
      </c>
      <c r="AE83" s="95" t="e" cm="1" vm="1">
        <f t="array" aca="1" ref="AE83" ca="1">_xlfn.LET(
_xlpm.rango, INDIRECT("E!$C$" &amp; $BA$8 &amp; ":$DR$" &amp; $BA$9),
_xlpm.col, AE$72+$D82*10,
INDEX(_xlpm.rango,$BA$4-3,_xlpm.col) +
INDEX(_xlpm.rango,$BA$4-2,_xlpm.col) +
INDEX(_xlpm.rango,$BA$4-1,_xlpm.col) +
INDEX(_xlpm.rango,$BA$4, _xlpm.col)
)</f>
        <v>#VALUE!</v>
      </c>
      <c r="AF83" s="95" t="e" cm="1" vm="1">
        <f t="array" aca="1" ref="AF83" ca="1">_xlfn.LET(
_xlpm.rango, INDIRECT("E!$C$" &amp; $BA$8 &amp; ":$DR$" &amp; $BA$9),
_xlpm.col, AF$72+$D82*10,
INDEX(_xlpm.rango,$BA$4-3,_xlpm.col) +
INDEX(_xlpm.rango,$BA$4-2,_xlpm.col) +
INDEX(_xlpm.rango,$BA$4-1,_xlpm.col) +
INDEX(_xlpm.rango,$BA$4, _xlpm.col)
)</f>
        <v>#VALUE!</v>
      </c>
      <c r="AG83" s="95" t="e" cm="1" vm="1">
        <f t="array" aca="1" ref="AG83" ca="1">_xlfn.LET(
_xlpm.rango, INDIRECT("E!$C$" &amp; $BA$8 &amp; ":$DR$" &amp; $BA$9),
_xlpm.col, AG$72+$D82*10,
INDEX(_xlpm.rango,$BA$4-3,_xlpm.col) +
INDEX(_xlpm.rango,$BA$4-2,_xlpm.col) +
INDEX(_xlpm.rango,$BA$4-1,_xlpm.col) +
INDEX(_xlpm.rango,$BA$4, _xlpm.col)
)</f>
        <v>#VALUE!</v>
      </c>
      <c r="AH83" s="95" t="e" cm="1" vm="1">
        <f t="array" aca="1" ref="AH83" ca="1">_xlfn.LET(
_xlpm.rango, INDIRECT("E!$C$" &amp; $BA$8 &amp; ":$DR$" &amp; $BA$9),
_xlpm.col, AH$72+$D82*10,
INDEX(_xlpm.rango,$BA$4-3,_xlpm.col) +
INDEX(_xlpm.rango,$BA$4-2,_xlpm.col) +
INDEX(_xlpm.rango,$BA$4-1,_xlpm.col) +
INDEX(_xlpm.rango,$BA$4, _xlpm.col)
)</f>
        <v>#VALUE!</v>
      </c>
      <c r="AI83" s="96" t="e" cm="1" vm="1">
        <f t="array" aca="1" ref="AI83" ca="1">_xlfn.LET(
_xlpm.rango, INDIRECT("E!$C$" &amp; $BA$8 &amp; ":$DR$" &amp; $BA$9),
_xlpm.col, AI$72+$D82*10,
INDEX(_xlpm.rango,$BA$4-3,_xlpm.col) +
INDEX(_xlpm.rango,$BA$4-2,_xlpm.col) +
INDEX(_xlpm.rango,$BA$4-1,_xlpm.col) +
INDEX(_xlpm.rango,$BA$4, _xlpm.col)
)</f>
        <v>#VALUE!</v>
      </c>
      <c r="AJ83" s="95" t="e" cm="1" vm="1">
        <f t="array" aca="1" ref="AJ83" ca="1">_xlfn.LET(
_xlpm.rango, INDIRECT("E!$C$" &amp; $BA$8 &amp; ":$DR$" &amp; $BA$9),
_xlpm.col, AJ$72+$D82*10,
INDEX(_xlpm.rango,$BA$4-3,_xlpm.col) +
INDEX(_xlpm.rango,$BA$4-2,_xlpm.col) +
INDEX(_xlpm.rango,$BA$4-1,_xlpm.col) +
INDEX(_xlpm.rango,$BA$4, _xlpm.col)
)</f>
        <v>#VALUE!</v>
      </c>
      <c r="AK83" s="95" t="e" cm="1" vm="1">
        <f t="array" aca="1" ref="AK83" ca="1">_xlfn.LET(
_xlpm.rango, INDIRECT("E!$C$" &amp; $BA$8 &amp; ":$DR$" &amp; $BA$9),
_xlpm.col, AK$72+$D82*10,
INDEX(_xlpm.rango,$BA$4-3,_xlpm.col) +
INDEX(_xlpm.rango,$BA$4-2,_xlpm.col) +
INDEX(_xlpm.rango,$BA$4-1,_xlpm.col) +
INDEX(_xlpm.rango,$BA$4, _xlpm.col)
)</f>
        <v>#VALUE!</v>
      </c>
      <c r="AL83" s="95" t="e" cm="1" vm="1">
        <f t="array" aca="1" ref="AL83" ca="1">_xlfn.LET(
_xlpm.rango, INDIRECT("E!$C$" &amp; $BA$8 &amp; ":$DR$" &amp; $BA$9),
_xlpm.col, AL$72+$D82*10,
INDEX(_xlpm.rango,$BA$4-3,_xlpm.col) +
INDEX(_xlpm.rango,$BA$4-2,_xlpm.col) +
INDEX(_xlpm.rango,$BA$4-1,_xlpm.col) +
INDEX(_xlpm.rango,$BA$4, _xlpm.col)
)</f>
        <v>#VALUE!</v>
      </c>
      <c r="AM83" s="95" t="e" cm="1" vm="1">
        <f t="array" aca="1" ref="AM83" ca="1">_xlfn.LET(
_xlpm.rango, INDIRECT("E!$C$" &amp; $BA$8 &amp; ":$DR$" &amp; $BA$9),
_xlpm.col, AM$72+$D82*10,
INDEX(_xlpm.rango,$BA$4-3,_xlpm.col) +
INDEX(_xlpm.rango,$BA$4-2,_xlpm.col) +
INDEX(_xlpm.rango,$BA$4-1,_xlpm.col) +
INDEX(_xlpm.rango,$BA$4, _xlpm.col)
)</f>
        <v>#VALUE!</v>
      </c>
      <c r="AN83" s="95" t="e" cm="1" vm="1">
        <f t="array" aca="1" ref="AN83" ca="1">_xlfn.LET(
_xlpm.rango, INDIRECT("E!$C$" &amp; $BA$8 &amp; ":$DR$" &amp; $BA$9),
_xlpm.col, AN$72+$D82*10,
INDEX(_xlpm.rango,$BA$4-3,_xlpm.col) +
INDEX(_xlpm.rango,$BA$4-2,_xlpm.col) +
INDEX(_xlpm.rango,$BA$4-1,_xlpm.col) +
INDEX(_xlpm.rango,$BA$4, _xlpm.col)
)</f>
        <v>#VALUE!</v>
      </c>
      <c r="AO83" s="95" t="e" cm="1" vm="1">
        <f t="array" aca="1" ref="AO83" ca="1">_xlfn.LET(
_xlpm.rango, INDIRECT("E!$C$" &amp; $BA$8 &amp; ":$DR$" &amp; $BA$9),
_xlpm.col, AO$72+$D82*10,
INDEX(_xlpm.rango,$BA$4-3,_xlpm.col) +
INDEX(_xlpm.rango,$BA$4-2,_xlpm.col) +
INDEX(_xlpm.rango,$BA$4-1,_xlpm.col) +
INDEX(_xlpm.rango,$BA$4, _xlpm.col)
)</f>
        <v>#VALUE!</v>
      </c>
      <c r="AP83" s="95" t="e" cm="1" vm="1">
        <f t="array" aca="1" ref="AP83" ca="1">_xlfn.LET(
_xlpm.rango, INDIRECT("E!$C$" &amp; $BA$8 &amp; ":$DR$" &amp; $BA$9),
_xlpm.col, AP$72+$D82*10,
INDEX(_xlpm.rango,$BA$4-3,_xlpm.col) +
INDEX(_xlpm.rango,$BA$4-2,_xlpm.col) +
INDEX(_xlpm.rango,$BA$4-1,_xlpm.col) +
INDEX(_xlpm.rango,$BA$4, _xlpm.col)
)</f>
        <v>#VALUE!</v>
      </c>
      <c r="AQ83" s="95" t="e" cm="1" vm="1">
        <f t="array" aca="1" ref="AQ83" ca="1">_xlfn.LET(
_xlpm.rango, INDIRECT("E!$C$" &amp; $BA$8 &amp; ":$DR$" &amp; $BA$9),
_xlpm.col, AQ$72+$D82*10,
INDEX(_xlpm.rango,$BA$4-3,_xlpm.col) +
INDEX(_xlpm.rango,$BA$4-2,_xlpm.col) +
INDEX(_xlpm.rango,$BA$4-1,_xlpm.col) +
INDEX(_xlpm.rango,$BA$4, _xlpm.col)
)</f>
        <v>#VALUE!</v>
      </c>
      <c r="AR83" s="95" t="e" cm="1" vm="1">
        <f t="array" aca="1" ref="AR83" ca="1">_xlfn.LET(
_xlpm.rango, INDIRECT("E!$C$" &amp; $BA$8 &amp; ":$DR$" &amp; $BA$9),
_xlpm.col, AR$72+$D82*10,
INDEX(_xlpm.rango,$BA$4-3,_xlpm.col) +
INDEX(_xlpm.rango,$BA$4-2,_xlpm.col) +
INDEX(_xlpm.rango,$BA$4-1,_xlpm.col) +
INDEX(_xlpm.rango,$BA$4, _xlpm.col)
)</f>
        <v>#VALUE!</v>
      </c>
      <c r="AS83" s="112" t="e" cm="1" vm="1">
        <f t="array" aca="1" ref="AS83" ca="1">_xlfn.LET(
_xlpm.rango, INDIRECT("E!$C$" &amp; $BA$8 &amp; ":$DR$" &amp; $BA$9),
_xlpm.col, AS$72+$D82*10,
INDEX(_xlpm.rango,$BA$4-3,_xlpm.col) +
INDEX(_xlpm.rango,$BA$4-2,_xlpm.col) +
INDEX(_xlpm.rango,$BA$4-1,_xlpm.col) +
INDEX(_xlpm.rango,$BA$4, _xlpm.col)
)</f>
        <v>#VALUE!</v>
      </c>
      <c r="AT83" s="118" t="e" vm="2">
        <f t="shared" ca="1" si="0"/>
        <v>#VALUE!</v>
      </c>
      <c r="AU83" s="120" t="e" vm="2">
        <f t="shared" ca="1" si="1"/>
        <v>#VALUE!</v>
      </c>
    </row>
    <row r="84" spans="4:47" x14ac:dyDescent="0.25">
      <c r="D84">
        <v>9</v>
      </c>
      <c r="E84" s="106" t="str">
        <f>Inicio!V12</f>
        <v>Microbus</v>
      </c>
      <c r="F84" s="100" t="e" cm="1" vm="1">
        <f t="array" aca="1" ref="F84" ca="1">_xlfn.LET(
_xlpm.rango, INDIRECT("N!$C$" &amp; $BA$8 &amp; ":$DR$" &amp; $BA$9),
_xlpm.col, F$72+$D83*10,
INDEX(_xlpm.rango,$BA$4-3,_xlpm.col) +
INDEX(_xlpm.rango,$BA$4-2,_xlpm.col) +
INDEX(_xlpm.rango,$BA$4-1,_xlpm.col) +
INDEX(_xlpm.rango,$BA$4, _xlpm.col)
)</f>
        <v>#VALUE!</v>
      </c>
      <c r="G84" s="95" t="e" cm="1" vm="1">
        <f t="array" aca="1" ref="G84" ca="1">_xlfn.LET(
_xlpm.rango, INDIRECT("N!$C$" &amp; $BA$8 &amp; ":$DR$" &amp; $BA$9),
_xlpm.col, G$72+$D83*10,
INDEX(_xlpm.rango,$BA$4-3,_xlpm.col) +
INDEX(_xlpm.rango,$BA$4-2,_xlpm.col) +
INDEX(_xlpm.rango,$BA$4-1,_xlpm.col) +
INDEX(_xlpm.rango,$BA$4, _xlpm.col)
)</f>
        <v>#VALUE!</v>
      </c>
      <c r="H84" s="95" t="e" cm="1" vm="1">
        <f t="array" aca="1" ref="H84" ca="1">_xlfn.LET(
_xlpm.rango, INDIRECT("N!$C$" &amp; $BA$8 &amp; ":$DR$" &amp; $BA$9),
_xlpm.col, H$72+$D83*10,
INDEX(_xlpm.rango,$BA$4-3,_xlpm.col) +
INDEX(_xlpm.rango,$BA$4-2,_xlpm.col) +
INDEX(_xlpm.rango,$BA$4-1,_xlpm.col) +
INDEX(_xlpm.rango,$BA$4, _xlpm.col)
)</f>
        <v>#VALUE!</v>
      </c>
      <c r="I84" s="95" t="e" cm="1" vm="1">
        <f t="array" aca="1" ref="I84" ca="1">_xlfn.LET(
_xlpm.rango, INDIRECT("N!$C$" &amp; $BA$8 &amp; ":$DR$" &amp; $BA$9),
_xlpm.col, I$72+$D83*10,
INDEX(_xlpm.rango,$BA$4-3,_xlpm.col) +
INDEX(_xlpm.rango,$BA$4-2,_xlpm.col) +
INDEX(_xlpm.rango,$BA$4-1,_xlpm.col) +
INDEX(_xlpm.rango,$BA$4, _xlpm.col)
)</f>
        <v>#VALUE!</v>
      </c>
      <c r="J84" s="95" t="e" cm="1" vm="1">
        <f t="array" aca="1" ref="J84" ca="1">_xlfn.LET(
_xlpm.rango, INDIRECT("N!$C$" &amp; $BA$8 &amp; ":$DR$" &amp; $BA$9),
_xlpm.col, J$72+$D83*10,
INDEX(_xlpm.rango,$BA$4-3,_xlpm.col) +
INDEX(_xlpm.rango,$BA$4-2,_xlpm.col) +
INDEX(_xlpm.rango,$BA$4-1,_xlpm.col) +
INDEX(_xlpm.rango,$BA$4, _xlpm.col)
)</f>
        <v>#VALUE!</v>
      </c>
      <c r="K84" s="95" t="e" cm="1" vm="1">
        <f t="array" aca="1" ref="K84" ca="1">_xlfn.LET(
_xlpm.rango, INDIRECT("N!$C$" &amp; $BA$8 &amp; ":$DR$" &amp; $BA$9),
_xlpm.col, K$72+$D83*10,
INDEX(_xlpm.rango,$BA$4-3,_xlpm.col) +
INDEX(_xlpm.rango,$BA$4-2,_xlpm.col) +
INDEX(_xlpm.rango,$BA$4-1,_xlpm.col) +
INDEX(_xlpm.rango,$BA$4, _xlpm.col)
)</f>
        <v>#VALUE!</v>
      </c>
      <c r="L84" s="95" t="e" cm="1" vm="1">
        <f t="array" aca="1" ref="L84" ca="1">_xlfn.LET(
_xlpm.rango, INDIRECT("N!$C$" &amp; $BA$8 &amp; ":$DR$" &amp; $BA$9),
_xlpm.col, L$72+$D83*10,
INDEX(_xlpm.rango,$BA$4-3,_xlpm.col) +
INDEX(_xlpm.rango,$BA$4-2,_xlpm.col) +
INDEX(_xlpm.rango,$BA$4-1,_xlpm.col) +
INDEX(_xlpm.rango,$BA$4, _xlpm.col)
)</f>
        <v>#VALUE!</v>
      </c>
      <c r="M84" s="95" t="e" cm="1" vm="1">
        <f t="array" aca="1" ref="M84" ca="1">_xlfn.LET(
_xlpm.rango, INDIRECT("N!$C$" &amp; $BA$8 &amp; ":$DR$" &amp; $BA$9),
_xlpm.col, M$72+$D83*10,
INDEX(_xlpm.rango,$BA$4-3,_xlpm.col) +
INDEX(_xlpm.rango,$BA$4-2,_xlpm.col) +
INDEX(_xlpm.rango,$BA$4-1,_xlpm.col) +
INDEX(_xlpm.rango,$BA$4, _xlpm.col)
)</f>
        <v>#VALUE!</v>
      </c>
      <c r="N84" s="95" t="e" cm="1" vm="1">
        <f t="array" aca="1" ref="N84" ca="1">_xlfn.LET(
_xlpm.rango, INDIRECT("N!$C$" &amp; $BA$8 &amp; ":$DR$" &amp; $BA$9),
_xlpm.col, N$72+$D83*10,
INDEX(_xlpm.rango,$BA$4-3,_xlpm.col) +
INDEX(_xlpm.rango,$BA$4-2,_xlpm.col) +
INDEX(_xlpm.rango,$BA$4-1,_xlpm.col) +
INDEX(_xlpm.rango,$BA$4, _xlpm.col)
)</f>
        <v>#VALUE!</v>
      </c>
      <c r="O84" s="96" t="e" cm="1" vm="1">
        <f t="array" aca="1" ref="O84" ca="1">_xlfn.LET(
_xlpm.rango, INDIRECT("N!$C$" &amp; $BA$8 &amp; ":$DR$" &amp; $BA$9),
_xlpm.col, O$72+$D83*10,
INDEX(_xlpm.rango,$BA$4-3,_xlpm.col) +
INDEX(_xlpm.rango,$BA$4-2,_xlpm.col) +
INDEX(_xlpm.rango,$BA$4-1,_xlpm.col) +
INDEX(_xlpm.rango,$BA$4, _xlpm.col)
)</f>
        <v>#VALUE!</v>
      </c>
      <c r="P84" s="95" t="e" cm="1" vm="1">
        <f t="array" aca="1" ref="P84" ca="1">_xlfn.LET(
_xlpm.rango, INDIRECT("S!$C$" &amp; $BA$8 &amp; ":$DR$" &amp; $BA$9),
_xlpm.col, P$72+$D83*10,
INDEX(_xlpm.rango,$BA$4-3,_xlpm.col) +
INDEX(_xlpm.rango,$BA$4-2,_xlpm.col) +
INDEX(_xlpm.rango,$BA$4-1,_xlpm.col) +
INDEX(_xlpm.rango,$BA$4, _xlpm.col)
)</f>
        <v>#VALUE!</v>
      </c>
      <c r="Q84" s="95" t="e" cm="1" vm="1">
        <f t="array" aca="1" ref="Q84" ca="1">_xlfn.LET(
_xlpm.rango, INDIRECT("S!$C$" &amp; $BA$8 &amp; ":$DR$" &amp; $BA$9),
_xlpm.col, Q$72+$D83*10,
INDEX(_xlpm.rango,$BA$4-3,_xlpm.col) +
INDEX(_xlpm.rango,$BA$4-2,_xlpm.col) +
INDEX(_xlpm.rango,$BA$4-1,_xlpm.col) +
INDEX(_xlpm.rango,$BA$4, _xlpm.col)
)</f>
        <v>#VALUE!</v>
      </c>
      <c r="R84" s="95" t="e" cm="1" vm="1">
        <f t="array" aca="1" ref="R84" ca="1">_xlfn.LET(
_xlpm.rango, INDIRECT("S!$C$" &amp; $BA$8 &amp; ":$DR$" &amp; $BA$9),
_xlpm.col, R$72+$D83*10,
INDEX(_xlpm.rango,$BA$4-3,_xlpm.col) +
INDEX(_xlpm.rango,$BA$4-2,_xlpm.col) +
INDEX(_xlpm.rango,$BA$4-1,_xlpm.col) +
INDEX(_xlpm.rango,$BA$4, _xlpm.col)
)</f>
        <v>#VALUE!</v>
      </c>
      <c r="S84" s="95" t="e" cm="1" vm="1">
        <f t="array" aca="1" ref="S84" ca="1">_xlfn.LET(
_xlpm.rango, INDIRECT("S!$C$" &amp; $BA$8 &amp; ":$DR$" &amp; $BA$9),
_xlpm.col, S$72+$D83*10,
INDEX(_xlpm.rango,$BA$4-3,_xlpm.col) +
INDEX(_xlpm.rango,$BA$4-2,_xlpm.col) +
INDEX(_xlpm.rango,$BA$4-1,_xlpm.col) +
INDEX(_xlpm.rango,$BA$4, _xlpm.col)
)</f>
        <v>#VALUE!</v>
      </c>
      <c r="T84" s="95" t="e" cm="1" vm="1">
        <f t="array" aca="1" ref="T84" ca="1">_xlfn.LET(
_xlpm.rango, INDIRECT("S!$C$" &amp; $BA$8 &amp; ":$DR$" &amp; $BA$9),
_xlpm.col, T$72+$D83*10,
INDEX(_xlpm.rango,$BA$4-3,_xlpm.col) +
INDEX(_xlpm.rango,$BA$4-2,_xlpm.col) +
INDEX(_xlpm.rango,$BA$4-1,_xlpm.col) +
INDEX(_xlpm.rango,$BA$4, _xlpm.col)
)</f>
        <v>#VALUE!</v>
      </c>
      <c r="U84" s="95" t="e" cm="1" vm="1">
        <f t="array" aca="1" ref="U84" ca="1">_xlfn.LET(
_xlpm.rango, INDIRECT("S!$C$" &amp; $BA$8 &amp; ":$DR$" &amp; $BA$9),
_xlpm.col, U$72+$D83*10,
INDEX(_xlpm.rango,$BA$4-3,_xlpm.col) +
INDEX(_xlpm.rango,$BA$4-2,_xlpm.col) +
INDEX(_xlpm.rango,$BA$4-1,_xlpm.col) +
INDEX(_xlpm.rango,$BA$4, _xlpm.col)
)</f>
        <v>#VALUE!</v>
      </c>
      <c r="V84" s="95" t="e" cm="1" vm="1">
        <f t="array" aca="1" ref="V84" ca="1">_xlfn.LET(
_xlpm.rango, INDIRECT("S!$C$" &amp; $BA$8 &amp; ":$DR$" &amp; $BA$9),
_xlpm.col, V$72+$D83*10,
INDEX(_xlpm.rango,$BA$4-3,_xlpm.col) +
INDEX(_xlpm.rango,$BA$4-2,_xlpm.col) +
INDEX(_xlpm.rango,$BA$4-1,_xlpm.col) +
INDEX(_xlpm.rango,$BA$4, _xlpm.col)
)</f>
        <v>#VALUE!</v>
      </c>
      <c r="W84" s="95" t="e" cm="1" vm="1">
        <f t="array" aca="1" ref="W84" ca="1">_xlfn.LET(
_xlpm.rango, INDIRECT("S!$C$" &amp; $BA$8 &amp; ":$DR$" &amp; $BA$9),
_xlpm.col, W$72+$D83*10,
INDEX(_xlpm.rango,$BA$4-3,_xlpm.col) +
INDEX(_xlpm.rango,$BA$4-2,_xlpm.col) +
INDEX(_xlpm.rango,$BA$4-1,_xlpm.col) +
INDEX(_xlpm.rango,$BA$4, _xlpm.col)
)</f>
        <v>#VALUE!</v>
      </c>
      <c r="X84" s="95" t="e" cm="1" vm="1">
        <f t="array" aca="1" ref="X84" ca="1">_xlfn.LET(
_xlpm.rango, INDIRECT("S!$C$" &amp; $BA$8 &amp; ":$DR$" &amp; $BA$9),
_xlpm.col, X$72+$D83*10,
INDEX(_xlpm.rango,$BA$4-3,_xlpm.col) +
INDEX(_xlpm.rango,$BA$4-2,_xlpm.col) +
INDEX(_xlpm.rango,$BA$4-1,_xlpm.col) +
INDEX(_xlpm.rango,$BA$4, _xlpm.col)
)</f>
        <v>#VALUE!</v>
      </c>
      <c r="Y84" s="95" t="e" cm="1" vm="1">
        <f t="array" aca="1" ref="Y84" ca="1">_xlfn.LET(
_xlpm.rango, INDIRECT("S!$C$" &amp; $BA$8 &amp; ":$DR$" &amp; $BA$9),
_xlpm.col, Y$72+$D83*10,
INDEX(_xlpm.rango,$BA$4-3,_xlpm.col) +
INDEX(_xlpm.rango,$BA$4-2,_xlpm.col) +
INDEX(_xlpm.rango,$BA$4-1,_xlpm.col) +
INDEX(_xlpm.rango,$BA$4, _xlpm.col)
)</f>
        <v>#VALUE!</v>
      </c>
      <c r="Z84" s="100" t="e" cm="1" vm="1">
        <f t="array" aca="1" ref="Z84" ca="1">_xlfn.LET(
_xlpm.rango, INDIRECT("E!$C$" &amp; $BA$8 &amp; ":$DR$" &amp; $BA$9),
_xlpm.col, Z$72+$D83*10,
INDEX(_xlpm.rango,$BA$4-3,_xlpm.col) +
INDEX(_xlpm.rango,$BA$4-2,_xlpm.col) +
INDEX(_xlpm.rango,$BA$4-1,_xlpm.col) +
INDEX(_xlpm.rango,$BA$4, _xlpm.col)
)</f>
        <v>#VALUE!</v>
      </c>
      <c r="AA84" s="95" t="e" cm="1" vm="1">
        <f t="array" aca="1" ref="AA84" ca="1">_xlfn.LET(
_xlpm.rango, INDIRECT("E!$C$" &amp; $BA$8 &amp; ":$DR$" &amp; $BA$9),
_xlpm.col, AA$72+$D83*10,
INDEX(_xlpm.rango,$BA$4-3,_xlpm.col) +
INDEX(_xlpm.rango,$BA$4-2,_xlpm.col) +
INDEX(_xlpm.rango,$BA$4-1,_xlpm.col) +
INDEX(_xlpm.rango,$BA$4, _xlpm.col)
)</f>
        <v>#VALUE!</v>
      </c>
      <c r="AB84" s="95" t="e" cm="1" vm="1">
        <f t="array" aca="1" ref="AB84" ca="1">_xlfn.LET(
_xlpm.rango, INDIRECT("E!$C$" &amp; $BA$8 &amp; ":$DR$" &amp; $BA$9),
_xlpm.col, AB$72+$D83*10,
INDEX(_xlpm.rango,$BA$4-3,_xlpm.col) +
INDEX(_xlpm.rango,$BA$4-2,_xlpm.col) +
INDEX(_xlpm.rango,$BA$4-1,_xlpm.col) +
INDEX(_xlpm.rango,$BA$4, _xlpm.col)
)</f>
        <v>#VALUE!</v>
      </c>
      <c r="AC84" s="95" t="e" cm="1" vm="1">
        <f t="array" aca="1" ref="AC84" ca="1">_xlfn.LET(
_xlpm.rango, INDIRECT("E!$C$" &amp; $BA$8 &amp; ":$DR$" &amp; $BA$9),
_xlpm.col, AC$72+$D83*10,
INDEX(_xlpm.rango,$BA$4-3,_xlpm.col) +
INDEX(_xlpm.rango,$BA$4-2,_xlpm.col) +
INDEX(_xlpm.rango,$BA$4-1,_xlpm.col) +
INDEX(_xlpm.rango,$BA$4, _xlpm.col)
)</f>
        <v>#VALUE!</v>
      </c>
      <c r="AD84" s="95" t="e" cm="1" vm="1">
        <f t="array" aca="1" ref="AD84" ca="1">_xlfn.LET(
_xlpm.rango, INDIRECT("E!$C$" &amp; $BA$8 &amp; ":$DR$" &amp; $BA$9),
_xlpm.col, AD$72+$D83*10,
INDEX(_xlpm.rango,$BA$4-3,_xlpm.col) +
INDEX(_xlpm.rango,$BA$4-2,_xlpm.col) +
INDEX(_xlpm.rango,$BA$4-1,_xlpm.col) +
INDEX(_xlpm.rango,$BA$4, _xlpm.col)
)</f>
        <v>#VALUE!</v>
      </c>
      <c r="AE84" s="95" t="e" cm="1" vm="1">
        <f t="array" aca="1" ref="AE84" ca="1">_xlfn.LET(
_xlpm.rango, INDIRECT("E!$C$" &amp; $BA$8 &amp; ":$DR$" &amp; $BA$9),
_xlpm.col, AE$72+$D83*10,
INDEX(_xlpm.rango,$BA$4-3,_xlpm.col) +
INDEX(_xlpm.rango,$BA$4-2,_xlpm.col) +
INDEX(_xlpm.rango,$BA$4-1,_xlpm.col) +
INDEX(_xlpm.rango,$BA$4, _xlpm.col)
)</f>
        <v>#VALUE!</v>
      </c>
      <c r="AF84" s="95" t="e" cm="1" vm="1">
        <f t="array" aca="1" ref="AF84" ca="1">_xlfn.LET(
_xlpm.rango, INDIRECT("E!$C$" &amp; $BA$8 &amp; ":$DR$" &amp; $BA$9),
_xlpm.col, AF$72+$D83*10,
INDEX(_xlpm.rango,$BA$4-3,_xlpm.col) +
INDEX(_xlpm.rango,$BA$4-2,_xlpm.col) +
INDEX(_xlpm.rango,$BA$4-1,_xlpm.col) +
INDEX(_xlpm.rango,$BA$4, _xlpm.col)
)</f>
        <v>#VALUE!</v>
      </c>
      <c r="AG84" s="95" t="e" cm="1" vm="1">
        <f t="array" aca="1" ref="AG84" ca="1">_xlfn.LET(
_xlpm.rango, INDIRECT("E!$C$" &amp; $BA$8 &amp; ":$DR$" &amp; $BA$9),
_xlpm.col, AG$72+$D83*10,
INDEX(_xlpm.rango,$BA$4-3,_xlpm.col) +
INDEX(_xlpm.rango,$BA$4-2,_xlpm.col) +
INDEX(_xlpm.rango,$BA$4-1,_xlpm.col) +
INDEX(_xlpm.rango,$BA$4, _xlpm.col)
)</f>
        <v>#VALUE!</v>
      </c>
      <c r="AH84" s="95" t="e" cm="1" vm="1">
        <f t="array" aca="1" ref="AH84" ca="1">_xlfn.LET(
_xlpm.rango, INDIRECT("E!$C$" &amp; $BA$8 &amp; ":$DR$" &amp; $BA$9),
_xlpm.col, AH$72+$D83*10,
INDEX(_xlpm.rango,$BA$4-3,_xlpm.col) +
INDEX(_xlpm.rango,$BA$4-2,_xlpm.col) +
INDEX(_xlpm.rango,$BA$4-1,_xlpm.col) +
INDEX(_xlpm.rango,$BA$4, _xlpm.col)
)</f>
        <v>#VALUE!</v>
      </c>
      <c r="AI84" s="96" t="e" cm="1" vm="1">
        <f t="array" aca="1" ref="AI84" ca="1">_xlfn.LET(
_xlpm.rango, INDIRECT("E!$C$" &amp; $BA$8 &amp; ":$DR$" &amp; $BA$9),
_xlpm.col, AI$72+$D83*10,
INDEX(_xlpm.rango,$BA$4-3,_xlpm.col) +
INDEX(_xlpm.rango,$BA$4-2,_xlpm.col) +
INDEX(_xlpm.rango,$BA$4-1,_xlpm.col) +
INDEX(_xlpm.rango,$BA$4, _xlpm.col)
)</f>
        <v>#VALUE!</v>
      </c>
      <c r="AJ84" s="95" t="e" cm="1" vm="1">
        <f t="array" aca="1" ref="AJ84" ca="1">_xlfn.LET(
_xlpm.rango, INDIRECT("E!$C$" &amp; $BA$8 &amp; ":$DR$" &amp; $BA$9),
_xlpm.col, AJ$72+$D83*10,
INDEX(_xlpm.rango,$BA$4-3,_xlpm.col) +
INDEX(_xlpm.rango,$BA$4-2,_xlpm.col) +
INDEX(_xlpm.rango,$BA$4-1,_xlpm.col) +
INDEX(_xlpm.rango,$BA$4, _xlpm.col)
)</f>
        <v>#VALUE!</v>
      </c>
      <c r="AK84" s="95" t="e" cm="1" vm="1">
        <f t="array" aca="1" ref="AK84" ca="1">_xlfn.LET(
_xlpm.rango, INDIRECT("E!$C$" &amp; $BA$8 &amp; ":$DR$" &amp; $BA$9),
_xlpm.col, AK$72+$D83*10,
INDEX(_xlpm.rango,$BA$4-3,_xlpm.col) +
INDEX(_xlpm.rango,$BA$4-2,_xlpm.col) +
INDEX(_xlpm.rango,$BA$4-1,_xlpm.col) +
INDEX(_xlpm.rango,$BA$4, _xlpm.col)
)</f>
        <v>#VALUE!</v>
      </c>
      <c r="AL84" s="95" t="e" cm="1" vm="1">
        <f t="array" aca="1" ref="AL84" ca="1">_xlfn.LET(
_xlpm.rango, INDIRECT("E!$C$" &amp; $BA$8 &amp; ":$DR$" &amp; $BA$9),
_xlpm.col, AL$72+$D83*10,
INDEX(_xlpm.rango,$BA$4-3,_xlpm.col) +
INDEX(_xlpm.rango,$BA$4-2,_xlpm.col) +
INDEX(_xlpm.rango,$BA$4-1,_xlpm.col) +
INDEX(_xlpm.rango,$BA$4, _xlpm.col)
)</f>
        <v>#VALUE!</v>
      </c>
      <c r="AM84" s="95" t="e" cm="1" vm="1">
        <f t="array" aca="1" ref="AM84" ca="1">_xlfn.LET(
_xlpm.rango, INDIRECT("E!$C$" &amp; $BA$8 &amp; ":$DR$" &amp; $BA$9),
_xlpm.col, AM$72+$D83*10,
INDEX(_xlpm.rango,$BA$4-3,_xlpm.col) +
INDEX(_xlpm.rango,$BA$4-2,_xlpm.col) +
INDEX(_xlpm.rango,$BA$4-1,_xlpm.col) +
INDEX(_xlpm.rango,$BA$4, _xlpm.col)
)</f>
        <v>#VALUE!</v>
      </c>
      <c r="AN84" s="95" t="e" cm="1" vm="1">
        <f t="array" aca="1" ref="AN84" ca="1">_xlfn.LET(
_xlpm.rango, INDIRECT("E!$C$" &amp; $BA$8 &amp; ":$DR$" &amp; $BA$9),
_xlpm.col, AN$72+$D83*10,
INDEX(_xlpm.rango,$BA$4-3,_xlpm.col) +
INDEX(_xlpm.rango,$BA$4-2,_xlpm.col) +
INDEX(_xlpm.rango,$BA$4-1,_xlpm.col) +
INDEX(_xlpm.rango,$BA$4, _xlpm.col)
)</f>
        <v>#VALUE!</v>
      </c>
      <c r="AO84" s="95" t="e" cm="1" vm="1">
        <f t="array" aca="1" ref="AO84" ca="1">_xlfn.LET(
_xlpm.rango, INDIRECT("E!$C$" &amp; $BA$8 &amp; ":$DR$" &amp; $BA$9),
_xlpm.col, AO$72+$D83*10,
INDEX(_xlpm.rango,$BA$4-3,_xlpm.col) +
INDEX(_xlpm.rango,$BA$4-2,_xlpm.col) +
INDEX(_xlpm.rango,$BA$4-1,_xlpm.col) +
INDEX(_xlpm.rango,$BA$4, _xlpm.col)
)</f>
        <v>#VALUE!</v>
      </c>
      <c r="AP84" s="95" t="e" cm="1" vm="1">
        <f t="array" aca="1" ref="AP84" ca="1">_xlfn.LET(
_xlpm.rango, INDIRECT("E!$C$" &amp; $BA$8 &amp; ":$DR$" &amp; $BA$9),
_xlpm.col, AP$72+$D83*10,
INDEX(_xlpm.rango,$BA$4-3,_xlpm.col) +
INDEX(_xlpm.rango,$BA$4-2,_xlpm.col) +
INDEX(_xlpm.rango,$BA$4-1,_xlpm.col) +
INDEX(_xlpm.rango,$BA$4, _xlpm.col)
)</f>
        <v>#VALUE!</v>
      </c>
      <c r="AQ84" s="95" t="e" cm="1" vm="1">
        <f t="array" aca="1" ref="AQ84" ca="1">_xlfn.LET(
_xlpm.rango, INDIRECT("E!$C$" &amp; $BA$8 &amp; ":$DR$" &amp; $BA$9),
_xlpm.col, AQ$72+$D83*10,
INDEX(_xlpm.rango,$BA$4-3,_xlpm.col) +
INDEX(_xlpm.rango,$BA$4-2,_xlpm.col) +
INDEX(_xlpm.rango,$BA$4-1,_xlpm.col) +
INDEX(_xlpm.rango,$BA$4, _xlpm.col)
)</f>
        <v>#VALUE!</v>
      </c>
      <c r="AR84" s="95" t="e" cm="1" vm="1">
        <f t="array" aca="1" ref="AR84" ca="1">_xlfn.LET(
_xlpm.rango, INDIRECT("E!$C$" &amp; $BA$8 &amp; ":$DR$" &amp; $BA$9),
_xlpm.col, AR$72+$D83*10,
INDEX(_xlpm.rango,$BA$4-3,_xlpm.col) +
INDEX(_xlpm.rango,$BA$4-2,_xlpm.col) +
INDEX(_xlpm.rango,$BA$4-1,_xlpm.col) +
INDEX(_xlpm.rango,$BA$4, _xlpm.col)
)</f>
        <v>#VALUE!</v>
      </c>
      <c r="AS84" s="112" t="e" cm="1" vm="1">
        <f t="array" aca="1" ref="AS84" ca="1">_xlfn.LET(
_xlpm.rango, INDIRECT("E!$C$" &amp; $BA$8 &amp; ":$DR$" &amp; $BA$9),
_xlpm.col, AS$72+$D83*10,
INDEX(_xlpm.rango,$BA$4-3,_xlpm.col) +
INDEX(_xlpm.rango,$BA$4-2,_xlpm.col) +
INDEX(_xlpm.rango,$BA$4-1,_xlpm.col) +
INDEX(_xlpm.rango,$BA$4, _xlpm.col)
)</f>
        <v>#VALUE!</v>
      </c>
      <c r="AT84" s="118" t="e" vm="2">
        <f t="shared" ca="1" si="0"/>
        <v>#VALUE!</v>
      </c>
      <c r="AU84" s="120" t="e" vm="2">
        <f t="shared" ca="1" si="1"/>
        <v>#VALUE!</v>
      </c>
    </row>
    <row r="85" spans="4:47" x14ac:dyDescent="0.25">
      <c r="D85">
        <v>10</v>
      </c>
      <c r="E85" s="106" t="str">
        <f>Inicio!V13</f>
        <v>Mototaxi</v>
      </c>
      <c r="F85" s="100" t="e" cm="1" vm="1">
        <f t="array" aca="1" ref="F85" ca="1">_xlfn.LET(
_xlpm.rango, INDIRECT("N!$C$" &amp; $BA$8 &amp; ":$DR$" &amp; $BA$9),
_xlpm.col, F$72+$D84*10,
INDEX(_xlpm.rango,$BA$4-3,_xlpm.col) +
INDEX(_xlpm.rango,$BA$4-2,_xlpm.col) +
INDEX(_xlpm.rango,$BA$4-1,_xlpm.col) +
INDEX(_xlpm.rango,$BA$4, _xlpm.col)
)</f>
        <v>#VALUE!</v>
      </c>
      <c r="G85" s="95" t="e" cm="1" vm="1">
        <f t="array" aca="1" ref="G85" ca="1">_xlfn.LET(
_xlpm.rango, INDIRECT("N!$C$" &amp; $BA$8 &amp; ":$DR$" &amp; $BA$9),
_xlpm.col, G$72+$D84*10,
INDEX(_xlpm.rango,$BA$4-3,_xlpm.col) +
INDEX(_xlpm.rango,$BA$4-2,_xlpm.col) +
INDEX(_xlpm.rango,$BA$4-1,_xlpm.col) +
INDEX(_xlpm.rango,$BA$4, _xlpm.col)
)</f>
        <v>#VALUE!</v>
      </c>
      <c r="H85" s="95" t="e" cm="1" vm="1">
        <f t="array" aca="1" ref="H85" ca="1">_xlfn.LET(
_xlpm.rango, INDIRECT("N!$C$" &amp; $BA$8 &amp; ":$DR$" &amp; $BA$9),
_xlpm.col, H$72+$D84*10,
INDEX(_xlpm.rango,$BA$4-3,_xlpm.col) +
INDEX(_xlpm.rango,$BA$4-2,_xlpm.col) +
INDEX(_xlpm.rango,$BA$4-1,_xlpm.col) +
INDEX(_xlpm.rango,$BA$4, _xlpm.col)
)</f>
        <v>#VALUE!</v>
      </c>
      <c r="I85" s="95" t="e" cm="1" vm="1">
        <f t="array" aca="1" ref="I85" ca="1">_xlfn.LET(
_xlpm.rango, INDIRECT("N!$C$" &amp; $BA$8 &amp; ":$DR$" &amp; $BA$9),
_xlpm.col, I$72+$D84*10,
INDEX(_xlpm.rango,$BA$4-3,_xlpm.col) +
INDEX(_xlpm.rango,$BA$4-2,_xlpm.col) +
INDEX(_xlpm.rango,$BA$4-1,_xlpm.col) +
INDEX(_xlpm.rango,$BA$4, _xlpm.col)
)</f>
        <v>#VALUE!</v>
      </c>
      <c r="J85" s="95" t="e" cm="1" vm="1">
        <f t="array" aca="1" ref="J85" ca="1">_xlfn.LET(
_xlpm.rango, INDIRECT("N!$C$" &amp; $BA$8 &amp; ":$DR$" &amp; $BA$9),
_xlpm.col, J$72+$D84*10,
INDEX(_xlpm.rango,$BA$4-3,_xlpm.col) +
INDEX(_xlpm.rango,$BA$4-2,_xlpm.col) +
INDEX(_xlpm.rango,$BA$4-1,_xlpm.col) +
INDEX(_xlpm.rango,$BA$4, _xlpm.col)
)</f>
        <v>#VALUE!</v>
      </c>
      <c r="K85" s="95" t="e" cm="1" vm="1">
        <f t="array" aca="1" ref="K85" ca="1">_xlfn.LET(
_xlpm.rango, INDIRECT("N!$C$" &amp; $BA$8 &amp; ":$DR$" &amp; $BA$9),
_xlpm.col, K$72+$D84*10,
INDEX(_xlpm.rango,$BA$4-3,_xlpm.col) +
INDEX(_xlpm.rango,$BA$4-2,_xlpm.col) +
INDEX(_xlpm.rango,$BA$4-1,_xlpm.col) +
INDEX(_xlpm.rango,$BA$4, _xlpm.col)
)</f>
        <v>#VALUE!</v>
      </c>
      <c r="L85" s="95" t="e" cm="1" vm="1">
        <f t="array" aca="1" ref="L85" ca="1">_xlfn.LET(
_xlpm.rango, INDIRECT("N!$C$" &amp; $BA$8 &amp; ":$DR$" &amp; $BA$9),
_xlpm.col, L$72+$D84*10,
INDEX(_xlpm.rango,$BA$4-3,_xlpm.col) +
INDEX(_xlpm.rango,$BA$4-2,_xlpm.col) +
INDEX(_xlpm.rango,$BA$4-1,_xlpm.col) +
INDEX(_xlpm.rango,$BA$4, _xlpm.col)
)</f>
        <v>#VALUE!</v>
      </c>
      <c r="M85" s="95" t="e" cm="1" vm="1">
        <f t="array" aca="1" ref="M85" ca="1">_xlfn.LET(
_xlpm.rango, INDIRECT("N!$C$" &amp; $BA$8 &amp; ":$DR$" &amp; $BA$9),
_xlpm.col, M$72+$D84*10,
INDEX(_xlpm.rango,$BA$4-3,_xlpm.col) +
INDEX(_xlpm.rango,$BA$4-2,_xlpm.col) +
INDEX(_xlpm.rango,$BA$4-1,_xlpm.col) +
INDEX(_xlpm.rango,$BA$4, _xlpm.col)
)</f>
        <v>#VALUE!</v>
      </c>
      <c r="N85" s="95" t="e" cm="1" vm="1">
        <f t="array" aca="1" ref="N85" ca="1">_xlfn.LET(
_xlpm.rango, INDIRECT("N!$C$" &amp; $BA$8 &amp; ":$DR$" &amp; $BA$9),
_xlpm.col, N$72+$D84*10,
INDEX(_xlpm.rango,$BA$4-3,_xlpm.col) +
INDEX(_xlpm.rango,$BA$4-2,_xlpm.col) +
INDEX(_xlpm.rango,$BA$4-1,_xlpm.col) +
INDEX(_xlpm.rango,$BA$4, _xlpm.col)
)</f>
        <v>#VALUE!</v>
      </c>
      <c r="O85" s="96" t="e" cm="1" vm="1">
        <f t="array" aca="1" ref="O85" ca="1">_xlfn.LET(
_xlpm.rango, INDIRECT("N!$C$" &amp; $BA$8 &amp; ":$DR$" &amp; $BA$9),
_xlpm.col, O$72+$D84*10,
INDEX(_xlpm.rango,$BA$4-3,_xlpm.col) +
INDEX(_xlpm.rango,$BA$4-2,_xlpm.col) +
INDEX(_xlpm.rango,$BA$4-1,_xlpm.col) +
INDEX(_xlpm.rango,$BA$4, _xlpm.col)
)</f>
        <v>#VALUE!</v>
      </c>
      <c r="P85" s="95" t="e" cm="1" vm="1">
        <f t="array" aca="1" ref="P85" ca="1">_xlfn.LET(
_xlpm.rango, INDIRECT("S!$C$" &amp; $BA$8 &amp; ":$DR$" &amp; $BA$9),
_xlpm.col, P$72+$D84*10,
INDEX(_xlpm.rango,$BA$4-3,_xlpm.col) +
INDEX(_xlpm.rango,$BA$4-2,_xlpm.col) +
INDEX(_xlpm.rango,$BA$4-1,_xlpm.col) +
INDEX(_xlpm.rango,$BA$4, _xlpm.col)
)</f>
        <v>#VALUE!</v>
      </c>
      <c r="Q85" s="95" t="e" cm="1" vm="1">
        <f t="array" aca="1" ref="Q85" ca="1">_xlfn.LET(
_xlpm.rango, INDIRECT("S!$C$" &amp; $BA$8 &amp; ":$DR$" &amp; $BA$9),
_xlpm.col, Q$72+$D84*10,
INDEX(_xlpm.rango,$BA$4-3,_xlpm.col) +
INDEX(_xlpm.rango,$BA$4-2,_xlpm.col) +
INDEX(_xlpm.rango,$BA$4-1,_xlpm.col) +
INDEX(_xlpm.rango,$BA$4, _xlpm.col)
)</f>
        <v>#VALUE!</v>
      </c>
      <c r="R85" s="95" t="e" cm="1" vm="1">
        <f t="array" aca="1" ref="R85" ca="1">_xlfn.LET(
_xlpm.rango, INDIRECT("S!$C$" &amp; $BA$8 &amp; ":$DR$" &amp; $BA$9),
_xlpm.col, R$72+$D84*10,
INDEX(_xlpm.rango,$BA$4-3,_xlpm.col) +
INDEX(_xlpm.rango,$BA$4-2,_xlpm.col) +
INDEX(_xlpm.rango,$BA$4-1,_xlpm.col) +
INDEX(_xlpm.rango,$BA$4, _xlpm.col)
)</f>
        <v>#VALUE!</v>
      </c>
      <c r="S85" s="95" t="e" cm="1" vm="1">
        <f t="array" aca="1" ref="S85" ca="1">_xlfn.LET(
_xlpm.rango, INDIRECT("S!$C$" &amp; $BA$8 &amp; ":$DR$" &amp; $BA$9),
_xlpm.col, S$72+$D84*10,
INDEX(_xlpm.rango,$BA$4-3,_xlpm.col) +
INDEX(_xlpm.rango,$BA$4-2,_xlpm.col) +
INDEX(_xlpm.rango,$BA$4-1,_xlpm.col) +
INDEX(_xlpm.rango,$BA$4, _xlpm.col)
)</f>
        <v>#VALUE!</v>
      </c>
      <c r="T85" s="95" t="e" cm="1" vm="1">
        <f t="array" aca="1" ref="T85" ca="1">_xlfn.LET(
_xlpm.rango, INDIRECT("S!$C$" &amp; $BA$8 &amp; ":$DR$" &amp; $BA$9),
_xlpm.col, T$72+$D84*10,
INDEX(_xlpm.rango,$BA$4-3,_xlpm.col) +
INDEX(_xlpm.rango,$BA$4-2,_xlpm.col) +
INDEX(_xlpm.rango,$BA$4-1,_xlpm.col) +
INDEX(_xlpm.rango,$BA$4, _xlpm.col)
)</f>
        <v>#VALUE!</v>
      </c>
      <c r="U85" s="95" t="e" cm="1" vm="1">
        <f t="array" aca="1" ref="U85" ca="1">_xlfn.LET(
_xlpm.rango, INDIRECT("S!$C$" &amp; $BA$8 &amp; ":$DR$" &amp; $BA$9),
_xlpm.col, U$72+$D84*10,
INDEX(_xlpm.rango,$BA$4-3,_xlpm.col) +
INDEX(_xlpm.rango,$BA$4-2,_xlpm.col) +
INDEX(_xlpm.rango,$BA$4-1,_xlpm.col) +
INDEX(_xlpm.rango,$BA$4, _xlpm.col)
)</f>
        <v>#VALUE!</v>
      </c>
      <c r="V85" s="95" t="e" cm="1" vm="1">
        <f t="array" aca="1" ref="V85" ca="1">_xlfn.LET(
_xlpm.rango, INDIRECT("S!$C$" &amp; $BA$8 &amp; ":$DR$" &amp; $BA$9),
_xlpm.col, V$72+$D84*10,
INDEX(_xlpm.rango,$BA$4-3,_xlpm.col) +
INDEX(_xlpm.rango,$BA$4-2,_xlpm.col) +
INDEX(_xlpm.rango,$BA$4-1,_xlpm.col) +
INDEX(_xlpm.rango,$BA$4, _xlpm.col)
)</f>
        <v>#VALUE!</v>
      </c>
      <c r="W85" s="95" t="e" cm="1" vm="1">
        <f t="array" aca="1" ref="W85" ca="1">_xlfn.LET(
_xlpm.rango, INDIRECT("S!$C$" &amp; $BA$8 &amp; ":$DR$" &amp; $BA$9),
_xlpm.col, W$72+$D84*10,
INDEX(_xlpm.rango,$BA$4-3,_xlpm.col) +
INDEX(_xlpm.rango,$BA$4-2,_xlpm.col) +
INDEX(_xlpm.rango,$BA$4-1,_xlpm.col) +
INDEX(_xlpm.rango,$BA$4, _xlpm.col)
)</f>
        <v>#VALUE!</v>
      </c>
      <c r="X85" s="95" t="e" cm="1" vm="1">
        <f t="array" aca="1" ref="X85" ca="1">_xlfn.LET(
_xlpm.rango, INDIRECT("S!$C$" &amp; $BA$8 &amp; ":$DR$" &amp; $BA$9),
_xlpm.col, X$72+$D84*10,
INDEX(_xlpm.rango,$BA$4-3,_xlpm.col) +
INDEX(_xlpm.rango,$BA$4-2,_xlpm.col) +
INDEX(_xlpm.rango,$BA$4-1,_xlpm.col) +
INDEX(_xlpm.rango,$BA$4, _xlpm.col)
)</f>
        <v>#VALUE!</v>
      </c>
      <c r="Y85" s="95" t="e" cm="1" vm="1">
        <f t="array" aca="1" ref="Y85" ca="1">_xlfn.LET(
_xlpm.rango, INDIRECT("S!$C$" &amp; $BA$8 &amp; ":$DR$" &amp; $BA$9),
_xlpm.col, Y$72+$D84*10,
INDEX(_xlpm.rango,$BA$4-3,_xlpm.col) +
INDEX(_xlpm.rango,$BA$4-2,_xlpm.col) +
INDEX(_xlpm.rango,$BA$4-1,_xlpm.col) +
INDEX(_xlpm.rango,$BA$4, _xlpm.col)
)</f>
        <v>#VALUE!</v>
      </c>
      <c r="Z85" s="100" t="e" cm="1" vm="1">
        <f t="array" aca="1" ref="Z85" ca="1">_xlfn.LET(
_xlpm.rango, INDIRECT("E!$C$" &amp; $BA$8 &amp; ":$DR$" &amp; $BA$9),
_xlpm.col, Z$72+$D84*10,
INDEX(_xlpm.rango,$BA$4-3,_xlpm.col) +
INDEX(_xlpm.rango,$BA$4-2,_xlpm.col) +
INDEX(_xlpm.rango,$BA$4-1,_xlpm.col) +
INDEX(_xlpm.rango,$BA$4, _xlpm.col)
)</f>
        <v>#VALUE!</v>
      </c>
      <c r="AA85" s="95" t="e" cm="1" vm="1">
        <f t="array" aca="1" ref="AA85" ca="1">_xlfn.LET(
_xlpm.rango, INDIRECT("E!$C$" &amp; $BA$8 &amp; ":$DR$" &amp; $BA$9),
_xlpm.col, AA$72+$D84*10,
INDEX(_xlpm.rango,$BA$4-3,_xlpm.col) +
INDEX(_xlpm.rango,$BA$4-2,_xlpm.col) +
INDEX(_xlpm.rango,$BA$4-1,_xlpm.col) +
INDEX(_xlpm.rango,$BA$4, _xlpm.col)
)</f>
        <v>#VALUE!</v>
      </c>
      <c r="AB85" s="95" t="e" cm="1" vm="1">
        <f t="array" aca="1" ref="AB85" ca="1">_xlfn.LET(
_xlpm.rango, INDIRECT("E!$C$" &amp; $BA$8 &amp; ":$DR$" &amp; $BA$9),
_xlpm.col, AB$72+$D84*10,
INDEX(_xlpm.rango,$BA$4-3,_xlpm.col) +
INDEX(_xlpm.rango,$BA$4-2,_xlpm.col) +
INDEX(_xlpm.rango,$BA$4-1,_xlpm.col) +
INDEX(_xlpm.rango,$BA$4, _xlpm.col)
)</f>
        <v>#VALUE!</v>
      </c>
      <c r="AC85" s="95" t="e" cm="1" vm="1">
        <f t="array" aca="1" ref="AC85" ca="1">_xlfn.LET(
_xlpm.rango, INDIRECT("E!$C$" &amp; $BA$8 &amp; ":$DR$" &amp; $BA$9),
_xlpm.col, AC$72+$D84*10,
INDEX(_xlpm.rango,$BA$4-3,_xlpm.col) +
INDEX(_xlpm.rango,$BA$4-2,_xlpm.col) +
INDEX(_xlpm.rango,$BA$4-1,_xlpm.col) +
INDEX(_xlpm.rango,$BA$4, _xlpm.col)
)</f>
        <v>#VALUE!</v>
      </c>
      <c r="AD85" s="95" t="e" cm="1" vm="1">
        <f t="array" aca="1" ref="AD85" ca="1">_xlfn.LET(
_xlpm.rango, INDIRECT("E!$C$" &amp; $BA$8 &amp; ":$DR$" &amp; $BA$9),
_xlpm.col, AD$72+$D84*10,
INDEX(_xlpm.rango,$BA$4-3,_xlpm.col) +
INDEX(_xlpm.rango,$BA$4-2,_xlpm.col) +
INDEX(_xlpm.rango,$BA$4-1,_xlpm.col) +
INDEX(_xlpm.rango,$BA$4, _xlpm.col)
)</f>
        <v>#VALUE!</v>
      </c>
      <c r="AE85" s="95" t="e" cm="1" vm="1">
        <f t="array" aca="1" ref="AE85" ca="1">_xlfn.LET(
_xlpm.rango, INDIRECT("E!$C$" &amp; $BA$8 &amp; ":$DR$" &amp; $BA$9),
_xlpm.col, AE$72+$D84*10,
INDEX(_xlpm.rango,$BA$4-3,_xlpm.col) +
INDEX(_xlpm.rango,$BA$4-2,_xlpm.col) +
INDEX(_xlpm.rango,$BA$4-1,_xlpm.col) +
INDEX(_xlpm.rango,$BA$4, _xlpm.col)
)</f>
        <v>#VALUE!</v>
      </c>
      <c r="AF85" s="95" t="e" cm="1" vm="1">
        <f t="array" aca="1" ref="AF85" ca="1">_xlfn.LET(
_xlpm.rango, INDIRECT("E!$C$" &amp; $BA$8 &amp; ":$DR$" &amp; $BA$9),
_xlpm.col, AF$72+$D84*10,
INDEX(_xlpm.rango,$BA$4-3,_xlpm.col) +
INDEX(_xlpm.rango,$BA$4-2,_xlpm.col) +
INDEX(_xlpm.rango,$BA$4-1,_xlpm.col) +
INDEX(_xlpm.rango,$BA$4, _xlpm.col)
)</f>
        <v>#VALUE!</v>
      </c>
      <c r="AG85" s="95" t="e" cm="1" vm="1">
        <f t="array" aca="1" ref="AG85" ca="1">_xlfn.LET(
_xlpm.rango, INDIRECT("E!$C$" &amp; $BA$8 &amp; ":$DR$" &amp; $BA$9),
_xlpm.col, AG$72+$D84*10,
INDEX(_xlpm.rango,$BA$4-3,_xlpm.col) +
INDEX(_xlpm.rango,$BA$4-2,_xlpm.col) +
INDEX(_xlpm.rango,$BA$4-1,_xlpm.col) +
INDEX(_xlpm.rango,$BA$4, _xlpm.col)
)</f>
        <v>#VALUE!</v>
      </c>
      <c r="AH85" s="95" t="e" cm="1" vm="1">
        <f t="array" aca="1" ref="AH85" ca="1">_xlfn.LET(
_xlpm.rango, INDIRECT("E!$C$" &amp; $BA$8 &amp; ":$DR$" &amp; $BA$9),
_xlpm.col, AH$72+$D84*10,
INDEX(_xlpm.rango,$BA$4-3,_xlpm.col) +
INDEX(_xlpm.rango,$BA$4-2,_xlpm.col) +
INDEX(_xlpm.rango,$BA$4-1,_xlpm.col) +
INDEX(_xlpm.rango,$BA$4, _xlpm.col)
)</f>
        <v>#VALUE!</v>
      </c>
      <c r="AI85" s="96" t="e" cm="1" vm="1">
        <f t="array" aca="1" ref="AI85" ca="1">_xlfn.LET(
_xlpm.rango, INDIRECT("E!$C$" &amp; $BA$8 &amp; ":$DR$" &amp; $BA$9),
_xlpm.col, AI$72+$D84*10,
INDEX(_xlpm.rango,$BA$4-3,_xlpm.col) +
INDEX(_xlpm.rango,$BA$4-2,_xlpm.col) +
INDEX(_xlpm.rango,$BA$4-1,_xlpm.col) +
INDEX(_xlpm.rango,$BA$4, _xlpm.col)
)</f>
        <v>#VALUE!</v>
      </c>
      <c r="AJ85" s="95" t="e" cm="1" vm="1">
        <f t="array" aca="1" ref="AJ85" ca="1">_xlfn.LET(
_xlpm.rango, INDIRECT("E!$C$" &amp; $BA$8 &amp; ":$DR$" &amp; $BA$9),
_xlpm.col, AJ$72+$D84*10,
INDEX(_xlpm.rango,$BA$4-3,_xlpm.col) +
INDEX(_xlpm.rango,$BA$4-2,_xlpm.col) +
INDEX(_xlpm.rango,$BA$4-1,_xlpm.col) +
INDEX(_xlpm.rango,$BA$4, _xlpm.col)
)</f>
        <v>#VALUE!</v>
      </c>
      <c r="AK85" s="95" t="e" cm="1" vm="1">
        <f t="array" aca="1" ref="AK85" ca="1">_xlfn.LET(
_xlpm.rango, INDIRECT("E!$C$" &amp; $BA$8 &amp; ":$DR$" &amp; $BA$9),
_xlpm.col, AK$72+$D84*10,
INDEX(_xlpm.rango,$BA$4-3,_xlpm.col) +
INDEX(_xlpm.rango,$BA$4-2,_xlpm.col) +
INDEX(_xlpm.rango,$BA$4-1,_xlpm.col) +
INDEX(_xlpm.rango,$BA$4, _xlpm.col)
)</f>
        <v>#VALUE!</v>
      </c>
      <c r="AL85" s="95" t="e" cm="1" vm="1">
        <f t="array" aca="1" ref="AL85" ca="1">_xlfn.LET(
_xlpm.rango, INDIRECT("E!$C$" &amp; $BA$8 &amp; ":$DR$" &amp; $BA$9),
_xlpm.col, AL$72+$D84*10,
INDEX(_xlpm.rango,$BA$4-3,_xlpm.col) +
INDEX(_xlpm.rango,$BA$4-2,_xlpm.col) +
INDEX(_xlpm.rango,$BA$4-1,_xlpm.col) +
INDEX(_xlpm.rango,$BA$4, _xlpm.col)
)</f>
        <v>#VALUE!</v>
      </c>
      <c r="AM85" s="95" t="e" cm="1" vm="1">
        <f t="array" aca="1" ref="AM85" ca="1">_xlfn.LET(
_xlpm.rango, INDIRECT("E!$C$" &amp; $BA$8 &amp; ":$DR$" &amp; $BA$9),
_xlpm.col, AM$72+$D84*10,
INDEX(_xlpm.rango,$BA$4-3,_xlpm.col) +
INDEX(_xlpm.rango,$BA$4-2,_xlpm.col) +
INDEX(_xlpm.rango,$BA$4-1,_xlpm.col) +
INDEX(_xlpm.rango,$BA$4, _xlpm.col)
)</f>
        <v>#VALUE!</v>
      </c>
      <c r="AN85" s="95" t="e" cm="1" vm="1">
        <f t="array" aca="1" ref="AN85" ca="1">_xlfn.LET(
_xlpm.rango, INDIRECT("E!$C$" &amp; $BA$8 &amp; ":$DR$" &amp; $BA$9),
_xlpm.col, AN$72+$D84*10,
INDEX(_xlpm.rango,$BA$4-3,_xlpm.col) +
INDEX(_xlpm.rango,$BA$4-2,_xlpm.col) +
INDEX(_xlpm.rango,$BA$4-1,_xlpm.col) +
INDEX(_xlpm.rango,$BA$4, _xlpm.col)
)</f>
        <v>#VALUE!</v>
      </c>
      <c r="AO85" s="95" t="e" cm="1" vm="1">
        <f t="array" aca="1" ref="AO85" ca="1">_xlfn.LET(
_xlpm.rango, INDIRECT("E!$C$" &amp; $BA$8 &amp; ":$DR$" &amp; $BA$9),
_xlpm.col, AO$72+$D84*10,
INDEX(_xlpm.rango,$BA$4-3,_xlpm.col) +
INDEX(_xlpm.rango,$BA$4-2,_xlpm.col) +
INDEX(_xlpm.rango,$BA$4-1,_xlpm.col) +
INDEX(_xlpm.rango,$BA$4, _xlpm.col)
)</f>
        <v>#VALUE!</v>
      </c>
      <c r="AP85" s="95" t="e" cm="1" vm="1">
        <f t="array" aca="1" ref="AP85" ca="1">_xlfn.LET(
_xlpm.rango, INDIRECT("E!$C$" &amp; $BA$8 &amp; ":$DR$" &amp; $BA$9),
_xlpm.col, AP$72+$D84*10,
INDEX(_xlpm.rango,$BA$4-3,_xlpm.col) +
INDEX(_xlpm.rango,$BA$4-2,_xlpm.col) +
INDEX(_xlpm.rango,$BA$4-1,_xlpm.col) +
INDEX(_xlpm.rango,$BA$4, _xlpm.col)
)</f>
        <v>#VALUE!</v>
      </c>
      <c r="AQ85" s="95" t="e" cm="1" vm="1">
        <f t="array" aca="1" ref="AQ85" ca="1">_xlfn.LET(
_xlpm.rango, INDIRECT("E!$C$" &amp; $BA$8 &amp; ":$DR$" &amp; $BA$9),
_xlpm.col, AQ$72+$D84*10,
INDEX(_xlpm.rango,$BA$4-3,_xlpm.col) +
INDEX(_xlpm.rango,$BA$4-2,_xlpm.col) +
INDEX(_xlpm.rango,$BA$4-1,_xlpm.col) +
INDEX(_xlpm.rango,$BA$4, _xlpm.col)
)</f>
        <v>#VALUE!</v>
      </c>
      <c r="AR85" s="95" t="e" cm="1" vm="1">
        <f t="array" aca="1" ref="AR85" ca="1">_xlfn.LET(
_xlpm.rango, INDIRECT("E!$C$" &amp; $BA$8 &amp; ":$DR$" &amp; $BA$9),
_xlpm.col, AR$72+$D84*10,
INDEX(_xlpm.rango,$BA$4-3,_xlpm.col) +
INDEX(_xlpm.rango,$BA$4-2,_xlpm.col) +
INDEX(_xlpm.rango,$BA$4-1,_xlpm.col) +
INDEX(_xlpm.rango,$BA$4, _xlpm.col)
)</f>
        <v>#VALUE!</v>
      </c>
      <c r="AS85" s="112" t="e" cm="1" vm="1">
        <f t="array" aca="1" ref="AS85" ca="1">_xlfn.LET(
_xlpm.rango, INDIRECT("E!$C$" &amp; $BA$8 &amp; ":$DR$" &amp; $BA$9),
_xlpm.col, AS$72+$D84*10,
INDEX(_xlpm.rango,$BA$4-3,_xlpm.col) +
INDEX(_xlpm.rango,$BA$4-2,_xlpm.col) +
INDEX(_xlpm.rango,$BA$4-1,_xlpm.col) +
INDEX(_xlpm.rango,$BA$4, _xlpm.col)
)</f>
        <v>#VALUE!</v>
      </c>
      <c r="AT85" s="118" t="e" vm="2">
        <f t="shared" ca="1" si="0"/>
        <v>#VALUE!</v>
      </c>
      <c r="AU85" s="120" t="e" vm="2">
        <f t="shared" ca="1" si="1"/>
        <v>#VALUE!</v>
      </c>
    </row>
    <row r="86" spans="4:47" x14ac:dyDescent="0.25">
      <c r="D86">
        <v>11</v>
      </c>
      <c r="E86" s="106" t="str">
        <f>Inicio!V14</f>
        <v>Semi-trailer</v>
      </c>
      <c r="F86" s="100" t="e" cm="1" vm="1">
        <f t="array" aca="1" ref="F86" ca="1">_xlfn.LET(
_xlpm.rango, INDIRECT("N!$C$" &amp; $BA$8 &amp; ":$DR$" &amp; $BA$9),
_xlpm.col, F$72+$D85*10,
INDEX(_xlpm.rango,$BA$4-3,_xlpm.col) +
INDEX(_xlpm.rango,$BA$4-2,_xlpm.col) +
INDEX(_xlpm.rango,$BA$4-1,_xlpm.col) +
INDEX(_xlpm.rango,$BA$4, _xlpm.col)
)</f>
        <v>#VALUE!</v>
      </c>
      <c r="G86" s="95" t="e" cm="1" vm="1">
        <f t="array" aca="1" ref="G86" ca="1">_xlfn.LET(
_xlpm.rango, INDIRECT("N!$C$" &amp; $BA$8 &amp; ":$DR$" &amp; $BA$9),
_xlpm.col, G$72+$D85*10,
INDEX(_xlpm.rango,$BA$4-3,_xlpm.col) +
INDEX(_xlpm.rango,$BA$4-2,_xlpm.col) +
INDEX(_xlpm.rango,$BA$4-1,_xlpm.col) +
INDEX(_xlpm.rango,$BA$4, _xlpm.col)
)</f>
        <v>#VALUE!</v>
      </c>
      <c r="H86" s="95" t="e" cm="1" vm="1">
        <f t="array" aca="1" ref="H86" ca="1">_xlfn.LET(
_xlpm.rango, INDIRECT("N!$C$" &amp; $BA$8 &amp; ":$DR$" &amp; $BA$9),
_xlpm.col, H$72+$D85*10,
INDEX(_xlpm.rango,$BA$4-3,_xlpm.col) +
INDEX(_xlpm.rango,$BA$4-2,_xlpm.col) +
INDEX(_xlpm.rango,$BA$4-1,_xlpm.col) +
INDEX(_xlpm.rango,$BA$4, _xlpm.col)
)</f>
        <v>#VALUE!</v>
      </c>
      <c r="I86" s="95" t="e" cm="1" vm="1">
        <f t="array" aca="1" ref="I86" ca="1">_xlfn.LET(
_xlpm.rango, INDIRECT("N!$C$" &amp; $BA$8 &amp; ":$DR$" &amp; $BA$9),
_xlpm.col, I$72+$D85*10,
INDEX(_xlpm.rango,$BA$4-3,_xlpm.col) +
INDEX(_xlpm.rango,$BA$4-2,_xlpm.col) +
INDEX(_xlpm.rango,$BA$4-1,_xlpm.col) +
INDEX(_xlpm.rango,$BA$4, _xlpm.col)
)</f>
        <v>#VALUE!</v>
      </c>
      <c r="J86" s="95" t="e" cm="1" vm="1">
        <f t="array" aca="1" ref="J86" ca="1">_xlfn.LET(
_xlpm.rango, INDIRECT("N!$C$" &amp; $BA$8 &amp; ":$DR$" &amp; $BA$9),
_xlpm.col, J$72+$D85*10,
INDEX(_xlpm.rango,$BA$4-3,_xlpm.col) +
INDEX(_xlpm.rango,$BA$4-2,_xlpm.col) +
INDEX(_xlpm.rango,$BA$4-1,_xlpm.col) +
INDEX(_xlpm.rango,$BA$4, _xlpm.col)
)</f>
        <v>#VALUE!</v>
      </c>
      <c r="K86" s="95" t="e" cm="1" vm="1">
        <f t="array" aca="1" ref="K86" ca="1">_xlfn.LET(
_xlpm.rango, INDIRECT("N!$C$" &amp; $BA$8 &amp; ":$DR$" &amp; $BA$9),
_xlpm.col, K$72+$D85*10,
INDEX(_xlpm.rango,$BA$4-3,_xlpm.col) +
INDEX(_xlpm.rango,$BA$4-2,_xlpm.col) +
INDEX(_xlpm.rango,$BA$4-1,_xlpm.col) +
INDEX(_xlpm.rango,$BA$4, _xlpm.col)
)</f>
        <v>#VALUE!</v>
      </c>
      <c r="L86" s="95" t="e" cm="1" vm="1">
        <f t="array" aca="1" ref="L86" ca="1">_xlfn.LET(
_xlpm.rango, INDIRECT("N!$C$" &amp; $BA$8 &amp; ":$DR$" &amp; $BA$9),
_xlpm.col, L$72+$D85*10,
INDEX(_xlpm.rango,$BA$4-3,_xlpm.col) +
INDEX(_xlpm.rango,$BA$4-2,_xlpm.col) +
INDEX(_xlpm.rango,$BA$4-1,_xlpm.col) +
INDEX(_xlpm.rango,$BA$4, _xlpm.col)
)</f>
        <v>#VALUE!</v>
      </c>
      <c r="M86" s="95" t="e" cm="1" vm="1">
        <f t="array" aca="1" ref="M86" ca="1">_xlfn.LET(
_xlpm.rango, INDIRECT("N!$C$" &amp; $BA$8 &amp; ":$DR$" &amp; $BA$9),
_xlpm.col, M$72+$D85*10,
INDEX(_xlpm.rango,$BA$4-3,_xlpm.col) +
INDEX(_xlpm.rango,$BA$4-2,_xlpm.col) +
INDEX(_xlpm.rango,$BA$4-1,_xlpm.col) +
INDEX(_xlpm.rango,$BA$4, _xlpm.col)
)</f>
        <v>#VALUE!</v>
      </c>
      <c r="N86" s="95" t="e" cm="1" vm="1">
        <f t="array" aca="1" ref="N86" ca="1">_xlfn.LET(
_xlpm.rango, INDIRECT("N!$C$" &amp; $BA$8 &amp; ":$DR$" &amp; $BA$9),
_xlpm.col, N$72+$D85*10,
INDEX(_xlpm.rango,$BA$4-3,_xlpm.col) +
INDEX(_xlpm.rango,$BA$4-2,_xlpm.col) +
INDEX(_xlpm.rango,$BA$4-1,_xlpm.col) +
INDEX(_xlpm.rango,$BA$4, _xlpm.col)
)</f>
        <v>#VALUE!</v>
      </c>
      <c r="O86" s="96" t="e" cm="1" vm="1">
        <f t="array" aca="1" ref="O86" ca="1">_xlfn.LET(
_xlpm.rango, INDIRECT("N!$C$" &amp; $BA$8 &amp; ":$DR$" &amp; $BA$9),
_xlpm.col, O$72+$D85*10,
INDEX(_xlpm.rango,$BA$4-3,_xlpm.col) +
INDEX(_xlpm.rango,$BA$4-2,_xlpm.col) +
INDEX(_xlpm.rango,$BA$4-1,_xlpm.col) +
INDEX(_xlpm.rango,$BA$4, _xlpm.col)
)</f>
        <v>#VALUE!</v>
      </c>
      <c r="P86" s="95" t="e" cm="1" vm="1">
        <f t="array" aca="1" ref="P86" ca="1">_xlfn.LET(
_xlpm.rango, INDIRECT("S!$C$" &amp; $BA$8 &amp; ":$DR$" &amp; $BA$9),
_xlpm.col, P$72+$D85*10,
INDEX(_xlpm.rango,$BA$4-3,_xlpm.col) +
INDEX(_xlpm.rango,$BA$4-2,_xlpm.col) +
INDEX(_xlpm.rango,$BA$4-1,_xlpm.col) +
INDEX(_xlpm.rango,$BA$4, _xlpm.col)
)</f>
        <v>#VALUE!</v>
      </c>
      <c r="Q86" s="95" t="e" cm="1" vm="1">
        <f t="array" aca="1" ref="Q86" ca="1">_xlfn.LET(
_xlpm.rango, INDIRECT("S!$C$" &amp; $BA$8 &amp; ":$DR$" &amp; $BA$9),
_xlpm.col, Q$72+$D85*10,
INDEX(_xlpm.rango,$BA$4-3,_xlpm.col) +
INDEX(_xlpm.rango,$BA$4-2,_xlpm.col) +
INDEX(_xlpm.rango,$BA$4-1,_xlpm.col) +
INDEX(_xlpm.rango,$BA$4, _xlpm.col)
)</f>
        <v>#VALUE!</v>
      </c>
      <c r="R86" s="95" t="e" cm="1" vm="1">
        <f t="array" aca="1" ref="R86" ca="1">_xlfn.LET(
_xlpm.rango, INDIRECT("S!$C$" &amp; $BA$8 &amp; ":$DR$" &amp; $BA$9),
_xlpm.col, R$72+$D85*10,
INDEX(_xlpm.rango,$BA$4-3,_xlpm.col) +
INDEX(_xlpm.rango,$BA$4-2,_xlpm.col) +
INDEX(_xlpm.rango,$BA$4-1,_xlpm.col) +
INDEX(_xlpm.rango,$BA$4, _xlpm.col)
)</f>
        <v>#VALUE!</v>
      </c>
      <c r="S86" s="95" t="e" cm="1" vm="1">
        <f t="array" aca="1" ref="S86" ca="1">_xlfn.LET(
_xlpm.rango, INDIRECT("S!$C$" &amp; $BA$8 &amp; ":$DR$" &amp; $BA$9),
_xlpm.col, S$72+$D85*10,
INDEX(_xlpm.rango,$BA$4-3,_xlpm.col) +
INDEX(_xlpm.rango,$BA$4-2,_xlpm.col) +
INDEX(_xlpm.rango,$BA$4-1,_xlpm.col) +
INDEX(_xlpm.rango,$BA$4, _xlpm.col)
)</f>
        <v>#VALUE!</v>
      </c>
      <c r="T86" s="95" t="e" cm="1" vm="1">
        <f t="array" aca="1" ref="T86" ca="1">_xlfn.LET(
_xlpm.rango, INDIRECT("S!$C$" &amp; $BA$8 &amp; ":$DR$" &amp; $BA$9),
_xlpm.col, T$72+$D85*10,
INDEX(_xlpm.rango,$BA$4-3,_xlpm.col) +
INDEX(_xlpm.rango,$BA$4-2,_xlpm.col) +
INDEX(_xlpm.rango,$BA$4-1,_xlpm.col) +
INDEX(_xlpm.rango,$BA$4, _xlpm.col)
)</f>
        <v>#VALUE!</v>
      </c>
      <c r="U86" s="95" t="e" cm="1" vm="1">
        <f t="array" aca="1" ref="U86" ca="1">_xlfn.LET(
_xlpm.rango, INDIRECT("S!$C$" &amp; $BA$8 &amp; ":$DR$" &amp; $BA$9),
_xlpm.col, U$72+$D85*10,
INDEX(_xlpm.rango,$BA$4-3,_xlpm.col) +
INDEX(_xlpm.rango,$BA$4-2,_xlpm.col) +
INDEX(_xlpm.rango,$BA$4-1,_xlpm.col) +
INDEX(_xlpm.rango,$BA$4, _xlpm.col)
)</f>
        <v>#VALUE!</v>
      </c>
      <c r="V86" s="95" t="e" cm="1" vm="1">
        <f t="array" aca="1" ref="V86" ca="1">_xlfn.LET(
_xlpm.rango, INDIRECT("S!$C$" &amp; $BA$8 &amp; ":$DR$" &amp; $BA$9),
_xlpm.col, V$72+$D85*10,
INDEX(_xlpm.rango,$BA$4-3,_xlpm.col) +
INDEX(_xlpm.rango,$BA$4-2,_xlpm.col) +
INDEX(_xlpm.rango,$BA$4-1,_xlpm.col) +
INDEX(_xlpm.rango,$BA$4, _xlpm.col)
)</f>
        <v>#VALUE!</v>
      </c>
      <c r="W86" s="95" t="e" cm="1" vm="1">
        <f t="array" aca="1" ref="W86" ca="1">_xlfn.LET(
_xlpm.rango, INDIRECT("S!$C$" &amp; $BA$8 &amp; ":$DR$" &amp; $BA$9),
_xlpm.col, W$72+$D85*10,
INDEX(_xlpm.rango,$BA$4-3,_xlpm.col) +
INDEX(_xlpm.rango,$BA$4-2,_xlpm.col) +
INDEX(_xlpm.rango,$BA$4-1,_xlpm.col) +
INDEX(_xlpm.rango,$BA$4, _xlpm.col)
)</f>
        <v>#VALUE!</v>
      </c>
      <c r="X86" s="95" t="e" cm="1" vm="1">
        <f t="array" aca="1" ref="X86" ca="1">_xlfn.LET(
_xlpm.rango, INDIRECT("S!$C$" &amp; $BA$8 &amp; ":$DR$" &amp; $BA$9),
_xlpm.col, X$72+$D85*10,
INDEX(_xlpm.rango,$BA$4-3,_xlpm.col) +
INDEX(_xlpm.rango,$BA$4-2,_xlpm.col) +
INDEX(_xlpm.rango,$BA$4-1,_xlpm.col) +
INDEX(_xlpm.rango,$BA$4, _xlpm.col)
)</f>
        <v>#VALUE!</v>
      </c>
      <c r="Y86" s="95" t="e" cm="1" vm="1">
        <f t="array" aca="1" ref="Y86" ca="1">_xlfn.LET(
_xlpm.rango, INDIRECT("S!$C$" &amp; $BA$8 &amp; ":$DR$" &amp; $BA$9),
_xlpm.col, Y$72+$D85*10,
INDEX(_xlpm.rango,$BA$4-3,_xlpm.col) +
INDEX(_xlpm.rango,$BA$4-2,_xlpm.col) +
INDEX(_xlpm.rango,$BA$4-1,_xlpm.col) +
INDEX(_xlpm.rango,$BA$4, _xlpm.col)
)</f>
        <v>#VALUE!</v>
      </c>
      <c r="Z86" s="100" t="e" cm="1" vm="1">
        <f t="array" aca="1" ref="Z86" ca="1">_xlfn.LET(
_xlpm.rango, INDIRECT("E!$C$" &amp; $BA$8 &amp; ":$DR$" &amp; $BA$9),
_xlpm.col, Z$72+$D85*10,
INDEX(_xlpm.rango,$BA$4-3,_xlpm.col) +
INDEX(_xlpm.rango,$BA$4-2,_xlpm.col) +
INDEX(_xlpm.rango,$BA$4-1,_xlpm.col) +
INDEX(_xlpm.rango,$BA$4, _xlpm.col)
)</f>
        <v>#VALUE!</v>
      </c>
      <c r="AA86" s="95" t="e" cm="1" vm="1">
        <f t="array" aca="1" ref="AA86" ca="1">_xlfn.LET(
_xlpm.rango, INDIRECT("E!$C$" &amp; $BA$8 &amp; ":$DR$" &amp; $BA$9),
_xlpm.col, AA$72+$D85*10,
INDEX(_xlpm.rango,$BA$4-3,_xlpm.col) +
INDEX(_xlpm.rango,$BA$4-2,_xlpm.col) +
INDEX(_xlpm.rango,$BA$4-1,_xlpm.col) +
INDEX(_xlpm.rango,$BA$4, _xlpm.col)
)</f>
        <v>#VALUE!</v>
      </c>
      <c r="AB86" s="95" t="e" cm="1" vm="1">
        <f t="array" aca="1" ref="AB86" ca="1">_xlfn.LET(
_xlpm.rango, INDIRECT("E!$C$" &amp; $BA$8 &amp; ":$DR$" &amp; $BA$9),
_xlpm.col, AB$72+$D85*10,
INDEX(_xlpm.rango,$BA$4-3,_xlpm.col) +
INDEX(_xlpm.rango,$BA$4-2,_xlpm.col) +
INDEX(_xlpm.rango,$BA$4-1,_xlpm.col) +
INDEX(_xlpm.rango,$BA$4, _xlpm.col)
)</f>
        <v>#VALUE!</v>
      </c>
      <c r="AC86" s="95" t="e" cm="1" vm="1">
        <f t="array" aca="1" ref="AC86" ca="1">_xlfn.LET(
_xlpm.rango, INDIRECT("E!$C$" &amp; $BA$8 &amp; ":$DR$" &amp; $BA$9),
_xlpm.col, AC$72+$D85*10,
INDEX(_xlpm.rango,$BA$4-3,_xlpm.col) +
INDEX(_xlpm.rango,$BA$4-2,_xlpm.col) +
INDEX(_xlpm.rango,$BA$4-1,_xlpm.col) +
INDEX(_xlpm.rango,$BA$4, _xlpm.col)
)</f>
        <v>#VALUE!</v>
      </c>
      <c r="AD86" s="95" t="e" cm="1" vm="1">
        <f t="array" aca="1" ref="AD86" ca="1">_xlfn.LET(
_xlpm.rango, INDIRECT("E!$C$" &amp; $BA$8 &amp; ":$DR$" &amp; $BA$9),
_xlpm.col, AD$72+$D85*10,
INDEX(_xlpm.rango,$BA$4-3,_xlpm.col) +
INDEX(_xlpm.rango,$BA$4-2,_xlpm.col) +
INDEX(_xlpm.rango,$BA$4-1,_xlpm.col) +
INDEX(_xlpm.rango,$BA$4, _xlpm.col)
)</f>
        <v>#VALUE!</v>
      </c>
      <c r="AE86" s="95" t="e" cm="1" vm="1">
        <f t="array" aca="1" ref="AE86" ca="1">_xlfn.LET(
_xlpm.rango, INDIRECT("E!$C$" &amp; $BA$8 &amp; ":$DR$" &amp; $BA$9),
_xlpm.col, AE$72+$D85*10,
INDEX(_xlpm.rango,$BA$4-3,_xlpm.col) +
INDEX(_xlpm.rango,$BA$4-2,_xlpm.col) +
INDEX(_xlpm.rango,$BA$4-1,_xlpm.col) +
INDEX(_xlpm.rango,$BA$4, _xlpm.col)
)</f>
        <v>#VALUE!</v>
      </c>
      <c r="AF86" s="95" t="e" cm="1" vm="1">
        <f t="array" aca="1" ref="AF86" ca="1">_xlfn.LET(
_xlpm.rango, INDIRECT("E!$C$" &amp; $BA$8 &amp; ":$DR$" &amp; $BA$9),
_xlpm.col, AF$72+$D85*10,
INDEX(_xlpm.rango,$BA$4-3,_xlpm.col) +
INDEX(_xlpm.rango,$BA$4-2,_xlpm.col) +
INDEX(_xlpm.rango,$BA$4-1,_xlpm.col) +
INDEX(_xlpm.rango,$BA$4, _xlpm.col)
)</f>
        <v>#VALUE!</v>
      </c>
      <c r="AG86" s="95" t="e" cm="1" vm="1">
        <f t="array" aca="1" ref="AG86" ca="1">_xlfn.LET(
_xlpm.rango, INDIRECT("E!$C$" &amp; $BA$8 &amp; ":$DR$" &amp; $BA$9),
_xlpm.col, AG$72+$D85*10,
INDEX(_xlpm.rango,$BA$4-3,_xlpm.col) +
INDEX(_xlpm.rango,$BA$4-2,_xlpm.col) +
INDEX(_xlpm.rango,$BA$4-1,_xlpm.col) +
INDEX(_xlpm.rango,$BA$4, _xlpm.col)
)</f>
        <v>#VALUE!</v>
      </c>
      <c r="AH86" s="95" t="e" cm="1" vm="1">
        <f t="array" aca="1" ref="AH86" ca="1">_xlfn.LET(
_xlpm.rango, INDIRECT("E!$C$" &amp; $BA$8 &amp; ":$DR$" &amp; $BA$9),
_xlpm.col, AH$72+$D85*10,
INDEX(_xlpm.rango,$BA$4-3,_xlpm.col) +
INDEX(_xlpm.rango,$BA$4-2,_xlpm.col) +
INDEX(_xlpm.rango,$BA$4-1,_xlpm.col) +
INDEX(_xlpm.rango,$BA$4, _xlpm.col)
)</f>
        <v>#VALUE!</v>
      </c>
      <c r="AI86" s="96" t="e" cm="1" vm="1">
        <f t="array" aca="1" ref="AI86" ca="1">_xlfn.LET(
_xlpm.rango, INDIRECT("E!$C$" &amp; $BA$8 &amp; ":$DR$" &amp; $BA$9),
_xlpm.col, AI$72+$D85*10,
INDEX(_xlpm.rango,$BA$4-3,_xlpm.col) +
INDEX(_xlpm.rango,$BA$4-2,_xlpm.col) +
INDEX(_xlpm.rango,$BA$4-1,_xlpm.col) +
INDEX(_xlpm.rango,$BA$4, _xlpm.col)
)</f>
        <v>#VALUE!</v>
      </c>
      <c r="AJ86" s="95" t="e" cm="1" vm="1">
        <f t="array" aca="1" ref="AJ86" ca="1">_xlfn.LET(
_xlpm.rango, INDIRECT("E!$C$" &amp; $BA$8 &amp; ":$DR$" &amp; $BA$9),
_xlpm.col, AJ$72+$D85*10,
INDEX(_xlpm.rango,$BA$4-3,_xlpm.col) +
INDEX(_xlpm.rango,$BA$4-2,_xlpm.col) +
INDEX(_xlpm.rango,$BA$4-1,_xlpm.col) +
INDEX(_xlpm.rango,$BA$4, _xlpm.col)
)</f>
        <v>#VALUE!</v>
      </c>
      <c r="AK86" s="95" t="e" cm="1" vm="1">
        <f t="array" aca="1" ref="AK86" ca="1">_xlfn.LET(
_xlpm.rango, INDIRECT("E!$C$" &amp; $BA$8 &amp; ":$DR$" &amp; $BA$9),
_xlpm.col, AK$72+$D85*10,
INDEX(_xlpm.rango,$BA$4-3,_xlpm.col) +
INDEX(_xlpm.rango,$BA$4-2,_xlpm.col) +
INDEX(_xlpm.rango,$BA$4-1,_xlpm.col) +
INDEX(_xlpm.rango,$BA$4, _xlpm.col)
)</f>
        <v>#VALUE!</v>
      </c>
      <c r="AL86" s="95" t="e" cm="1" vm="1">
        <f t="array" aca="1" ref="AL86" ca="1">_xlfn.LET(
_xlpm.rango, INDIRECT("E!$C$" &amp; $BA$8 &amp; ":$DR$" &amp; $BA$9),
_xlpm.col, AL$72+$D85*10,
INDEX(_xlpm.rango,$BA$4-3,_xlpm.col) +
INDEX(_xlpm.rango,$BA$4-2,_xlpm.col) +
INDEX(_xlpm.rango,$BA$4-1,_xlpm.col) +
INDEX(_xlpm.rango,$BA$4, _xlpm.col)
)</f>
        <v>#VALUE!</v>
      </c>
      <c r="AM86" s="95" t="e" cm="1" vm="1">
        <f t="array" aca="1" ref="AM86" ca="1">_xlfn.LET(
_xlpm.rango, INDIRECT("E!$C$" &amp; $BA$8 &amp; ":$DR$" &amp; $BA$9),
_xlpm.col, AM$72+$D85*10,
INDEX(_xlpm.rango,$BA$4-3,_xlpm.col) +
INDEX(_xlpm.rango,$BA$4-2,_xlpm.col) +
INDEX(_xlpm.rango,$BA$4-1,_xlpm.col) +
INDEX(_xlpm.rango,$BA$4, _xlpm.col)
)</f>
        <v>#VALUE!</v>
      </c>
      <c r="AN86" s="95" t="e" cm="1" vm="1">
        <f t="array" aca="1" ref="AN86" ca="1">_xlfn.LET(
_xlpm.rango, INDIRECT("E!$C$" &amp; $BA$8 &amp; ":$DR$" &amp; $BA$9),
_xlpm.col, AN$72+$D85*10,
INDEX(_xlpm.rango,$BA$4-3,_xlpm.col) +
INDEX(_xlpm.rango,$BA$4-2,_xlpm.col) +
INDEX(_xlpm.rango,$BA$4-1,_xlpm.col) +
INDEX(_xlpm.rango,$BA$4, _xlpm.col)
)</f>
        <v>#VALUE!</v>
      </c>
      <c r="AO86" s="95" t="e" cm="1" vm="1">
        <f t="array" aca="1" ref="AO86" ca="1">_xlfn.LET(
_xlpm.rango, INDIRECT("E!$C$" &amp; $BA$8 &amp; ":$DR$" &amp; $BA$9),
_xlpm.col, AO$72+$D85*10,
INDEX(_xlpm.rango,$BA$4-3,_xlpm.col) +
INDEX(_xlpm.rango,$BA$4-2,_xlpm.col) +
INDEX(_xlpm.rango,$BA$4-1,_xlpm.col) +
INDEX(_xlpm.rango,$BA$4, _xlpm.col)
)</f>
        <v>#VALUE!</v>
      </c>
      <c r="AP86" s="95" t="e" cm="1" vm="1">
        <f t="array" aca="1" ref="AP86" ca="1">_xlfn.LET(
_xlpm.rango, INDIRECT("E!$C$" &amp; $BA$8 &amp; ":$DR$" &amp; $BA$9),
_xlpm.col, AP$72+$D85*10,
INDEX(_xlpm.rango,$BA$4-3,_xlpm.col) +
INDEX(_xlpm.rango,$BA$4-2,_xlpm.col) +
INDEX(_xlpm.rango,$BA$4-1,_xlpm.col) +
INDEX(_xlpm.rango,$BA$4, _xlpm.col)
)</f>
        <v>#VALUE!</v>
      </c>
      <c r="AQ86" s="95" t="e" cm="1" vm="1">
        <f t="array" aca="1" ref="AQ86" ca="1">_xlfn.LET(
_xlpm.rango, INDIRECT("E!$C$" &amp; $BA$8 &amp; ":$DR$" &amp; $BA$9),
_xlpm.col, AQ$72+$D85*10,
INDEX(_xlpm.rango,$BA$4-3,_xlpm.col) +
INDEX(_xlpm.rango,$BA$4-2,_xlpm.col) +
INDEX(_xlpm.rango,$BA$4-1,_xlpm.col) +
INDEX(_xlpm.rango,$BA$4, _xlpm.col)
)</f>
        <v>#VALUE!</v>
      </c>
      <c r="AR86" s="95" t="e" cm="1" vm="1">
        <f t="array" aca="1" ref="AR86" ca="1">_xlfn.LET(
_xlpm.rango, INDIRECT("E!$C$" &amp; $BA$8 &amp; ":$DR$" &amp; $BA$9),
_xlpm.col, AR$72+$D85*10,
INDEX(_xlpm.rango,$BA$4-3,_xlpm.col) +
INDEX(_xlpm.rango,$BA$4-2,_xlpm.col) +
INDEX(_xlpm.rango,$BA$4-1,_xlpm.col) +
INDEX(_xlpm.rango,$BA$4, _xlpm.col)
)</f>
        <v>#VALUE!</v>
      </c>
      <c r="AS86" s="112" t="e" cm="1" vm="1">
        <f t="array" aca="1" ref="AS86" ca="1">_xlfn.LET(
_xlpm.rango, INDIRECT("E!$C$" &amp; $BA$8 &amp; ":$DR$" &amp; $BA$9),
_xlpm.col, AS$72+$D85*10,
INDEX(_xlpm.rango,$BA$4-3,_xlpm.col) +
INDEX(_xlpm.rango,$BA$4-2,_xlpm.col) +
INDEX(_xlpm.rango,$BA$4-1,_xlpm.col) +
INDEX(_xlpm.rango,$BA$4, _xlpm.col)
)</f>
        <v>#VALUE!</v>
      </c>
      <c r="AT86" s="118" t="e" vm="2">
        <f t="shared" ca="1" si="0"/>
        <v>#VALUE!</v>
      </c>
      <c r="AU86" s="120" t="e" vm="2">
        <f t="shared" ca="1" si="1"/>
        <v>#VALUE!</v>
      </c>
    </row>
    <row r="87" spans="4:47" x14ac:dyDescent="0.25">
      <c r="D87">
        <v>12</v>
      </c>
      <c r="E87" s="113" t="str">
        <f>Inicio!V15</f>
        <v>Otros</v>
      </c>
      <c r="F87" s="101" t="e" cm="1" vm="1">
        <f t="array" aca="1" ref="F87" ca="1">_xlfn.LET(
_xlpm.rango, INDIRECT("N!$C$" &amp; $BA$8 &amp; ":$DR$" &amp; $BA$9),
_xlpm.col, F$72+$D86*10,
INDEX(_xlpm.rango,$BA$4-3,_xlpm.col) +
INDEX(_xlpm.rango,$BA$4-2,_xlpm.col) +
INDEX(_xlpm.rango,$BA$4-1,_xlpm.col) +
INDEX(_xlpm.rango,$BA$4, _xlpm.col)
)</f>
        <v>#VALUE!</v>
      </c>
      <c r="G87" s="97" t="e" cm="1" vm="1">
        <f t="array" aca="1" ref="G87" ca="1">_xlfn.LET(
_xlpm.rango, INDIRECT("N!$C$" &amp; $BA$8 &amp; ":$DR$" &amp; $BA$9),
_xlpm.col, G$72+$D86*10,
INDEX(_xlpm.rango,$BA$4-3,_xlpm.col) +
INDEX(_xlpm.rango,$BA$4-2,_xlpm.col) +
INDEX(_xlpm.rango,$BA$4-1,_xlpm.col) +
INDEX(_xlpm.rango,$BA$4, _xlpm.col)
)</f>
        <v>#VALUE!</v>
      </c>
      <c r="H87" s="97" t="e" cm="1" vm="1">
        <f t="array" aca="1" ref="H87" ca="1">_xlfn.LET(
_xlpm.rango, INDIRECT("N!$C$" &amp; $BA$8 &amp; ":$DR$" &amp; $BA$9),
_xlpm.col, H$72+$D86*10,
INDEX(_xlpm.rango,$BA$4-3,_xlpm.col) +
INDEX(_xlpm.rango,$BA$4-2,_xlpm.col) +
INDEX(_xlpm.rango,$BA$4-1,_xlpm.col) +
INDEX(_xlpm.rango,$BA$4, _xlpm.col)
)</f>
        <v>#VALUE!</v>
      </c>
      <c r="I87" s="97" t="e" cm="1" vm="1">
        <f t="array" aca="1" ref="I87" ca="1">_xlfn.LET(
_xlpm.rango, INDIRECT("N!$C$" &amp; $BA$8 &amp; ":$DR$" &amp; $BA$9),
_xlpm.col, I$72+$D86*10,
INDEX(_xlpm.rango,$BA$4-3,_xlpm.col) +
INDEX(_xlpm.rango,$BA$4-2,_xlpm.col) +
INDEX(_xlpm.rango,$BA$4-1,_xlpm.col) +
INDEX(_xlpm.rango,$BA$4, _xlpm.col)
)</f>
        <v>#VALUE!</v>
      </c>
      <c r="J87" s="97" t="e" cm="1" vm="1">
        <f t="array" aca="1" ref="J87" ca="1">_xlfn.LET(
_xlpm.rango, INDIRECT("N!$C$" &amp; $BA$8 &amp; ":$DR$" &amp; $BA$9),
_xlpm.col, J$72+$D86*10,
INDEX(_xlpm.rango,$BA$4-3,_xlpm.col) +
INDEX(_xlpm.rango,$BA$4-2,_xlpm.col) +
INDEX(_xlpm.rango,$BA$4-1,_xlpm.col) +
INDEX(_xlpm.rango,$BA$4, _xlpm.col)
)</f>
        <v>#VALUE!</v>
      </c>
      <c r="K87" s="97" t="e" cm="1" vm="1">
        <f t="array" aca="1" ref="K87" ca="1">_xlfn.LET(
_xlpm.rango, INDIRECT("N!$C$" &amp; $BA$8 &amp; ":$DR$" &amp; $BA$9),
_xlpm.col, K$72+$D86*10,
INDEX(_xlpm.rango,$BA$4-3,_xlpm.col) +
INDEX(_xlpm.rango,$BA$4-2,_xlpm.col) +
INDEX(_xlpm.rango,$BA$4-1,_xlpm.col) +
INDEX(_xlpm.rango,$BA$4, _xlpm.col)
)</f>
        <v>#VALUE!</v>
      </c>
      <c r="L87" s="97" t="e" cm="1" vm="1">
        <f t="array" aca="1" ref="L87" ca="1">_xlfn.LET(
_xlpm.rango, INDIRECT("N!$C$" &amp; $BA$8 &amp; ":$DR$" &amp; $BA$9),
_xlpm.col, L$72+$D86*10,
INDEX(_xlpm.rango,$BA$4-3,_xlpm.col) +
INDEX(_xlpm.rango,$BA$4-2,_xlpm.col) +
INDEX(_xlpm.rango,$BA$4-1,_xlpm.col) +
INDEX(_xlpm.rango,$BA$4, _xlpm.col)
)</f>
        <v>#VALUE!</v>
      </c>
      <c r="M87" s="97" t="e" cm="1" vm="1">
        <f t="array" aca="1" ref="M87" ca="1">_xlfn.LET(
_xlpm.rango, INDIRECT("N!$C$" &amp; $BA$8 &amp; ":$DR$" &amp; $BA$9),
_xlpm.col, M$72+$D86*10,
INDEX(_xlpm.rango,$BA$4-3,_xlpm.col) +
INDEX(_xlpm.rango,$BA$4-2,_xlpm.col) +
INDEX(_xlpm.rango,$BA$4-1,_xlpm.col) +
INDEX(_xlpm.rango,$BA$4, _xlpm.col)
)</f>
        <v>#VALUE!</v>
      </c>
      <c r="N87" s="97" t="e" cm="1" vm="1">
        <f t="array" aca="1" ref="N87" ca="1">_xlfn.LET(
_xlpm.rango, INDIRECT("N!$C$" &amp; $BA$8 &amp; ":$DR$" &amp; $BA$9),
_xlpm.col, N$72+$D86*10,
INDEX(_xlpm.rango,$BA$4-3,_xlpm.col) +
INDEX(_xlpm.rango,$BA$4-2,_xlpm.col) +
INDEX(_xlpm.rango,$BA$4-1,_xlpm.col) +
INDEX(_xlpm.rango,$BA$4, _xlpm.col)
)</f>
        <v>#VALUE!</v>
      </c>
      <c r="O87" s="98" t="e" cm="1" vm="1">
        <f t="array" aca="1" ref="O87" ca="1">_xlfn.LET(
_xlpm.rango, INDIRECT("N!$C$" &amp; $BA$8 &amp; ":$DR$" &amp; $BA$9),
_xlpm.col, O$72+$D86*10,
INDEX(_xlpm.rango,$BA$4-3,_xlpm.col) +
INDEX(_xlpm.rango,$BA$4-2,_xlpm.col) +
INDEX(_xlpm.rango,$BA$4-1,_xlpm.col) +
INDEX(_xlpm.rango,$BA$4, _xlpm.col)
)</f>
        <v>#VALUE!</v>
      </c>
      <c r="P87" s="97" t="e" cm="1" vm="1">
        <f t="array" aca="1" ref="P87" ca="1">_xlfn.LET(
_xlpm.rango, INDIRECT("S!$C$" &amp; $BA$8 &amp; ":$DR$" &amp; $BA$9),
_xlpm.col, P$72+$D86*10,
INDEX(_xlpm.rango,$BA$4-3,_xlpm.col) +
INDEX(_xlpm.rango,$BA$4-2,_xlpm.col) +
INDEX(_xlpm.rango,$BA$4-1,_xlpm.col) +
INDEX(_xlpm.rango,$BA$4, _xlpm.col)
)</f>
        <v>#VALUE!</v>
      </c>
      <c r="Q87" s="97" t="e" cm="1" vm="1">
        <f t="array" aca="1" ref="Q87" ca="1">_xlfn.LET(
_xlpm.rango, INDIRECT("S!$C$" &amp; $BA$8 &amp; ":$DR$" &amp; $BA$9),
_xlpm.col, Q$72+$D86*10,
INDEX(_xlpm.rango,$BA$4-3,_xlpm.col) +
INDEX(_xlpm.rango,$BA$4-2,_xlpm.col) +
INDEX(_xlpm.rango,$BA$4-1,_xlpm.col) +
INDEX(_xlpm.rango,$BA$4, _xlpm.col)
)</f>
        <v>#VALUE!</v>
      </c>
      <c r="R87" s="97" t="e" cm="1" vm="1">
        <f t="array" aca="1" ref="R87" ca="1">_xlfn.LET(
_xlpm.rango, INDIRECT("S!$C$" &amp; $BA$8 &amp; ":$DR$" &amp; $BA$9),
_xlpm.col, R$72+$D86*10,
INDEX(_xlpm.rango,$BA$4-3,_xlpm.col) +
INDEX(_xlpm.rango,$BA$4-2,_xlpm.col) +
INDEX(_xlpm.rango,$BA$4-1,_xlpm.col) +
INDEX(_xlpm.rango,$BA$4, _xlpm.col)
)</f>
        <v>#VALUE!</v>
      </c>
      <c r="S87" s="97" t="e" cm="1" vm="1">
        <f t="array" aca="1" ref="S87" ca="1">_xlfn.LET(
_xlpm.rango, INDIRECT("S!$C$" &amp; $BA$8 &amp; ":$DR$" &amp; $BA$9),
_xlpm.col, S$72+$D86*10,
INDEX(_xlpm.rango,$BA$4-3,_xlpm.col) +
INDEX(_xlpm.rango,$BA$4-2,_xlpm.col) +
INDEX(_xlpm.rango,$BA$4-1,_xlpm.col) +
INDEX(_xlpm.rango,$BA$4, _xlpm.col)
)</f>
        <v>#VALUE!</v>
      </c>
      <c r="T87" s="97" t="e" cm="1" vm="1">
        <f t="array" aca="1" ref="T87" ca="1">_xlfn.LET(
_xlpm.rango, INDIRECT("S!$C$" &amp; $BA$8 &amp; ":$DR$" &amp; $BA$9),
_xlpm.col, T$72+$D86*10,
INDEX(_xlpm.rango,$BA$4-3,_xlpm.col) +
INDEX(_xlpm.rango,$BA$4-2,_xlpm.col) +
INDEX(_xlpm.rango,$BA$4-1,_xlpm.col) +
INDEX(_xlpm.rango,$BA$4, _xlpm.col)
)</f>
        <v>#VALUE!</v>
      </c>
      <c r="U87" s="97" t="e" cm="1" vm="1">
        <f t="array" aca="1" ref="U87" ca="1">_xlfn.LET(
_xlpm.rango, INDIRECT("S!$C$" &amp; $BA$8 &amp; ":$DR$" &amp; $BA$9),
_xlpm.col, U$72+$D86*10,
INDEX(_xlpm.rango,$BA$4-3,_xlpm.col) +
INDEX(_xlpm.rango,$BA$4-2,_xlpm.col) +
INDEX(_xlpm.rango,$BA$4-1,_xlpm.col) +
INDEX(_xlpm.rango,$BA$4, _xlpm.col)
)</f>
        <v>#VALUE!</v>
      </c>
      <c r="V87" s="97" t="e" cm="1" vm="1">
        <f t="array" aca="1" ref="V87" ca="1">_xlfn.LET(
_xlpm.rango, INDIRECT("S!$C$" &amp; $BA$8 &amp; ":$DR$" &amp; $BA$9),
_xlpm.col, V$72+$D86*10,
INDEX(_xlpm.rango,$BA$4-3,_xlpm.col) +
INDEX(_xlpm.rango,$BA$4-2,_xlpm.col) +
INDEX(_xlpm.rango,$BA$4-1,_xlpm.col) +
INDEX(_xlpm.rango,$BA$4, _xlpm.col)
)</f>
        <v>#VALUE!</v>
      </c>
      <c r="W87" s="97" t="e" cm="1" vm="1">
        <f t="array" aca="1" ref="W87" ca="1">_xlfn.LET(
_xlpm.rango, INDIRECT("S!$C$" &amp; $BA$8 &amp; ":$DR$" &amp; $BA$9),
_xlpm.col, W$72+$D86*10,
INDEX(_xlpm.rango,$BA$4-3,_xlpm.col) +
INDEX(_xlpm.rango,$BA$4-2,_xlpm.col) +
INDEX(_xlpm.rango,$BA$4-1,_xlpm.col) +
INDEX(_xlpm.rango,$BA$4, _xlpm.col)
)</f>
        <v>#VALUE!</v>
      </c>
      <c r="X87" s="97" t="e" cm="1" vm="1">
        <f t="array" aca="1" ref="X87" ca="1">_xlfn.LET(
_xlpm.rango, INDIRECT("S!$C$" &amp; $BA$8 &amp; ":$DR$" &amp; $BA$9),
_xlpm.col, X$72+$D86*10,
INDEX(_xlpm.rango,$BA$4-3,_xlpm.col) +
INDEX(_xlpm.rango,$BA$4-2,_xlpm.col) +
INDEX(_xlpm.rango,$BA$4-1,_xlpm.col) +
INDEX(_xlpm.rango,$BA$4, _xlpm.col)
)</f>
        <v>#VALUE!</v>
      </c>
      <c r="Y87" s="97" t="e" cm="1" vm="1">
        <f t="array" aca="1" ref="Y87" ca="1">_xlfn.LET(
_xlpm.rango, INDIRECT("S!$C$" &amp; $BA$8 &amp; ":$DR$" &amp; $BA$9),
_xlpm.col, Y$72+$D86*10,
INDEX(_xlpm.rango,$BA$4-3,_xlpm.col) +
INDEX(_xlpm.rango,$BA$4-2,_xlpm.col) +
INDEX(_xlpm.rango,$BA$4-1,_xlpm.col) +
INDEX(_xlpm.rango,$BA$4, _xlpm.col)
)</f>
        <v>#VALUE!</v>
      </c>
      <c r="Z87" s="101" t="e" cm="1" vm="1">
        <f t="array" aca="1" ref="Z87" ca="1">_xlfn.LET(
_xlpm.rango, INDIRECT("E!$C$" &amp; $BA$8 &amp; ":$DR$" &amp; $BA$9),
_xlpm.col, Z$72+$D86*10,
INDEX(_xlpm.rango,$BA$4-3,_xlpm.col) +
INDEX(_xlpm.rango,$BA$4-2,_xlpm.col) +
INDEX(_xlpm.rango,$BA$4-1,_xlpm.col) +
INDEX(_xlpm.rango,$BA$4, _xlpm.col)
)</f>
        <v>#VALUE!</v>
      </c>
      <c r="AA87" s="97" t="e" cm="1" vm="1">
        <f t="array" aca="1" ref="AA87" ca="1">_xlfn.LET(
_xlpm.rango, INDIRECT("E!$C$" &amp; $BA$8 &amp; ":$DR$" &amp; $BA$9),
_xlpm.col, AA$72+$D86*10,
INDEX(_xlpm.rango,$BA$4-3,_xlpm.col) +
INDEX(_xlpm.rango,$BA$4-2,_xlpm.col) +
INDEX(_xlpm.rango,$BA$4-1,_xlpm.col) +
INDEX(_xlpm.rango,$BA$4, _xlpm.col)
)</f>
        <v>#VALUE!</v>
      </c>
      <c r="AB87" s="97" t="e" cm="1" vm="1">
        <f t="array" aca="1" ref="AB87" ca="1">_xlfn.LET(
_xlpm.rango, INDIRECT("E!$C$" &amp; $BA$8 &amp; ":$DR$" &amp; $BA$9),
_xlpm.col, AB$72+$D86*10,
INDEX(_xlpm.rango,$BA$4-3,_xlpm.col) +
INDEX(_xlpm.rango,$BA$4-2,_xlpm.col) +
INDEX(_xlpm.rango,$BA$4-1,_xlpm.col) +
INDEX(_xlpm.rango,$BA$4, _xlpm.col)
)</f>
        <v>#VALUE!</v>
      </c>
      <c r="AC87" s="97" t="e" cm="1" vm="1">
        <f t="array" aca="1" ref="AC87" ca="1">_xlfn.LET(
_xlpm.rango, INDIRECT("E!$C$" &amp; $BA$8 &amp; ":$DR$" &amp; $BA$9),
_xlpm.col, AC$72+$D86*10,
INDEX(_xlpm.rango,$BA$4-3,_xlpm.col) +
INDEX(_xlpm.rango,$BA$4-2,_xlpm.col) +
INDEX(_xlpm.rango,$BA$4-1,_xlpm.col) +
INDEX(_xlpm.rango,$BA$4, _xlpm.col)
)</f>
        <v>#VALUE!</v>
      </c>
      <c r="AD87" s="97" t="e" cm="1" vm="1">
        <f t="array" aca="1" ref="AD87" ca="1">_xlfn.LET(
_xlpm.rango, INDIRECT("E!$C$" &amp; $BA$8 &amp; ":$DR$" &amp; $BA$9),
_xlpm.col, AD$72+$D86*10,
INDEX(_xlpm.rango,$BA$4-3,_xlpm.col) +
INDEX(_xlpm.rango,$BA$4-2,_xlpm.col) +
INDEX(_xlpm.rango,$BA$4-1,_xlpm.col) +
INDEX(_xlpm.rango,$BA$4, _xlpm.col)
)</f>
        <v>#VALUE!</v>
      </c>
      <c r="AE87" s="97" t="e" cm="1" vm="1">
        <f t="array" aca="1" ref="AE87" ca="1">_xlfn.LET(
_xlpm.rango, INDIRECT("E!$C$" &amp; $BA$8 &amp; ":$DR$" &amp; $BA$9),
_xlpm.col, AE$72+$D86*10,
INDEX(_xlpm.rango,$BA$4-3,_xlpm.col) +
INDEX(_xlpm.rango,$BA$4-2,_xlpm.col) +
INDEX(_xlpm.rango,$BA$4-1,_xlpm.col) +
INDEX(_xlpm.rango,$BA$4, _xlpm.col)
)</f>
        <v>#VALUE!</v>
      </c>
      <c r="AF87" s="97" t="e" cm="1" vm="1">
        <f t="array" aca="1" ref="AF87" ca="1">_xlfn.LET(
_xlpm.rango, INDIRECT("E!$C$" &amp; $BA$8 &amp; ":$DR$" &amp; $BA$9),
_xlpm.col, AF$72+$D86*10,
INDEX(_xlpm.rango,$BA$4-3,_xlpm.col) +
INDEX(_xlpm.rango,$BA$4-2,_xlpm.col) +
INDEX(_xlpm.rango,$BA$4-1,_xlpm.col) +
INDEX(_xlpm.rango,$BA$4, _xlpm.col)
)</f>
        <v>#VALUE!</v>
      </c>
      <c r="AG87" s="97" t="e" cm="1" vm="1">
        <f t="array" aca="1" ref="AG87" ca="1">_xlfn.LET(
_xlpm.rango, INDIRECT("E!$C$" &amp; $BA$8 &amp; ":$DR$" &amp; $BA$9),
_xlpm.col, AG$72+$D86*10,
INDEX(_xlpm.rango,$BA$4-3,_xlpm.col) +
INDEX(_xlpm.rango,$BA$4-2,_xlpm.col) +
INDEX(_xlpm.rango,$BA$4-1,_xlpm.col) +
INDEX(_xlpm.rango,$BA$4, _xlpm.col)
)</f>
        <v>#VALUE!</v>
      </c>
      <c r="AH87" s="97" t="e" cm="1" vm="1">
        <f t="array" aca="1" ref="AH87" ca="1">_xlfn.LET(
_xlpm.rango, INDIRECT("E!$C$" &amp; $BA$8 &amp; ":$DR$" &amp; $BA$9),
_xlpm.col, AH$72+$D86*10,
INDEX(_xlpm.rango,$BA$4-3,_xlpm.col) +
INDEX(_xlpm.rango,$BA$4-2,_xlpm.col) +
INDEX(_xlpm.rango,$BA$4-1,_xlpm.col) +
INDEX(_xlpm.rango,$BA$4, _xlpm.col)
)</f>
        <v>#VALUE!</v>
      </c>
      <c r="AI87" s="98" t="e" cm="1" vm="1">
        <f t="array" aca="1" ref="AI87" ca="1">_xlfn.LET(
_xlpm.rango, INDIRECT("E!$C$" &amp; $BA$8 &amp; ":$DR$" &amp; $BA$9),
_xlpm.col, AI$72+$D86*10,
INDEX(_xlpm.rango,$BA$4-3,_xlpm.col) +
INDEX(_xlpm.rango,$BA$4-2,_xlpm.col) +
INDEX(_xlpm.rango,$BA$4-1,_xlpm.col) +
INDEX(_xlpm.rango,$BA$4, _xlpm.col)
)</f>
        <v>#VALUE!</v>
      </c>
      <c r="AJ87" s="97" t="e" cm="1" vm="1">
        <f t="array" aca="1" ref="AJ87" ca="1">_xlfn.LET(
_xlpm.rango, INDIRECT("E!$C$" &amp; $BA$8 &amp; ":$DR$" &amp; $BA$9),
_xlpm.col, AJ$72+$D86*10,
INDEX(_xlpm.rango,$BA$4-3,_xlpm.col) +
INDEX(_xlpm.rango,$BA$4-2,_xlpm.col) +
INDEX(_xlpm.rango,$BA$4-1,_xlpm.col) +
INDEX(_xlpm.rango,$BA$4, _xlpm.col)
)</f>
        <v>#VALUE!</v>
      </c>
      <c r="AK87" s="97" t="e" cm="1" vm="1">
        <f t="array" aca="1" ref="AK87" ca="1">_xlfn.LET(
_xlpm.rango, INDIRECT("E!$C$" &amp; $BA$8 &amp; ":$DR$" &amp; $BA$9),
_xlpm.col, AK$72+$D86*10,
INDEX(_xlpm.rango,$BA$4-3,_xlpm.col) +
INDEX(_xlpm.rango,$BA$4-2,_xlpm.col) +
INDEX(_xlpm.rango,$BA$4-1,_xlpm.col) +
INDEX(_xlpm.rango,$BA$4, _xlpm.col)
)</f>
        <v>#VALUE!</v>
      </c>
      <c r="AL87" s="97" t="e" cm="1" vm="1">
        <f t="array" aca="1" ref="AL87" ca="1">_xlfn.LET(
_xlpm.rango, INDIRECT("E!$C$" &amp; $BA$8 &amp; ":$DR$" &amp; $BA$9),
_xlpm.col, AL$72+$D86*10,
INDEX(_xlpm.rango,$BA$4-3,_xlpm.col) +
INDEX(_xlpm.rango,$BA$4-2,_xlpm.col) +
INDEX(_xlpm.rango,$BA$4-1,_xlpm.col) +
INDEX(_xlpm.rango,$BA$4, _xlpm.col)
)</f>
        <v>#VALUE!</v>
      </c>
      <c r="AM87" s="97" t="e" cm="1" vm="1">
        <f t="array" aca="1" ref="AM87" ca="1">_xlfn.LET(
_xlpm.rango, INDIRECT("E!$C$" &amp; $BA$8 &amp; ":$DR$" &amp; $BA$9),
_xlpm.col, AM$72+$D86*10,
INDEX(_xlpm.rango,$BA$4-3,_xlpm.col) +
INDEX(_xlpm.rango,$BA$4-2,_xlpm.col) +
INDEX(_xlpm.rango,$BA$4-1,_xlpm.col) +
INDEX(_xlpm.rango,$BA$4, _xlpm.col)
)</f>
        <v>#VALUE!</v>
      </c>
      <c r="AN87" s="97" t="e" cm="1" vm="1">
        <f t="array" aca="1" ref="AN87" ca="1">_xlfn.LET(
_xlpm.rango, INDIRECT("E!$C$" &amp; $BA$8 &amp; ":$DR$" &amp; $BA$9),
_xlpm.col, AN$72+$D86*10,
INDEX(_xlpm.rango,$BA$4-3,_xlpm.col) +
INDEX(_xlpm.rango,$BA$4-2,_xlpm.col) +
INDEX(_xlpm.rango,$BA$4-1,_xlpm.col) +
INDEX(_xlpm.rango,$BA$4, _xlpm.col)
)</f>
        <v>#VALUE!</v>
      </c>
      <c r="AO87" s="97" t="e" cm="1" vm="1">
        <f t="array" aca="1" ref="AO87" ca="1">_xlfn.LET(
_xlpm.rango, INDIRECT("E!$C$" &amp; $BA$8 &amp; ":$DR$" &amp; $BA$9),
_xlpm.col, AO$72+$D86*10,
INDEX(_xlpm.rango,$BA$4-3,_xlpm.col) +
INDEX(_xlpm.rango,$BA$4-2,_xlpm.col) +
INDEX(_xlpm.rango,$BA$4-1,_xlpm.col) +
INDEX(_xlpm.rango,$BA$4, _xlpm.col)
)</f>
        <v>#VALUE!</v>
      </c>
      <c r="AP87" s="97" t="e" cm="1" vm="1">
        <f t="array" aca="1" ref="AP87" ca="1">_xlfn.LET(
_xlpm.rango, INDIRECT("E!$C$" &amp; $BA$8 &amp; ":$DR$" &amp; $BA$9),
_xlpm.col, AP$72+$D86*10,
INDEX(_xlpm.rango,$BA$4-3,_xlpm.col) +
INDEX(_xlpm.rango,$BA$4-2,_xlpm.col) +
INDEX(_xlpm.rango,$BA$4-1,_xlpm.col) +
INDEX(_xlpm.rango,$BA$4, _xlpm.col)
)</f>
        <v>#VALUE!</v>
      </c>
      <c r="AQ87" s="97" t="e" cm="1" vm="1">
        <f t="array" aca="1" ref="AQ87" ca="1">_xlfn.LET(
_xlpm.rango, INDIRECT("E!$C$" &amp; $BA$8 &amp; ":$DR$" &amp; $BA$9),
_xlpm.col, AQ$72+$D86*10,
INDEX(_xlpm.rango,$BA$4-3,_xlpm.col) +
INDEX(_xlpm.rango,$BA$4-2,_xlpm.col) +
INDEX(_xlpm.rango,$BA$4-1,_xlpm.col) +
INDEX(_xlpm.rango,$BA$4, _xlpm.col)
)</f>
        <v>#VALUE!</v>
      </c>
      <c r="AR87" s="97" t="e" cm="1" vm="1">
        <f t="array" aca="1" ref="AR87" ca="1">_xlfn.LET(
_xlpm.rango, INDIRECT("E!$C$" &amp; $BA$8 &amp; ":$DR$" &amp; $BA$9),
_xlpm.col, AR$72+$D86*10,
INDEX(_xlpm.rango,$BA$4-3,_xlpm.col) +
INDEX(_xlpm.rango,$BA$4-2,_xlpm.col) +
INDEX(_xlpm.rango,$BA$4-1,_xlpm.col) +
INDEX(_xlpm.rango,$BA$4, _xlpm.col)
)</f>
        <v>#VALUE!</v>
      </c>
      <c r="AS87" s="114" t="e" cm="1" vm="1">
        <f t="array" aca="1" ref="AS87" ca="1">_xlfn.LET(
_xlpm.rango, INDIRECT("E!$C$" &amp; $BA$8 &amp; ":$DR$" &amp; $BA$9),
_xlpm.col, AS$72+$D86*10,
INDEX(_xlpm.rango,$BA$4-3,_xlpm.col) +
INDEX(_xlpm.rango,$BA$4-2,_xlpm.col) +
INDEX(_xlpm.rango,$BA$4-1,_xlpm.col) +
INDEX(_xlpm.rango,$BA$4, _xlpm.col)
)</f>
        <v>#VALUE!</v>
      </c>
      <c r="AT87" s="121" t="e" vm="2">
        <f t="shared" ca="1" si="0"/>
        <v>#VALUE!</v>
      </c>
      <c r="AU87" s="122" t="e" vm="2">
        <f t="shared" ca="1" si="1"/>
        <v>#VALUE!</v>
      </c>
    </row>
    <row r="88" spans="4:47" ht="15.75" thickBot="1" x14ac:dyDescent="0.3">
      <c r="E88" s="115" t="s">
        <v>153</v>
      </c>
      <c r="F88" s="92" t="e" vm="2">
        <f ca="1">SUM(F76:F87)</f>
        <v>#VALUE!</v>
      </c>
      <c r="G88" s="92" t="e" vm="2">
        <f t="shared" ref="G88:AT88" ca="1" si="2">SUM(G76:G87)</f>
        <v>#VALUE!</v>
      </c>
      <c r="H88" s="92" t="e" vm="2">
        <f t="shared" ca="1" si="2"/>
        <v>#VALUE!</v>
      </c>
      <c r="I88" s="92" t="e" vm="2">
        <f t="shared" ca="1" si="2"/>
        <v>#VALUE!</v>
      </c>
      <c r="J88" s="92" t="e" vm="2">
        <f t="shared" ca="1" si="2"/>
        <v>#VALUE!</v>
      </c>
      <c r="K88" s="92" t="e" vm="2">
        <f t="shared" ca="1" si="2"/>
        <v>#VALUE!</v>
      </c>
      <c r="L88" s="92" t="e" vm="2">
        <f t="shared" ca="1" si="2"/>
        <v>#VALUE!</v>
      </c>
      <c r="M88" s="92" t="e" vm="2">
        <f t="shared" ca="1" si="2"/>
        <v>#VALUE!</v>
      </c>
      <c r="N88" s="92" t="e" vm="2">
        <f t="shared" ca="1" si="2"/>
        <v>#VALUE!</v>
      </c>
      <c r="O88" s="92" t="e" vm="2">
        <f t="shared" ca="1" si="2"/>
        <v>#VALUE!</v>
      </c>
      <c r="P88" s="92" t="e" vm="2">
        <f t="shared" ca="1" si="2"/>
        <v>#VALUE!</v>
      </c>
      <c r="Q88" s="92" t="e" vm="2">
        <f t="shared" ca="1" si="2"/>
        <v>#VALUE!</v>
      </c>
      <c r="R88" s="92" t="e" vm="2">
        <f t="shared" ca="1" si="2"/>
        <v>#VALUE!</v>
      </c>
      <c r="S88" s="92" t="e" vm="2">
        <f t="shared" ca="1" si="2"/>
        <v>#VALUE!</v>
      </c>
      <c r="T88" s="92" t="e" vm="2">
        <f t="shared" ca="1" si="2"/>
        <v>#VALUE!</v>
      </c>
      <c r="U88" s="92" t="e" vm="2">
        <f t="shared" ca="1" si="2"/>
        <v>#VALUE!</v>
      </c>
      <c r="V88" s="92" t="e" vm="2">
        <f t="shared" ca="1" si="2"/>
        <v>#VALUE!</v>
      </c>
      <c r="W88" s="92" t="e" vm="2">
        <f t="shared" ca="1" si="2"/>
        <v>#VALUE!</v>
      </c>
      <c r="X88" s="92" t="e" vm="2">
        <f t="shared" ca="1" si="2"/>
        <v>#VALUE!</v>
      </c>
      <c r="Y88" s="92" t="e" vm="2">
        <f t="shared" ca="1" si="2"/>
        <v>#VALUE!</v>
      </c>
      <c r="Z88" s="92" t="e" vm="2">
        <f t="shared" ca="1" si="2"/>
        <v>#VALUE!</v>
      </c>
      <c r="AA88" s="92" t="e" vm="2">
        <f t="shared" ca="1" si="2"/>
        <v>#VALUE!</v>
      </c>
      <c r="AB88" s="92" t="e" vm="2">
        <f t="shared" ca="1" si="2"/>
        <v>#VALUE!</v>
      </c>
      <c r="AC88" s="92" t="e" vm="2">
        <f t="shared" ca="1" si="2"/>
        <v>#VALUE!</v>
      </c>
      <c r="AD88" s="92" t="e" vm="2">
        <f t="shared" ca="1" si="2"/>
        <v>#VALUE!</v>
      </c>
      <c r="AE88" s="92" t="e" vm="2">
        <f t="shared" ca="1" si="2"/>
        <v>#VALUE!</v>
      </c>
      <c r="AF88" s="92" t="e" vm="2">
        <f t="shared" ca="1" si="2"/>
        <v>#VALUE!</v>
      </c>
      <c r="AG88" s="92" t="e" vm="2">
        <f t="shared" ca="1" si="2"/>
        <v>#VALUE!</v>
      </c>
      <c r="AH88" s="92" t="e" vm="2">
        <f t="shared" ca="1" si="2"/>
        <v>#VALUE!</v>
      </c>
      <c r="AI88" s="92" t="e" vm="2">
        <f t="shared" ca="1" si="2"/>
        <v>#VALUE!</v>
      </c>
      <c r="AJ88" s="92" t="e" vm="2">
        <f t="shared" ca="1" si="2"/>
        <v>#VALUE!</v>
      </c>
      <c r="AK88" s="92" t="e" vm="2">
        <f t="shared" ca="1" si="2"/>
        <v>#VALUE!</v>
      </c>
      <c r="AL88" s="92" t="e" vm="2">
        <f t="shared" ca="1" si="2"/>
        <v>#VALUE!</v>
      </c>
      <c r="AM88" s="92" t="e" vm="2">
        <f t="shared" ca="1" si="2"/>
        <v>#VALUE!</v>
      </c>
      <c r="AN88" s="92" t="e" vm="2">
        <f t="shared" ca="1" si="2"/>
        <v>#VALUE!</v>
      </c>
      <c r="AO88" s="92" t="e" vm="2">
        <f t="shared" ca="1" si="2"/>
        <v>#VALUE!</v>
      </c>
      <c r="AP88" s="92" t="e" vm="2">
        <f t="shared" ca="1" si="2"/>
        <v>#VALUE!</v>
      </c>
      <c r="AQ88" s="92" t="e" vm="2">
        <f t="shared" ca="1" si="2"/>
        <v>#VALUE!</v>
      </c>
      <c r="AR88" s="92" t="e" vm="2">
        <f t="shared" ca="1" si="2"/>
        <v>#VALUE!</v>
      </c>
      <c r="AS88" s="116" t="e" vm="2">
        <f t="shared" ca="1" si="2"/>
        <v>#VALUE!</v>
      </c>
      <c r="AT88" s="123" t="e" vm="2">
        <f t="shared" ca="1" si="2"/>
        <v>#VALUE!</v>
      </c>
      <c r="AU88" s="124" t="e" vm="2">
        <f ca="1">SUM(AU76:AU87)</f>
        <v>#VALUE!</v>
      </c>
    </row>
    <row r="89" spans="4:47" ht="15.75" thickBot="1" x14ac:dyDescent="0.3">
      <c r="E89" s="117" t="s">
        <v>3</v>
      </c>
      <c r="F89" s="226" t="e" vm="2">
        <f ca="1">F76*Inicio!$W$4+F77*Inicio!$W$5+F78*Inicio!$W$6+F79*Inicio!$W$7+F80*Inicio!$W$8+F81*Inicio!$W$9+F82*Inicio!$W$10+F83*Inicio!$W$11+F84*Inicio!$W$12+F85*Inicio!$W$13+F86*Inicio!$W$14+F87*Inicio!$W$15</f>
        <v>#VALUE!</v>
      </c>
      <c r="G89" s="226" t="e" vm="2">
        <f ca="1">G76*Inicio!$W$4+G77*Inicio!$W$5+G78*Inicio!$W$6+G79*Inicio!$W$7+G80*Inicio!$W$8+G81*Inicio!$W$9+G82*Inicio!$W$10+G83*Inicio!$W$11+G84*Inicio!$W$12+G85*Inicio!$W$13+G86*Inicio!$W$14+G87*Inicio!$W$15</f>
        <v>#VALUE!</v>
      </c>
      <c r="H89" s="226" t="e" vm="2">
        <f ca="1">H76*Inicio!$W$4+H77*Inicio!$W$5+H78*Inicio!$W$6+H79*Inicio!$W$7+H80*Inicio!$W$8+H81*Inicio!$W$9+H82*Inicio!$W$10+H83*Inicio!$W$11+H84*Inicio!$W$12+H85*Inicio!$W$13+H86*Inicio!$W$14+H87*Inicio!$W$15</f>
        <v>#VALUE!</v>
      </c>
      <c r="I89" s="226" t="e" vm="2">
        <f ca="1">I76*Inicio!$W$4+I77*Inicio!$W$5+I78*Inicio!$W$6+I79*Inicio!$W$7+I80*Inicio!$W$8+I81*Inicio!$W$9+I82*Inicio!$W$10+I83*Inicio!$W$11+I84*Inicio!$W$12+I85*Inicio!$W$13+I86*Inicio!$W$14+I87*Inicio!$W$15</f>
        <v>#VALUE!</v>
      </c>
      <c r="J89" s="226" t="e" vm="2">
        <f ca="1">J76*Inicio!$W$4+J77*Inicio!$W$5+J78*Inicio!$W$6+J79*Inicio!$W$7+J80*Inicio!$W$8+J81*Inicio!$W$9+J82*Inicio!$W$10+J83*Inicio!$W$11+J84*Inicio!$W$12+J85*Inicio!$W$13+J86*Inicio!$W$14+J87*Inicio!$W$15</f>
        <v>#VALUE!</v>
      </c>
      <c r="K89" s="226" t="e" vm="2">
        <f ca="1">K76*Inicio!$W$4+K77*Inicio!$W$5+K78*Inicio!$W$6+K79*Inicio!$W$7+K80*Inicio!$W$8+K81*Inicio!$W$9+K82*Inicio!$W$10+K83*Inicio!$W$11+K84*Inicio!$W$12+K85*Inicio!$W$13+K86*Inicio!$W$14+K87*Inicio!$W$15</f>
        <v>#VALUE!</v>
      </c>
      <c r="L89" s="226" t="e" vm="2">
        <f ca="1">L76*Inicio!$W$4+L77*Inicio!$W$5+L78*Inicio!$W$6+L79*Inicio!$W$7+L80*Inicio!$W$8+L81*Inicio!$W$9+L82*Inicio!$W$10+L83*Inicio!$W$11+L84*Inicio!$W$12+L85*Inicio!$W$13+L86*Inicio!$W$14+L87*Inicio!$W$15</f>
        <v>#VALUE!</v>
      </c>
      <c r="M89" s="226" t="e" vm="2">
        <f ca="1">M76*Inicio!$W$4+M77*Inicio!$W$5+M78*Inicio!$W$6+M79*Inicio!$W$7+M80*Inicio!$W$8+M81*Inicio!$W$9+M82*Inicio!$W$10+M83*Inicio!$W$11+M84*Inicio!$W$12+M85*Inicio!$W$13+M86*Inicio!$W$14+M87*Inicio!$W$15</f>
        <v>#VALUE!</v>
      </c>
      <c r="N89" s="226" t="e" vm="2">
        <f ca="1">N76*Inicio!$W$4+N77*Inicio!$W$5+N78*Inicio!$W$6+N79*Inicio!$W$7+N80*Inicio!$W$8+N81*Inicio!$W$9+N82*Inicio!$W$10+N83*Inicio!$W$11+N84*Inicio!$W$12+N85*Inicio!$W$13+N86*Inicio!$W$14+N87*Inicio!$W$15</f>
        <v>#VALUE!</v>
      </c>
      <c r="O89" s="226" t="e" vm="2">
        <f ca="1">O76*Inicio!$W$4+O77*Inicio!$W$5+O78*Inicio!$W$6+O79*Inicio!$W$7+O80*Inicio!$W$8+O81*Inicio!$W$9+O82*Inicio!$W$10+O83*Inicio!$W$11+O84*Inicio!$W$12+O85*Inicio!$W$13+O86*Inicio!$W$14+O87*Inicio!$W$15</f>
        <v>#VALUE!</v>
      </c>
      <c r="P89" s="226" t="e" vm="2">
        <f ca="1">P76*Inicio!$W$4+P77*Inicio!$W$5+P78*Inicio!$W$6+P79*Inicio!$W$7+P80*Inicio!$W$8+P81*Inicio!$W$9+P82*Inicio!$W$10+P83*Inicio!$W$11+P84*Inicio!$W$12+P85*Inicio!$W$13+P86*Inicio!$W$14+P87*Inicio!$W$15</f>
        <v>#VALUE!</v>
      </c>
      <c r="Q89" s="226" t="e" vm="2">
        <f ca="1">Q76*Inicio!$W$4+Q77*Inicio!$W$5+Q78*Inicio!$W$6+Q79*Inicio!$W$7+Q80*Inicio!$W$8+Q81*Inicio!$W$9+Q82*Inicio!$W$10+Q83*Inicio!$W$11+Q84*Inicio!$W$12+Q85*Inicio!$W$13+Q86*Inicio!$W$14+Q87*Inicio!$W$15</f>
        <v>#VALUE!</v>
      </c>
      <c r="R89" s="226" t="e" vm="2">
        <f ca="1">R76*Inicio!$W$4+R77*Inicio!$W$5+R78*Inicio!$W$6+R79*Inicio!$W$7+R80*Inicio!$W$8+R81*Inicio!$W$9+R82*Inicio!$W$10+R83*Inicio!$W$11+R84*Inicio!$W$12+R85*Inicio!$W$13+R86*Inicio!$W$14+R87*Inicio!$W$15</f>
        <v>#VALUE!</v>
      </c>
      <c r="S89" s="226" t="e" vm="2">
        <f ca="1">S76*Inicio!$W$4+S77*Inicio!$W$5+S78*Inicio!$W$6+S79*Inicio!$W$7+S80*Inicio!$W$8+S81*Inicio!$W$9+S82*Inicio!$W$10+S83*Inicio!$W$11+S84*Inicio!$W$12+S85*Inicio!$W$13+S86*Inicio!$W$14+S87*Inicio!$W$15</f>
        <v>#VALUE!</v>
      </c>
      <c r="T89" s="226" t="e" vm="2">
        <f ca="1">T76*Inicio!$W$4+T77*Inicio!$W$5+T78*Inicio!$W$6+T79*Inicio!$W$7+T80*Inicio!$W$8+T81*Inicio!$W$9+T82*Inicio!$W$10+T83*Inicio!$W$11+T84*Inicio!$W$12+T85*Inicio!$W$13+T86*Inicio!$W$14+T87*Inicio!$W$15</f>
        <v>#VALUE!</v>
      </c>
      <c r="U89" s="226" t="e" vm="2">
        <f ca="1">U76*Inicio!$W$4+U77*Inicio!$W$5+U78*Inicio!$W$6+U79*Inicio!$W$7+U80*Inicio!$W$8+U81*Inicio!$W$9+U82*Inicio!$W$10+U83*Inicio!$W$11+U84*Inicio!$W$12+U85*Inicio!$W$13+U86*Inicio!$W$14+U87*Inicio!$W$15</f>
        <v>#VALUE!</v>
      </c>
      <c r="V89" s="226" t="e" vm="2">
        <f ca="1">V76*Inicio!$W$4+V77*Inicio!$W$5+V78*Inicio!$W$6+V79*Inicio!$W$7+V80*Inicio!$W$8+V81*Inicio!$W$9+V82*Inicio!$W$10+V83*Inicio!$W$11+V84*Inicio!$W$12+V85*Inicio!$W$13+V86*Inicio!$W$14+V87*Inicio!$W$15</f>
        <v>#VALUE!</v>
      </c>
      <c r="W89" s="226" t="e" vm="2">
        <f ca="1">W76*Inicio!$W$4+W77*Inicio!$W$5+W78*Inicio!$W$6+W79*Inicio!$W$7+W80*Inicio!$W$8+W81*Inicio!$W$9+W82*Inicio!$W$10+W83*Inicio!$W$11+W84*Inicio!$W$12+W85*Inicio!$W$13+W86*Inicio!$W$14+W87*Inicio!$W$15</f>
        <v>#VALUE!</v>
      </c>
      <c r="X89" s="226" t="e" vm="2">
        <f ca="1">X76*Inicio!$W$4+X77*Inicio!$W$5+X78*Inicio!$W$6+X79*Inicio!$W$7+X80*Inicio!$W$8+X81*Inicio!$W$9+X82*Inicio!$W$10+X83*Inicio!$W$11+X84*Inicio!$W$12+X85*Inicio!$W$13+X86*Inicio!$W$14+X87*Inicio!$W$15</f>
        <v>#VALUE!</v>
      </c>
      <c r="Y89" s="226" t="e" vm="2">
        <f ca="1">Y76*Inicio!$W$4+Y77*Inicio!$W$5+Y78*Inicio!$W$6+Y79*Inicio!$W$7+Y80*Inicio!$W$8+Y81*Inicio!$W$9+Y82*Inicio!$W$10+Y83*Inicio!$W$11+Y84*Inicio!$W$12+Y85*Inicio!$W$13+Y86*Inicio!$W$14+Y87*Inicio!$W$15</f>
        <v>#VALUE!</v>
      </c>
      <c r="Z89" s="226" t="e" vm="2">
        <f ca="1">Z76*Inicio!$W$4+Z77*Inicio!$W$5+Z78*Inicio!$W$6+Z79*Inicio!$W$7+Z80*Inicio!$W$8+Z81*Inicio!$W$9+Z82*Inicio!$W$10+Z83*Inicio!$W$11+Z84*Inicio!$W$12+Z85*Inicio!$W$13+Z86*Inicio!$W$14+Z87*Inicio!$W$15</f>
        <v>#VALUE!</v>
      </c>
      <c r="AA89" s="226" t="e" vm="2">
        <f ca="1">AA76*Inicio!$W$4+AA77*Inicio!$W$5+AA78*Inicio!$W$6+AA79*Inicio!$W$7+AA80*Inicio!$W$8+AA81*Inicio!$W$9+AA82*Inicio!$W$10+AA83*Inicio!$W$11+AA84*Inicio!$W$12+AA85*Inicio!$W$13+AA86*Inicio!$W$14+AA87*Inicio!$W$15</f>
        <v>#VALUE!</v>
      </c>
      <c r="AB89" s="226" t="e" vm="2">
        <f ca="1">AB76*Inicio!$W$4+AB77*Inicio!$W$5+AB78*Inicio!$W$6+AB79*Inicio!$W$7+AB80*Inicio!$W$8+AB81*Inicio!$W$9+AB82*Inicio!$W$10+AB83*Inicio!$W$11+AB84*Inicio!$W$12+AB85*Inicio!$W$13+AB86*Inicio!$W$14+AB87*Inicio!$W$15</f>
        <v>#VALUE!</v>
      </c>
      <c r="AC89" s="226" t="e" vm="2">
        <f ca="1">AC76*Inicio!$W$4+AC77*Inicio!$W$5+AC78*Inicio!$W$6+AC79*Inicio!$W$7+AC80*Inicio!$W$8+AC81*Inicio!$W$9+AC82*Inicio!$W$10+AC83*Inicio!$W$11+AC84*Inicio!$W$12+AC85*Inicio!$W$13+AC86*Inicio!$W$14+AC87*Inicio!$W$15</f>
        <v>#VALUE!</v>
      </c>
      <c r="AD89" s="226" t="e" vm="2">
        <f ca="1">AD76*Inicio!$W$4+AD77*Inicio!$W$5+AD78*Inicio!$W$6+AD79*Inicio!$W$7+AD80*Inicio!$W$8+AD81*Inicio!$W$9+AD82*Inicio!$W$10+AD83*Inicio!$W$11+AD84*Inicio!$W$12+AD85*Inicio!$W$13+AD86*Inicio!$W$14+AD87*Inicio!$W$15</f>
        <v>#VALUE!</v>
      </c>
      <c r="AE89" s="226" t="e" vm="2">
        <f ca="1">AE76*Inicio!$W$4+AE77*Inicio!$W$5+AE78*Inicio!$W$6+AE79*Inicio!$W$7+AE80*Inicio!$W$8+AE81*Inicio!$W$9+AE82*Inicio!$W$10+AE83*Inicio!$W$11+AE84*Inicio!$W$12+AE85*Inicio!$W$13+AE86*Inicio!$W$14+AE87*Inicio!$W$15</f>
        <v>#VALUE!</v>
      </c>
      <c r="AF89" s="226" t="e" vm="2">
        <f ca="1">AF76*Inicio!$W$4+AF77*Inicio!$W$5+AF78*Inicio!$W$6+AF79*Inicio!$W$7+AF80*Inicio!$W$8+AF81*Inicio!$W$9+AF82*Inicio!$W$10+AF83*Inicio!$W$11+AF84*Inicio!$W$12+AF85*Inicio!$W$13+AF86*Inicio!$W$14+AF87*Inicio!$W$15</f>
        <v>#VALUE!</v>
      </c>
      <c r="AG89" s="226" t="e" vm="2">
        <f ca="1">AG76*Inicio!$W$4+AG77*Inicio!$W$5+AG78*Inicio!$W$6+AG79*Inicio!$W$7+AG80*Inicio!$W$8+AG81*Inicio!$W$9+AG82*Inicio!$W$10+AG83*Inicio!$W$11+AG84*Inicio!$W$12+AG85*Inicio!$W$13+AG86*Inicio!$W$14+AG87*Inicio!$W$15</f>
        <v>#VALUE!</v>
      </c>
      <c r="AH89" s="226" t="e" vm="2">
        <f ca="1">AH76*Inicio!$W$4+AH77*Inicio!$W$5+AH78*Inicio!$W$6+AH79*Inicio!$W$7+AH80*Inicio!$W$8+AH81*Inicio!$W$9+AH82*Inicio!$W$10+AH83*Inicio!$W$11+AH84*Inicio!$W$12+AH85*Inicio!$W$13+AH86*Inicio!$W$14+AH87*Inicio!$W$15</f>
        <v>#VALUE!</v>
      </c>
      <c r="AI89" s="226" t="e" vm="2">
        <f ca="1">AI76*Inicio!$W$4+AI77*Inicio!$W$5+AI78*Inicio!$W$6+AI79*Inicio!$W$7+AI80*Inicio!$W$8+AI81*Inicio!$W$9+AI82*Inicio!$W$10+AI83*Inicio!$W$11+AI84*Inicio!$W$12+AI85*Inicio!$W$13+AI86*Inicio!$W$14+AI87*Inicio!$W$15</f>
        <v>#VALUE!</v>
      </c>
      <c r="AJ89" s="226" t="e" vm="2">
        <f ca="1">AJ76*Inicio!$W$4+AJ77*Inicio!$W$5+AJ78*Inicio!$W$6+AJ79*Inicio!$W$7+AJ80*Inicio!$W$8+AJ81*Inicio!$W$9+AJ82*Inicio!$W$10+AJ83*Inicio!$W$11+AJ84*Inicio!$W$12+AJ85*Inicio!$W$13+AJ86*Inicio!$W$14+AJ87*Inicio!$W$15</f>
        <v>#VALUE!</v>
      </c>
      <c r="AK89" s="226" t="e" vm="2">
        <f ca="1">AK76*Inicio!$W$4+AK77*Inicio!$W$5+AK78*Inicio!$W$6+AK79*Inicio!$W$7+AK80*Inicio!$W$8+AK81*Inicio!$W$9+AK82*Inicio!$W$10+AK83*Inicio!$W$11+AK84*Inicio!$W$12+AK85*Inicio!$W$13+AK86*Inicio!$W$14+AK87*Inicio!$W$15</f>
        <v>#VALUE!</v>
      </c>
      <c r="AL89" s="226" t="e" vm="2">
        <f ca="1">AL76*Inicio!$W$4+AL77*Inicio!$W$5+AL78*Inicio!$W$6+AL79*Inicio!$W$7+AL80*Inicio!$W$8+AL81*Inicio!$W$9+AL82*Inicio!$W$10+AL83*Inicio!$W$11+AL84*Inicio!$W$12+AL85*Inicio!$W$13+AL86*Inicio!$W$14+AL87*Inicio!$W$15</f>
        <v>#VALUE!</v>
      </c>
      <c r="AM89" s="226" t="e" vm="2">
        <f ca="1">AM76*Inicio!$W$4+AM77*Inicio!$W$5+AM78*Inicio!$W$6+AM79*Inicio!$W$7+AM80*Inicio!$W$8+AM81*Inicio!$W$9+AM82*Inicio!$W$10+AM83*Inicio!$W$11+AM84*Inicio!$W$12+AM85*Inicio!$W$13+AM86*Inicio!$W$14+AM87*Inicio!$W$15</f>
        <v>#VALUE!</v>
      </c>
      <c r="AN89" s="226" t="e" vm="2">
        <f ca="1">AN76*Inicio!$W$4+AN77*Inicio!$W$5+AN78*Inicio!$W$6+AN79*Inicio!$W$7+AN80*Inicio!$W$8+AN81*Inicio!$W$9+AN82*Inicio!$W$10+AN83*Inicio!$W$11+AN84*Inicio!$W$12+AN85*Inicio!$W$13+AN86*Inicio!$W$14+AN87*Inicio!$W$15</f>
        <v>#VALUE!</v>
      </c>
      <c r="AO89" s="226" t="e" vm="2">
        <f ca="1">AO76*Inicio!$W$4+AO77*Inicio!$W$5+AO78*Inicio!$W$6+AO79*Inicio!$W$7+AO80*Inicio!$W$8+AO81*Inicio!$W$9+AO82*Inicio!$W$10+AO83*Inicio!$W$11+AO84*Inicio!$W$12+AO85*Inicio!$W$13+AO86*Inicio!$W$14+AO87*Inicio!$W$15</f>
        <v>#VALUE!</v>
      </c>
      <c r="AP89" s="226" t="e" vm="2">
        <f ca="1">AP76*Inicio!$W$4+AP77*Inicio!$W$5+AP78*Inicio!$W$6+AP79*Inicio!$W$7+AP80*Inicio!$W$8+AP81*Inicio!$W$9+AP82*Inicio!$W$10+AP83*Inicio!$W$11+AP84*Inicio!$W$12+AP85*Inicio!$W$13+AP86*Inicio!$W$14+AP87*Inicio!$W$15</f>
        <v>#VALUE!</v>
      </c>
      <c r="AQ89" s="226" t="e" vm="2">
        <f ca="1">AQ76*Inicio!$W$4+AQ77*Inicio!$W$5+AQ78*Inicio!$W$6+AQ79*Inicio!$W$7+AQ80*Inicio!$W$8+AQ81*Inicio!$W$9+AQ82*Inicio!$W$10+AQ83*Inicio!$W$11+AQ84*Inicio!$W$12+AQ85*Inicio!$W$13+AQ86*Inicio!$W$14+AQ87*Inicio!$W$15</f>
        <v>#VALUE!</v>
      </c>
      <c r="AR89" s="226" t="e" vm="2">
        <f ca="1">AR76*Inicio!$W$4+AR77*Inicio!$W$5+AR78*Inicio!$W$6+AR79*Inicio!$W$7+AR80*Inicio!$W$8+AR81*Inicio!$W$9+AR82*Inicio!$W$10+AR83*Inicio!$W$11+AR84*Inicio!$W$12+AR85*Inicio!$W$13+AR86*Inicio!$W$14+AR87*Inicio!$W$15</f>
        <v>#VALUE!</v>
      </c>
      <c r="AS89" s="227" t="e" vm="2">
        <f ca="1">AS76*Inicio!$W$4+AS77*Inicio!$W$5+AS78*Inicio!$W$6+AS79*Inicio!$W$7+AS80*Inicio!$W$8+AS81*Inicio!$W$9+AS82*Inicio!$W$10+AS83*Inicio!$W$11+AS84*Inicio!$W$12+AS85*Inicio!$W$13+AS86*Inicio!$W$14+AS87*Inicio!$W$15</f>
        <v>#VALUE!</v>
      </c>
    </row>
  </sheetData>
  <mergeCells count="26">
    <mergeCell ref="E2:AU2"/>
    <mergeCell ref="F4:J4"/>
    <mergeCell ref="AQ4:AR4"/>
    <mergeCell ref="AS4:AU4"/>
    <mergeCell ref="F5:J5"/>
    <mergeCell ref="AQ5:AR5"/>
    <mergeCell ref="AS5:AU5"/>
    <mergeCell ref="F6:J6"/>
    <mergeCell ref="AQ6:AR6"/>
    <mergeCell ref="AS6:AU6"/>
    <mergeCell ref="F7:J7"/>
    <mergeCell ref="AQ7:AR7"/>
    <mergeCell ref="AS7:AU7"/>
    <mergeCell ref="P74:Y74"/>
    <mergeCell ref="Z74:AI74"/>
    <mergeCell ref="AJ74:AS74"/>
    <mergeCell ref="E9:AU68"/>
    <mergeCell ref="E70:AU70"/>
    <mergeCell ref="E73:E75"/>
    <mergeCell ref="F73:O73"/>
    <mergeCell ref="P73:Y73"/>
    <mergeCell ref="Z73:AI73"/>
    <mergeCell ref="AJ73:AS73"/>
    <mergeCell ref="AT73:AT75"/>
    <mergeCell ref="AU73:AU75"/>
    <mergeCell ref="F74:O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A823-8019-4762-B0EB-6ECF7315FF49}">
  <dimension ref="A1:BA89"/>
  <sheetViews>
    <sheetView zoomScale="70" zoomScaleNormal="70" workbookViewId="0"/>
  </sheetViews>
  <sheetFormatPr baseColWidth="10" defaultRowHeight="15" x14ac:dyDescent="0.25"/>
  <cols>
    <col min="1" max="1" width="11.42578125" style="47" customWidth="1"/>
    <col min="2" max="3" width="11.42578125" style="47"/>
    <col min="4" max="4" width="4.140625" hidden="1" customWidth="1"/>
    <col min="5" max="5" width="14.85546875" customWidth="1"/>
    <col min="6" max="45" width="6.7109375" customWidth="1"/>
    <col min="46" max="47" width="7.28515625" style="47" customWidth="1"/>
    <col min="48" max="49" width="14.85546875" customWidth="1"/>
    <col min="53" max="53" width="14.42578125" bestFit="1" customWidth="1"/>
  </cols>
  <sheetData>
    <row r="1" spans="5:53" s="47" customFormat="1" ht="15.75" thickBot="1" x14ac:dyDescent="0.3"/>
    <row r="2" spans="5:53" s="47" customFormat="1" ht="36.75" thickBot="1" x14ac:dyDescent="0.6">
      <c r="E2" s="183" t="s">
        <v>154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</row>
    <row r="3" spans="5:53" s="47" customFormat="1" ht="15.75" thickBot="1" x14ac:dyDescent="0.3">
      <c r="AZ3" s="126" t="s">
        <v>163</v>
      </c>
    </row>
    <row r="4" spans="5:53" s="47" customFormat="1" x14ac:dyDescent="0.25">
      <c r="E4" s="104" t="s">
        <v>158</v>
      </c>
      <c r="F4" s="186" t="str">
        <f>Inicio!G5</f>
        <v/>
      </c>
      <c r="G4" s="186"/>
      <c r="H4" s="186"/>
      <c r="I4" s="186"/>
      <c r="J4" s="186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87" t="s">
        <v>159</v>
      </c>
      <c r="AR4" s="187"/>
      <c r="AS4" s="186" t="str">
        <f>Inicio!G9</f>
        <v/>
      </c>
      <c r="AT4" s="186"/>
      <c r="AU4" s="188"/>
      <c r="AZ4" s="47" t="s">
        <v>164</v>
      </c>
      <c r="BA4" s="47">
        <f ca="1">_xlfn.LET(
_xlpm.rango, INDIRECT("N!EJ" &amp; $BA$8 &amp; ":EJ" &amp; BA9),
MATCH(MAX(_xlpm.rango),_xlpm.rango,0)
)</f>
        <v>1</v>
      </c>
    </row>
    <row r="5" spans="5:53" s="47" customFormat="1" x14ac:dyDescent="0.25">
      <c r="E5" s="106" t="s">
        <v>157</v>
      </c>
      <c r="F5" s="189">
        <f>Inicio!G6</f>
        <v>45658</v>
      </c>
      <c r="G5" s="177"/>
      <c r="H5" s="177"/>
      <c r="I5" s="177"/>
      <c r="J5" s="177"/>
      <c r="AQ5" s="178" t="s">
        <v>160</v>
      </c>
      <c r="AR5" s="178"/>
      <c r="AS5" s="177" t="s">
        <v>122</v>
      </c>
      <c r="AT5" s="177"/>
      <c r="AU5" s="179"/>
      <c r="AZ5" s="47" t="s">
        <v>165</v>
      </c>
      <c r="BA5" s="90">
        <f ca="1">TIME(0,15,0)*BA4+TIME((BA8-9)/4,0,0)</f>
        <v>0.26041666666666669</v>
      </c>
    </row>
    <row r="6" spans="5:53" s="47" customFormat="1" x14ac:dyDescent="0.25">
      <c r="E6" s="106" t="s">
        <v>156</v>
      </c>
      <c r="F6" s="177" t="str">
        <f>Inicio!G8</f>
        <v>MIÉRCOLES</v>
      </c>
      <c r="G6" s="177"/>
      <c r="H6" s="177"/>
      <c r="I6" s="177"/>
      <c r="J6" s="177"/>
      <c r="AQ6" s="178" t="s">
        <v>161</v>
      </c>
      <c r="AR6" s="178"/>
      <c r="AS6" s="177" t="str">
        <f ca="1">BA7</f>
        <v>05:15 - 06:15</v>
      </c>
      <c r="AT6" s="177"/>
      <c r="AU6" s="179"/>
      <c r="AZ6" s="47" t="s">
        <v>167</v>
      </c>
      <c r="BA6" s="125">
        <f ca="1">TIME(0,15,0)*(BA4-4)+TIME((BA8-9)/4,0,0)</f>
        <v>0.21875</v>
      </c>
    </row>
    <row r="7" spans="5:53" s="47" customFormat="1" ht="15.75" thickBot="1" x14ac:dyDescent="0.3">
      <c r="E7" s="107" t="s">
        <v>155</v>
      </c>
      <c r="F7" s="180"/>
      <c r="G7" s="180"/>
      <c r="H7" s="180"/>
      <c r="I7" s="180"/>
      <c r="J7" s="18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81" t="s">
        <v>162</v>
      </c>
      <c r="AR7" s="181"/>
      <c r="AS7" s="180"/>
      <c r="AT7" s="180"/>
      <c r="AU7" s="182"/>
      <c r="AZ7" s="47" t="s">
        <v>166</v>
      </c>
      <c r="BA7" s="103" t="str">
        <f ca="1">TEXT(BA6, "[hh]:mm") &amp; " - " &amp; TEXT(BA5, "[hh]:mm")</f>
        <v>05:15 - 06:15</v>
      </c>
    </row>
    <row r="8" spans="5:53" s="47" customFormat="1" ht="15.75" thickBot="1" x14ac:dyDescent="0.3">
      <c r="AV8" s="89"/>
      <c r="AZ8" s="47" t="s">
        <v>170</v>
      </c>
      <c r="BA8" s="47">
        <v>33</v>
      </c>
    </row>
    <row r="9" spans="5:53" s="47" customFormat="1" x14ac:dyDescent="0.25">
      <c r="E9" s="155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7"/>
      <c r="AV9" s="89"/>
      <c r="AZ9" s="47" t="s">
        <v>171</v>
      </c>
      <c r="BA9" s="47">
        <v>56</v>
      </c>
    </row>
    <row r="10" spans="5:53" s="47" customFormat="1" x14ac:dyDescent="0.25"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60"/>
      <c r="AV10" s="89"/>
    </row>
    <row r="11" spans="5:53" s="47" customFormat="1" x14ac:dyDescent="0.25">
      <c r="E11" s="158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60"/>
      <c r="AV11" s="89"/>
    </row>
    <row r="12" spans="5:53" s="47" customFormat="1" x14ac:dyDescent="0.25">
      <c r="E12" s="158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60"/>
      <c r="AV12" s="89"/>
    </row>
    <row r="13" spans="5:53" s="47" customFormat="1" x14ac:dyDescent="0.25">
      <c r="E13" s="158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60"/>
      <c r="AV13" s="89"/>
    </row>
    <row r="14" spans="5:53" s="47" customFormat="1" x14ac:dyDescent="0.25">
      <c r="E14" s="158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60"/>
      <c r="AV14" s="89"/>
      <c r="AX14" s="129"/>
    </row>
    <row r="15" spans="5:53" s="47" customFormat="1" x14ac:dyDescent="0.25">
      <c r="E15" s="158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60"/>
      <c r="AV15" s="89"/>
    </row>
    <row r="16" spans="5:53" s="47" customFormat="1" x14ac:dyDescent="0.25">
      <c r="E16" s="158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60"/>
      <c r="AV16" s="89"/>
    </row>
    <row r="17" spans="5:48" s="47" customFormat="1" x14ac:dyDescent="0.25">
      <c r="E17" s="158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60"/>
      <c r="AV17" s="89"/>
    </row>
    <row r="18" spans="5:48" s="47" customFormat="1" x14ac:dyDescent="0.25">
      <c r="E18" s="158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60"/>
      <c r="AV18" s="89"/>
    </row>
    <row r="19" spans="5:48" s="47" customFormat="1" x14ac:dyDescent="0.25">
      <c r="E19" s="158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60"/>
      <c r="AV19" s="89"/>
    </row>
    <row r="20" spans="5:48" s="47" customFormat="1" x14ac:dyDescent="0.25">
      <c r="E20" s="158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60"/>
      <c r="AV20" s="89"/>
    </row>
    <row r="21" spans="5:48" s="47" customFormat="1" x14ac:dyDescent="0.25">
      <c r="E21" s="158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60"/>
      <c r="AV21" s="89"/>
    </row>
    <row r="22" spans="5:48" s="47" customFormat="1" x14ac:dyDescent="0.25">
      <c r="E22" s="158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60"/>
      <c r="AV22" s="89"/>
    </row>
    <row r="23" spans="5:48" s="47" customFormat="1" x14ac:dyDescent="0.25">
      <c r="E23" s="158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60"/>
      <c r="AV23" s="89"/>
    </row>
    <row r="24" spans="5:48" s="47" customFormat="1" x14ac:dyDescent="0.25"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60"/>
      <c r="AV24" s="89"/>
    </row>
    <row r="25" spans="5:48" s="47" customFormat="1" x14ac:dyDescent="0.25"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60"/>
      <c r="AV25" s="89"/>
    </row>
    <row r="26" spans="5:48" s="47" customFormat="1" x14ac:dyDescent="0.25"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60"/>
      <c r="AV26" s="89"/>
    </row>
    <row r="27" spans="5:48" s="47" customFormat="1" x14ac:dyDescent="0.25"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60"/>
      <c r="AV27" s="89"/>
    </row>
    <row r="28" spans="5:48" s="47" customFormat="1" x14ac:dyDescent="0.25"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60"/>
      <c r="AV28" s="89"/>
    </row>
    <row r="29" spans="5:48" s="47" customFormat="1" x14ac:dyDescent="0.25"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60"/>
      <c r="AV29" s="89"/>
    </row>
    <row r="30" spans="5:48" s="47" customFormat="1" x14ac:dyDescent="0.25"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60"/>
      <c r="AV30" s="89"/>
    </row>
    <row r="31" spans="5:48" s="47" customFormat="1" x14ac:dyDescent="0.25"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60"/>
      <c r="AV31" s="89"/>
    </row>
    <row r="32" spans="5:48" s="47" customFormat="1" x14ac:dyDescent="0.25">
      <c r="E32" s="158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60"/>
      <c r="AV32" s="89"/>
    </row>
    <row r="33" spans="5:48" s="47" customFormat="1" x14ac:dyDescent="0.25">
      <c r="E33" s="158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60"/>
      <c r="AV33" s="89"/>
    </row>
    <row r="34" spans="5:48" s="47" customFormat="1" x14ac:dyDescent="0.25">
      <c r="E34" s="158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60"/>
      <c r="AV34" s="89"/>
    </row>
    <row r="35" spans="5:48" s="47" customFormat="1" x14ac:dyDescent="0.25">
      <c r="E35" s="158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60"/>
      <c r="AV35" s="89"/>
    </row>
    <row r="36" spans="5:48" s="47" customFormat="1" x14ac:dyDescent="0.25">
      <c r="E36" s="158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60"/>
      <c r="AV36" s="89"/>
    </row>
    <row r="37" spans="5:48" s="47" customFormat="1" x14ac:dyDescent="0.25">
      <c r="E37" s="158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60"/>
      <c r="AV37" s="89"/>
    </row>
    <row r="38" spans="5:48" s="47" customFormat="1" x14ac:dyDescent="0.25">
      <c r="E38" s="158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60"/>
      <c r="AV38" s="89"/>
    </row>
    <row r="39" spans="5:48" s="47" customFormat="1" x14ac:dyDescent="0.25">
      <c r="E39" s="158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60"/>
      <c r="AV39" s="89"/>
    </row>
    <row r="40" spans="5:48" s="47" customFormat="1" x14ac:dyDescent="0.25">
      <c r="E40" s="158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60"/>
      <c r="AV40" s="89"/>
    </row>
    <row r="41" spans="5:48" s="47" customFormat="1" x14ac:dyDescent="0.25">
      <c r="E41" s="158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60"/>
      <c r="AV41" s="89"/>
    </row>
    <row r="42" spans="5:48" s="47" customFormat="1" x14ac:dyDescent="0.25">
      <c r="E42" s="158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60"/>
      <c r="AV42" s="89"/>
    </row>
    <row r="43" spans="5:48" s="47" customFormat="1" x14ac:dyDescent="0.25">
      <c r="E43" s="158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60"/>
      <c r="AV43" s="89"/>
    </row>
    <row r="44" spans="5:48" s="47" customFormat="1" x14ac:dyDescent="0.25">
      <c r="E44" s="158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60"/>
      <c r="AV44" s="89"/>
    </row>
    <row r="45" spans="5:48" s="47" customFormat="1" x14ac:dyDescent="0.25">
      <c r="E45" s="158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60"/>
      <c r="AV45" s="89"/>
    </row>
    <row r="46" spans="5:48" s="47" customFormat="1" x14ac:dyDescent="0.25">
      <c r="E46" s="158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60"/>
      <c r="AV46" s="89"/>
    </row>
    <row r="47" spans="5:48" s="47" customFormat="1" x14ac:dyDescent="0.25">
      <c r="E47" s="158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60"/>
      <c r="AV47" s="89"/>
    </row>
    <row r="48" spans="5:48" s="47" customFormat="1" x14ac:dyDescent="0.25">
      <c r="E48" s="158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60"/>
      <c r="AV48" s="89"/>
    </row>
    <row r="49" spans="5:48" s="47" customFormat="1" x14ac:dyDescent="0.25">
      <c r="E49" s="158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60"/>
      <c r="AV49" s="89"/>
    </row>
    <row r="50" spans="5:48" s="47" customFormat="1" x14ac:dyDescent="0.25">
      <c r="E50" s="158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60"/>
      <c r="AV50" s="89"/>
    </row>
    <row r="51" spans="5:48" s="47" customFormat="1" x14ac:dyDescent="0.25">
      <c r="E51" s="158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60"/>
      <c r="AV51" s="89"/>
    </row>
    <row r="52" spans="5:48" s="47" customFormat="1" x14ac:dyDescent="0.25">
      <c r="E52" s="158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60"/>
      <c r="AV52" s="89"/>
    </row>
    <row r="53" spans="5:48" s="47" customFormat="1" x14ac:dyDescent="0.25">
      <c r="E53" s="158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60"/>
      <c r="AV53" s="89"/>
    </row>
    <row r="54" spans="5:48" s="47" customFormat="1" x14ac:dyDescent="0.25">
      <c r="E54" s="158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60"/>
      <c r="AV54" s="89"/>
    </row>
    <row r="55" spans="5:48" s="47" customFormat="1" x14ac:dyDescent="0.25">
      <c r="E55" s="158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60"/>
      <c r="AV55" s="89"/>
    </row>
    <row r="56" spans="5:48" s="47" customFormat="1" x14ac:dyDescent="0.25">
      <c r="E56" s="158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60"/>
      <c r="AV56" s="89"/>
    </row>
    <row r="57" spans="5:48" s="47" customFormat="1" x14ac:dyDescent="0.25">
      <c r="E57" s="158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60"/>
      <c r="AV57" s="89"/>
    </row>
    <row r="58" spans="5:48" s="47" customFormat="1" x14ac:dyDescent="0.25">
      <c r="E58" s="158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60"/>
    </row>
    <row r="59" spans="5:48" s="47" customFormat="1" x14ac:dyDescent="0.25">
      <c r="E59" s="158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60"/>
    </row>
    <row r="60" spans="5:48" s="47" customFormat="1" x14ac:dyDescent="0.25">
      <c r="E60" s="158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60"/>
    </row>
    <row r="61" spans="5:48" s="47" customFormat="1" x14ac:dyDescent="0.25">
      <c r="E61" s="158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60"/>
    </row>
    <row r="62" spans="5:48" s="47" customFormat="1" x14ac:dyDescent="0.25">
      <c r="E62" s="158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60"/>
    </row>
    <row r="63" spans="5:48" s="47" customFormat="1" x14ac:dyDescent="0.25">
      <c r="E63" s="158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60"/>
    </row>
    <row r="64" spans="5:48" s="47" customFormat="1" x14ac:dyDescent="0.25">
      <c r="E64" s="158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60"/>
    </row>
    <row r="65" spans="4:47" s="47" customFormat="1" x14ac:dyDescent="0.25">
      <c r="E65" s="158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60"/>
    </row>
    <row r="66" spans="4:47" x14ac:dyDescent="0.25">
      <c r="E66" s="158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60"/>
    </row>
    <row r="67" spans="4:47" x14ac:dyDescent="0.25">
      <c r="E67" s="158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60"/>
    </row>
    <row r="68" spans="4:47" ht="15.75" thickBot="1" x14ac:dyDescent="0.3">
      <c r="E68" s="161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3"/>
    </row>
    <row r="69" spans="4:47" s="47" customFormat="1" ht="15.75" thickBot="1" x14ac:dyDescent="0.3"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</row>
    <row r="70" spans="4:47" s="47" customFormat="1" ht="30" customHeight="1" thickBot="1" x14ac:dyDescent="0.3">
      <c r="E70" s="164" t="s">
        <v>169</v>
      </c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6"/>
    </row>
    <row r="71" spans="4:47" ht="15.75" thickBot="1" x14ac:dyDescent="0.3"/>
    <row r="72" spans="4:47" hidden="1" x14ac:dyDescent="0.25">
      <c r="F72" s="17">
        <v>1</v>
      </c>
      <c r="G72" s="17">
        <v>2</v>
      </c>
      <c r="H72" s="17">
        <v>3</v>
      </c>
      <c r="I72" s="17">
        <v>4</v>
      </c>
      <c r="J72" s="17">
        <v>5</v>
      </c>
      <c r="K72" s="17">
        <v>6</v>
      </c>
      <c r="L72" s="17">
        <v>7</v>
      </c>
      <c r="M72" s="17">
        <v>8</v>
      </c>
      <c r="N72" s="17">
        <v>9</v>
      </c>
      <c r="O72" s="17">
        <v>10</v>
      </c>
      <c r="P72" s="17">
        <v>1</v>
      </c>
      <c r="Q72" s="17">
        <v>2</v>
      </c>
      <c r="R72" s="17">
        <v>3</v>
      </c>
      <c r="S72" s="17">
        <v>4</v>
      </c>
      <c r="T72" s="17">
        <v>5</v>
      </c>
      <c r="U72" s="17">
        <v>6</v>
      </c>
      <c r="V72" s="17">
        <v>7</v>
      </c>
      <c r="W72" s="17">
        <v>8</v>
      </c>
      <c r="X72" s="17">
        <v>9</v>
      </c>
      <c r="Y72" s="17">
        <v>10</v>
      </c>
      <c r="Z72" s="17">
        <v>1</v>
      </c>
      <c r="AA72" s="17">
        <v>2</v>
      </c>
      <c r="AB72" s="17">
        <v>3</v>
      </c>
      <c r="AC72" s="17">
        <v>4</v>
      </c>
      <c r="AD72" s="17">
        <v>5</v>
      </c>
      <c r="AE72" s="17">
        <v>6</v>
      </c>
      <c r="AF72" s="17">
        <v>7</v>
      </c>
      <c r="AG72" s="17">
        <v>8</v>
      </c>
      <c r="AH72" s="17">
        <v>9</v>
      </c>
      <c r="AI72" s="17">
        <v>10</v>
      </c>
      <c r="AJ72" s="17">
        <v>1</v>
      </c>
      <c r="AK72" s="17">
        <v>2</v>
      </c>
      <c r="AL72" s="17">
        <v>3</v>
      </c>
      <c r="AM72" s="17">
        <v>4</v>
      </c>
      <c r="AN72" s="17">
        <v>5</v>
      </c>
      <c r="AO72" s="17">
        <v>6</v>
      </c>
      <c r="AP72" s="17">
        <v>7</v>
      </c>
      <c r="AQ72" s="17">
        <v>8</v>
      </c>
      <c r="AR72" s="17">
        <v>9</v>
      </c>
      <c r="AS72" s="17">
        <v>10</v>
      </c>
      <c r="AT72" s="88"/>
      <c r="AU72" s="88"/>
    </row>
    <row r="73" spans="4:47" ht="21.75" customHeight="1" x14ac:dyDescent="0.25">
      <c r="E73" s="167" t="s">
        <v>152</v>
      </c>
      <c r="F73" s="169">
        <f>Inicio!$H$12</f>
        <v>0</v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>
        <f>Inicio!$H$12</f>
        <v>0</v>
      </c>
      <c r="Q73" s="169"/>
      <c r="R73" s="169"/>
      <c r="S73" s="169"/>
      <c r="T73" s="169"/>
      <c r="U73" s="169"/>
      <c r="V73" s="169"/>
      <c r="W73" s="169"/>
      <c r="X73" s="169"/>
      <c r="Y73" s="169"/>
      <c r="Z73" s="169">
        <f>Inicio!$H$12</f>
        <v>0</v>
      </c>
      <c r="AA73" s="169"/>
      <c r="AB73" s="169"/>
      <c r="AC73" s="169"/>
      <c r="AD73" s="169"/>
      <c r="AE73" s="169"/>
      <c r="AF73" s="169"/>
      <c r="AG73" s="169"/>
      <c r="AH73" s="169"/>
      <c r="AI73" s="169"/>
      <c r="AJ73" s="169">
        <f>Inicio!$H$12</f>
        <v>0</v>
      </c>
      <c r="AK73" s="169"/>
      <c r="AL73" s="169"/>
      <c r="AM73" s="169"/>
      <c r="AN73" s="169"/>
      <c r="AO73" s="169"/>
      <c r="AP73" s="169"/>
      <c r="AQ73" s="169"/>
      <c r="AR73" s="169"/>
      <c r="AS73" s="170"/>
      <c r="AT73" s="171" t="s">
        <v>153</v>
      </c>
      <c r="AU73" s="174" t="s">
        <v>168</v>
      </c>
    </row>
    <row r="74" spans="4:47" ht="15" customHeight="1" x14ac:dyDescent="0.25">
      <c r="E74" s="168"/>
      <c r="F74" s="153" t="s">
        <v>18</v>
      </c>
      <c r="G74" s="153"/>
      <c r="H74" s="153"/>
      <c r="I74" s="153"/>
      <c r="J74" s="153"/>
      <c r="K74" s="153"/>
      <c r="L74" s="153"/>
      <c r="M74" s="153"/>
      <c r="N74" s="153"/>
      <c r="O74" s="153"/>
      <c r="P74" s="152" t="s">
        <v>19</v>
      </c>
      <c r="Q74" s="152"/>
      <c r="R74" s="152"/>
      <c r="S74" s="152"/>
      <c r="T74" s="152"/>
      <c r="U74" s="152"/>
      <c r="V74" s="152"/>
      <c r="W74" s="152"/>
      <c r="X74" s="152"/>
      <c r="Y74" s="152"/>
      <c r="Z74" s="153" t="s">
        <v>20</v>
      </c>
      <c r="AA74" s="153"/>
      <c r="AB74" s="153"/>
      <c r="AC74" s="153"/>
      <c r="AD74" s="153"/>
      <c r="AE74" s="153"/>
      <c r="AF74" s="153"/>
      <c r="AG74" s="153"/>
      <c r="AH74" s="153"/>
      <c r="AI74" s="153"/>
      <c r="AJ74" s="152" t="s">
        <v>21</v>
      </c>
      <c r="AK74" s="152"/>
      <c r="AL74" s="152"/>
      <c r="AM74" s="152"/>
      <c r="AN74" s="152"/>
      <c r="AO74" s="152"/>
      <c r="AP74" s="152"/>
      <c r="AQ74" s="152"/>
      <c r="AR74" s="152"/>
      <c r="AS74" s="154"/>
      <c r="AT74" s="172"/>
      <c r="AU74" s="175"/>
    </row>
    <row r="75" spans="4:47" x14ac:dyDescent="0.25">
      <c r="D75">
        <v>0</v>
      </c>
      <c r="E75" s="168"/>
      <c r="F75" s="102">
        <f>Inicio!$G$12</f>
        <v>0</v>
      </c>
      <c r="G75" s="102">
        <f>Inicio!$G$13</f>
        <v>0</v>
      </c>
      <c r="H75" s="102">
        <f>Inicio!$G$14</f>
        <v>0</v>
      </c>
      <c r="I75" s="102">
        <f>Inicio!$G$15</f>
        <v>0</v>
      </c>
      <c r="J75" s="102">
        <f>Inicio!$G$16</f>
        <v>0</v>
      </c>
      <c r="K75" s="102">
        <f>Inicio!$G$17</f>
        <v>0</v>
      </c>
      <c r="L75" s="102">
        <f>Inicio!$G$18</f>
        <v>0</v>
      </c>
      <c r="M75" s="102">
        <f>Inicio!$G$19</f>
        <v>0</v>
      </c>
      <c r="N75" s="102">
        <f>Inicio!$G$20</f>
        <v>0</v>
      </c>
      <c r="O75" s="102">
        <f>Inicio!$G$21</f>
        <v>0</v>
      </c>
      <c r="P75" s="91">
        <f>Inicio!$M$12</f>
        <v>0</v>
      </c>
      <c r="Q75" s="91">
        <f>Inicio!$M$13</f>
        <v>0</v>
      </c>
      <c r="R75" s="91">
        <f>Inicio!$M$14</f>
        <v>0</v>
      </c>
      <c r="S75" s="91">
        <f>Inicio!$M$15</f>
        <v>0</v>
      </c>
      <c r="T75" s="91">
        <f>Inicio!$M$16</f>
        <v>0</v>
      </c>
      <c r="U75" s="91">
        <f>Inicio!$M$17</f>
        <v>0</v>
      </c>
      <c r="V75" s="91">
        <f>Inicio!$M$18</f>
        <v>0</v>
      </c>
      <c r="W75" s="91">
        <f>Inicio!$M$19</f>
        <v>0</v>
      </c>
      <c r="X75" s="91">
        <f>Inicio!$M$20</f>
        <v>0</v>
      </c>
      <c r="Y75" s="91">
        <f>Inicio!$M$21</f>
        <v>0</v>
      </c>
      <c r="Z75" s="102">
        <f>Inicio!$G$24</f>
        <v>0</v>
      </c>
      <c r="AA75" s="102">
        <f>Inicio!$G$25</f>
        <v>0</v>
      </c>
      <c r="AB75" s="102">
        <f>Inicio!$G$26</f>
        <v>0</v>
      </c>
      <c r="AC75" s="102">
        <f>Inicio!$G$27</f>
        <v>0</v>
      </c>
      <c r="AD75" s="102">
        <f>Inicio!$G$28</f>
        <v>0</v>
      </c>
      <c r="AE75" s="102">
        <f>Inicio!$G$29</f>
        <v>0</v>
      </c>
      <c r="AF75" s="102">
        <f>Inicio!$G$30</f>
        <v>0</v>
      </c>
      <c r="AG75" s="102">
        <f>Inicio!$G$31</f>
        <v>0</v>
      </c>
      <c r="AH75" s="102">
        <f>Inicio!$G$32</f>
        <v>0</v>
      </c>
      <c r="AI75" s="102">
        <f>Inicio!$G$33</f>
        <v>0</v>
      </c>
      <c r="AJ75" s="91">
        <f>Inicio!$M$24</f>
        <v>0</v>
      </c>
      <c r="AK75" s="91">
        <f>Inicio!$M$25</f>
        <v>0</v>
      </c>
      <c r="AL75" s="91">
        <f>Inicio!$M$26</f>
        <v>0</v>
      </c>
      <c r="AM75" s="91">
        <f>Inicio!$M$27</f>
        <v>0</v>
      </c>
      <c r="AN75" s="91">
        <f>Inicio!$M$28</f>
        <v>0</v>
      </c>
      <c r="AO75" s="91">
        <f>Inicio!$M$29</f>
        <v>0</v>
      </c>
      <c r="AP75" s="91">
        <f>Inicio!$M$30</f>
        <v>0</v>
      </c>
      <c r="AQ75" s="91">
        <f>Inicio!$M$31</f>
        <v>0</v>
      </c>
      <c r="AR75" s="91">
        <f>Inicio!$M$32</f>
        <v>0</v>
      </c>
      <c r="AS75" s="109">
        <f>Inicio!$M$33</f>
        <v>0</v>
      </c>
      <c r="AT75" s="173"/>
      <c r="AU75" s="176"/>
    </row>
    <row r="76" spans="4:47" x14ac:dyDescent="0.25">
      <c r="D76">
        <v>1</v>
      </c>
      <c r="E76" s="110" t="str">
        <f>Inicio!V4</f>
        <v>Auto</v>
      </c>
      <c r="F76" s="99" t="e" cm="1" vm="1">
        <f t="array" aca="1" ref="F76" ca="1">_xlfn.LET(
_xlpm.rango, INDIRECT("N!$C$" &amp; $BA$8 &amp; ":$DR$" &amp; $BA$9),
_xlpm.col, F$72+$D75*10,
INDEX(_xlpm.rango,$BA$4-3,_xlpm.col) +
INDEX(_xlpm.rango,$BA$4-2,_xlpm.col) +
INDEX(_xlpm.rango,$BA$4-1,_xlpm.col) +
INDEX(_xlpm.rango,$BA$4, _xlpm.col)
)</f>
        <v>#VALUE!</v>
      </c>
      <c r="G76" s="93" t="e" cm="1" vm="1">
        <f t="array" aca="1" ref="G76" ca="1">_xlfn.LET(
_xlpm.rango, INDIRECT("N!$C$" &amp; $BA$8 &amp; ":$DR$" &amp; $BA$9),
_xlpm.col, G$72+$D75*10,
INDEX(_xlpm.rango,$BA$4-3,_xlpm.col) +
INDEX(_xlpm.rango,$BA$4-2,_xlpm.col) +
INDEX(_xlpm.rango,$BA$4-1,_xlpm.col) +
INDEX(_xlpm.rango,$BA$4, _xlpm.col)
)</f>
        <v>#VALUE!</v>
      </c>
      <c r="H76" s="93" t="e" cm="1" vm="1">
        <f t="array" aca="1" ref="H76" ca="1">_xlfn.LET(
_xlpm.rango, INDIRECT("N!$C$" &amp; $BA$8 &amp; ":$DR$" &amp; $BA$9),
_xlpm.col, H$72+$D75*10,
INDEX(_xlpm.rango,$BA$4-3,_xlpm.col) +
INDEX(_xlpm.rango,$BA$4-2,_xlpm.col) +
INDEX(_xlpm.rango,$BA$4-1,_xlpm.col) +
INDEX(_xlpm.rango,$BA$4, _xlpm.col)
)</f>
        <v>#VALUE!</v>
      </c>
      <c r="I76" s="93" t="e" cm="1" vm="1">
        <f t="array" aca="1" ref="I76" ca="1">_xlfn.LET(
_xlpm.rango, INDIRECT("N!$C$" &amp; $BA$8 &amp; ":$DR$" &amp; $BA$9),
_xlpm.col, I$72+$D75*10,
INDEX(_xlpm.rango,$BA$4-3,_xlpm.col) +
INDEX(_xlpm.rango,$BA$4-2,_xlpm.col) +
INDEX(_xlpm.rango,$BA$4-1,_xlpm.col) +
INDEX(_xlpm.rango,$BA$4, _xlpm.col)
)</f>
        <v>#VALUE!</v>
      </c>
      <c r="J76" s="93" t="e" cm="1" vm="1">
        <f t="array" aca="1" ref="J76" ca="1">_xlfn.LET(
_xlpm.rango, INDIRECT("N!$C$" &amp; $BA$8 &amp; ":$DR$" &amp; $BA$9),
_xlpm.col, J$72+$D75*10,
INDEX(_xlpm.rango,$BA$4-3,_xlpm.col) +
INDEX(_xlpm.rango,$BA$4-2,_xlpm.col) +
INDEX(_xlpm.rango,$BA$4-1,_xlpm.col) +
INDEX(_xlpm.rango,$BA$4, _xlpm.col)
)</f>
        <v>#VALUE!</v>
      </c>
      <c r="K76" s="93" t="e" cm="1" vm="1">
        <f t="array" aca="1" ref="K76" ca="1">_xlfn.LET(
_xlpm.rango, INDIRECT("N!$C$" &amp; $BA$8 &amp; ":$DR$" &amp; $BA$9),
_xlpm.col, K$72+$D75*10,
INDEX(_xlpm.rango,$BA$4-3,_xlpm.col) +
INDEX(_xlpm.rango,$BA$4-2,_xlpm.col) +
INDEX(_xlpm.rango,$BA$4-1,_xlpm.col) +
INDEX(_xlpm.rango,$BA$4, _xlpm.col)
)</f>
        <v>#VALUE!</v>
      </c>
      <c r="L76" s="93" t="e" cm="1" vm="1">
        <f t="array" aca="1" ref="L76" ca="1">_xlfn.LET(
_xlpm.rango, INDIRECT("N!$C$" &amp; $BA$8 &amp; ":$DR$" &amp; $BA$9),
_xlpm.col, L$72+$D75*10,
INDEX(_xlpm.rango,$BA$4-3,_xlpm.col) +
INDEX(_xlpm.rango,$BA$4-2,_xlpm.col) +
INDEX(_xlpm.rango,$BA$4-1,_xlpm.col) +
INDEX(_xlpm.rango,$BA$4, _xlpm.col)
)</f>
        <v>#VALUE!</v>
      </c>
      <c r="M76" s="93" t="e" cm="1" vm="1">
        <f t="array" aca="1" ref="M76" ca="1">_xlfn.LET(
_xlpm.rango, INDIRECT("N!$C$" &amp; $BA$8 &amp; ":$DR$" &amp; $BA$9),
_xlpm.col, M$72+$D75*10,
INDEX(_xlpm.rango,$BA$4-3,_xlpm.col) +
INDEX(_xlpm.rango,$BA$4-2,_xlpm.col) +
INDEX(_xlpm.rango,$BA$4-1,_xlpm.col) +
INDEX(_xlpm.rango,$BA$4, _xlpm.col)
)</f>
        <v>#VALUE!</v>
      </c>
      <c r="N76" s="93" t="e" cm="1" vm="1">
        <f t="array" aca="1" ref="N76" ca="1">_xlfn.LET(
_xlpm.rango, INDIRECT("N!$C$" &amp; $BA$8 &amp; ":$DR$" &amp; $BA$9),
_xlpm.col, N$72+$D75*10,
INDEX(_xlpm.rango,$BA$4-3,_xlpm.col) +
INDEX(_xlpm.rango,$BA$4-2,_xlpm.col) +
INDEX(_xlpm.rango,$BA$4-1,_xlpm.col) +
INDEX(_xlpm.rango,$BA$4, _xlpm.col)
)</f>
        <v>#VALUE!</v>
      </c>
      <c r="O76" s="94" t="e" cm="1" vm="1">
        <f t="array" aca="1" ref="O76" ca="1">_xlfn.LET(
_xlpm.rango, INDIRECT("N!$C$" &amp; $BA$8 &amp; ":$DR$" &amp; $BA$9),
_xlpm.col, O$72+$D75*10,
INDEX(_xlpm.rango,$BA$4-3,_xlpm.col) +
INDEX(_xlpm.rango,$BA$4-2,_xlpm.col) +
INDEX(_xlpm.rango,$BA$4-1,_xlpm.col) +
INDEX(_xlpm.rango,$BA$4, _xlpm.col)
)</f>
        <v>#VALUE!</v>
      </c>
      <c r="P76" s="93" t="e" cm="1" vm="1">
        <f t="array" aca="1" ref="P76" ca="1">_xlfn.LET(
_xlpm.rango, INDIRECT("S!$C$" &amp; $BA$8 &amp; ":$DR$" &amp; $BA$9),
_xlpm.col, P$72+$D75*10,
INDEX(_xlpm.rango,$BA$4-3,_xlpm.col) +
INDEX(_xlpm.rango,$BA$4-2,_xlpm.col) +
INDEX(_xlpm.rango,$BA$4-1,_xlpm.col) +
INDEX(_xlpm.rango,$BA$4, _xlpm.col)
)</f>
        <v>#VALUE!</v>
      </c>
      <c r="Q76" s="93" t="e" cm="1" vm="1">
        <f t="array" aca="1" ref="Q76" ca="1">_xlfn.LET(
_xlpm.rango, INDIRECT("S!$C$" &amp; $BA$8 &amp; ":$DR$" &amp; $BA$9),
_xlpm.col, Q$72+$D75*10,
INDEX(_xlpm.rango,$BA$4-3,_xlpm.col) +
INDEX(_xlpm.rango,$BA$4-2,_xlpm.col) +
INDEX(_xlpm.rango,$BA$4-1,_xlpm.col) +
INDEX(_xlpm.rango,$BA$4, _xlpm.col)
)</f>
        <v>#VALUE!</v>
      </c>
      <c r="R76" s="93" t="e" cm="1" vm="1">
        <f t="array" aca="1" ref="R76" ca="1">_xlfn.LET(
_xlpm.rango, INDIRECT("S!$C$" &amp; $BA$8 &amp; ":$DR$" &amp; $BA$9),
_xlpm.col, R$72+$D75*10,
INDEX(_xlpm.rango,$BA$4-3,_xlpm.col) +
INDEX(_xlpm.rango,$BA$4-2,_xlpm.col) +
INDEX(_xlpm.rango,$BA$4-1,_xlpm.col) +
INDEX(_xlpm.rango,$BA$4, _xlpm.col)
)</f>
        <v>#VALUE!</v>
      </c>
      <c r="S76" s="93" t="e" cm="1" vm="1">
        <f t="array" aca="1" ref="S76" ca="1">_xlfn.LET(
_xlpm.rango, INDIRECT("S!$C$" &amp; $BA$8 &amp; ":$DR$" &amp; $BA$9),
_xlpm.col, S$72+$D75*10,
INDEX(_xlpm.rango,$BA$4-3,_xlpm.col) +
INDEX(_xlpm.rango,$BA$4-2,_xlpm.col) +
INDEX(_xlpm.rango,$BA$4-1,_xlpm.col) +
INDEX(_xlpm.rango,$BA$4, _xlpm.col)
)</f>
        <v>#VALUE!</v>
      </c>
      <c r="T76" s="93" t="e" cm="1" vm="1">
        <f t="array" aca="1" ref="T76" ca="1">_xlfn.LET(
_xlpm.rango, INDIRECT("S!$C$" &amp; $BA$8 &amp; ":$DR$" &amp; $BA$9),
_xlpm.col, T$72+$D75*10,
INDEX(_xlpm.rango,$BA$4-3,_xlpm.col) +
INDEX(_xlpm.rango,$BA$4-2,_xlpm.col) +
INDEX(_xlpm.rango,$BA$4-1,_xlpm.col) +
INDEX(_xlpm.rango,$BA$4, _xlpm.col)
)</f>
        <v>#VALUE!</v>
      </c>
      <c r="U76" s="93" t="e" cm="1" vm="1">
        <f t="array" aca="1" ref="U76" ca="1">_xlfn.LET(
_xlpm.rango, INDIRECT("S!$C$" &amp; $BA$8 &amp; ":$DR$" &amp; $BA$9),
_xlpm.col, U$72+$D75*10,
INDEX(_xlpm.rango,$BA$4-3,_xlpm.col) +
INDEX(_xlpm.rango,$BA$4-2,_xlpm.col) +
INDEX(_xlpm.rango,$BA$4-1,_xlpm.col) +
INDEX(_xlpm.rango,$BA$4, _xlpm.col)
)</f>
        <v>#VALUE!</v>
      </c>
      <c r="V76" s="93" t="e" cm="1" vm="1">
        <f t="array" aca="1" ref="V76" ca="1">_xlfn.LET(
_xlpm.rango, INDIRECT("S!$C$" &amp; $BA$8 &amp; ":$DR$" &amp; $BA$9),
_xlpm.col, V$72+$D75*10,
INDEX(_xlpm.rango,$BA$4-3,_xlpm.col) +
INDEX(_xlpm.rango,$BA$4-2,_xlpm.col) +
INDEX(_xlpm.rango,$BA$4-1,_xlpm.col) +
INDEX(_xlpm.rango,$BA$4, _xlpm.col)
)</f>
        <v>#VALUE!</v>
      </c>
      <c r="W76" s="93" t="e" cm="1" vm="1">
        <f t="array" aca="1" ref="W76" ca="1">_xlfn.LET(
_xlpm.rango, INDIRECT("S!$C$" &amp; $BA$8 &amp; ":$DR$" &amp; $BA$9),
_xlpm.col, W$72+$D75*10,
INDEX(_xlpm.rango,$BA$4-3,_xlpm.col) +
INDEX(_xlpm.rango,$BA$4-2,_xlpm.col) +
INDEX(_xlpm.rango,$BA$4-1,_xlpm.col) +
INDEX(_xlpm.rango,$BA$4, _xlpm.col)
)</f>
        <v>#VALUE!</v>
      </c>
      <c r="X76" s="93" t="e" cm="1" vm="1">
        <f t="array" aca="1" ref="X76" ca="1">_xlfn.LET(
_xlpm.rango, INDIRECT("S!$C$" &amp; $BA$8 &amp; ":$DR$" &amp; $BA$9),
_xlpm.col, X$72+$D75*10,
INDEX(_xlpm.rango,$BA$4-3,_xlpm.col) +
INDEX(_xlpm.rango,$BA$4-2,_xlpm.col) +
INDEX(_xlpm.rango,$BA$4-1,_xlpm.col) +
INDEX(_xlpm.rango,$BA$4, _xlpm.col)
)</f>
        <v>#VALUE!</v>
      </c>
      <c r="Y76" s="93" t="e" cm="1" vm="1">
        <f t="array" aca="1" ref="Y76" ca="1">_xlfn.LET(
_xlpm.rango, INDIRECT("S!$C$" &amp; $BA$8 &amp; ":$DR$" &amp; $BA$9),
_xlpm.col, Y$72+$D75*10,
INDEX(_xlpm.rango,$BA$4-3,_xlpm.col) +
INDEX(_xlpm.rango,$BA$4-2,_xlpm.col) +
INDEX(_xlpm.rango,$BA$4-1,_xlpm.col) +
INDEX(_xlpm.rango,$BA$4, _xlpm.col)
)</f>
        <v>#VALUE!</v>
      </c>
      <c r="Z76" s="99" t="e" cm="1" vm="1">
        <f t="array" aca="1" ref="Z76" ca="1">_xlfn.LET(
_xlpm.rango, INDIRECT("E!$C$" &amp; $BA$8 &amp; ":$DR$" &amp; $BA$9),
_xlpm.col, Z$72+$D75*10,
INDEX(_xlpm.rango,$BA$4-3,_xlpm.col) +
INDEX(_xlpm.rango,$BA$4-2,_xlpm.col) +
INDEX(_xlpm.rango,$BA$4-1,_xlpm.col) +
INDEX(_xlpm.rango,$BA$4, _xlpm.col)
)</f>
        <v>#VALUE!</v>
      </c>
      <c r="AA76" s="93" t="e" cm="1" vm="1">
        <f t="array" aca="1" ref="AA76" ca="1">_xlfn.LET(
_xlpm.rango, INDIRECT("E!$C$" &amp; $BA$8 &amp; ":$DR$" &amp; $BA$9),
_xlpm.col, AA$72+$D75*10,
INDEX(_xlpm.rango,$BA$4-3,_xlpm.col) +
INDEX(_xlpm.rango,$BA$4-2,_xlpm.col) +
INDEX(_xlpm.rango,$BA$4-1,_xlpm.col) +
INDEX(_xlpm.rango,$BA$4, _xlpm.col)
)</f>
        <v>#VALUE!</v>
      </c>
      <c r="AB76" s="93" t="e" cm="1" vm="1">
        <f t="array" aca="1" ref="AB76" ca="1">_xlfn.LET(
_xlpm.rango, INDIRECT("E!$C$" &amp; $BA$8 &amp; ":$DR$" &amp; $BA$9),
_xlpm.col, AB$72+$D75*10,
INDEX(_xlpm.rango,$BA$4-3,_xlpm.col) +
INDEX(_xlpm.rango,$BA$4-2,_xlpm.col) +
INDEX(_xlpm.rango,$BA$4-1,_xlpm.col) +
INDEX(_xlpm.rango,$BA$4, _xlpm.col)
)</f>
        <v>#VALUE!</v>
      </c>
      <c r="AC76" s="93" t="e" cm="1" vm="1">
        <f t="array" aca="1" ref="AC76" ca="1">_xlfn.LET(
_xlpm.rango, INDIRECT("E!$C$" &amp; $BA$8 &amp; ":$DR$" &amp; $BA$9),
_xlpm.col, AC$72+$D75*10,
INDEX(_xlpm.rango,$BA$4-3,_xlpm.col) +
INDEX(_xlpm.rango,$BA$4-2,_xlpm.col) +
INDEX(_xlpm.rango,$BA$4-1,_xlpm.col) +
INDEX(_xlpm.rango,$BA$4, _xlpm.col)
)</f>
        <v>#VALUE!</v>
      </c>
      <c r="AD76" s="93" t="e" cm="1" vm="1">
        <f t="array" aca="1" ref="AD76" ca="1">_xlfn.LET(
_xlpm.rango, INDIRECT("E!$C$" &amp; $BA$8 &amp; ":$DR$" &amp; $BA$9),
_xlpm.col, AD$72+$D75*10,
INDEX(_xlpm.rango,$BA$4-3,_xlpm.col) +
INDEX(_xlpm.rango,$BA$4-2,_xlpm.col) +
INDEX(_xlpm.rango,$BA$4-1,_xlpm.col) +
INDEX(_xlpm.rango,$BA$4, _xlpm.col)
)</f>
        <v>#VALUE!</v>
      </c>
      <c r="AE76" s="93" t="e" cm="1" vm="1">
        <f t="array" aca="1" ref="AE76" ca="1">_xlfn.LET(
_xlpm.rango, INDIRECT("E!$C$" &amp; $BA$8 &amp; ":$DR$" &amp; $BA$9),
_xlpm.col, AE$72+$D75*10,
INDEX(_xlpm.rango,$BA$4-3,_xlpm.col) +
INDEX(_xlpm.rango,$BA$4-2,_xlpm.col) +
INDEX(_xlpm.rango,$BA$4-1,_xlpm.col) +
INDEX(_xlpm.rango,$BA$4, _xlpm.col)
)</f>
        <v>#VALUE!</v>
      </c>
      <c r="AF76" s="93" t="e" cm="1" vm="1">
        <f t="array" aca="1" ref="AF76" ca="1">_xlfn.LET(
_xlpm.rango, INDIRECT("E!$C$" &amp; $BA$8 &amp; ":$DR$" &amp; $BA$9),
_xlpm.col, AF$72+$D75*10,
INDEX(_xlpm.rango,$BA$4-3,_xlpm.col) +
INDEX(_xlpm.rango,$BA$4-2,_xlpm.col) +
INDEX(_xlpm.rango,$BA$4-1,_xlpm.col) +
INDEX(_xlpm.rango,$BA$4, _xlpm.col)
)</f>
        <v>#VALUE!</v>
      </c>
      <c r="AG76" s="93" t="e" cm="1" vm="1">
        <f t="array" aca="1" ref="AG76" ca="1">_xlfn.LET(
_xlpm.rango, INDIRECT("E!$C$" &amp; $BA$8 &amp; ":$DR$" &amp; $BA$9),
_xlpm.col, AG$72+$D75*10,
INDEX(_xlpm.rango,$BA$4-3,_xlpm.col) +
INDEX(_xlpm.rango,$BA$4-2,_xlpm.col) +
INDEX(_xlpm.rango,$BA$4-1,_xlpm.col) +
INDEX(_xlpm.rango,$BA$4, _xlpm.col)
)</f>
        <v>#VALUE!</v>
      </c>
      <c r="AH76" s="93" t="e" cm="1" vm="1">
        <f t="array" aca="1" ref="AH76" ca="1">_xlfn.LET(
_xlpm.rango, INDIRECT("E!$C$" &amp; $BA$8 &amp; ":$DR$" &amp; $BA$9),
_xlpm.col, AH$72+$D75*10,
INDEX(_xlpm.rango,$BA$4-3,_xlpm.col) +
INDEX(_xlpm.rango,$BA$4-2,_xlpm.col) +
INDEX(_xlpm.rango,$BA$4-1,_xlpm.col) +
INDEX(_xlpm.rango,$BA$4, _xlpm.col)
)</f>
        <v>#VALUE!</v>
      </c>
      <c r="AI76" s="94" t="e" cm="1" vm="1">
        <f t="array" aca="1" ref="AI76" ca="1">_xlfn.LET(
_xlpm.rango, INDIRECT("E!$C$" &amp; $BA$8 &amp; ":$DR$" &amp; $BA$9),
_xlpm.col, AI$72+$D75*10,
INDEX(_xlpm.rango,$BA$4-3,_xlpm.col) +
INDEX(_xlpm.rango,$BA$4-2,_xlpm.col) +
INDEX(_xlpm.rango,$BA$4-1,_xlpm.col) +
INDEX(_xlpm.rango,$BA$4, _xlpm.col)
)</f>
        <v>#VALUE!</v>
      </c>
      <c r="AJ76" s="99" t="e" cm="1" vm="1">
        <f t="array" aca="1" ref="AJ76" ca="1">_xlfn.LET(
_xlpm.rango, INDIRECT("E!$C$" &amp; $BA$8 &amp; ":$DR$" &amp; $BA$9),
_xlpm.col, AJ$72+$D75*10,
INDEX(_xlpm.rango,$BA$4-3,_xlpm.col) +
INDEX(_xlpm.rango,$BA$4-2,_xlpm.col) +
INDEX(_xlpm.rango,$BA$4-1,_xlpm.col) +
INDEX(_xlpm.rango,$BA$4, _xlpm.col)
)</f>
        <v>#VALUE!</v>
      </c>
      <c r="AK76" s="93" t="e" cm="1" vm="1">
        <f t="array" aca="1" ref="AK76" ca="1">_xlfn.LET(
_xlpm.rango, INDIRECT("E!$C$" &amp; $BA$8 &amp; ":$DR$" &amp; $BA$9),
_xlpm.col, AK$72+$D75*10,
INDEX(_xlpm.rango,$BA$4-3,_xlpm.col) +
INDEX(_xlpm.rango,$BA$4-2,_xlpm.col) +
INDEX(_xlpm.rango,$BA$4-1,_xlpm.col) +
INDEX(_xlpm.rango,$BA$4, _xlpm.col)
)</f>
        <v>#VALUE!</v>
      </c>
      <c r="AL76" s="93" t="e" cm="1" vm="1">
        <f t="array" aca="1" ref="AL76" ca="1">_xlfn.LET(
_xlpm.rango, INDIRECT("E!$C$" &amp; $BA$8 &amp; ":$DR$" &amp; $BA$9),
_xlpm.col, AL$72+$D75*10,
INDEX(_xlpm.rango,$BA$4-3,_xlpm.col) +
INDEX(_xlpm.rango,$BA$4-2,_xlpm.col) +
INDEX(_xlpm.rango,$BA$4-1,_xlpm.col) +
INDEX(_xlpm.rango,$BA$4, _xlpm.col)
)</f>
        <v>#VALUE!</v>
      </c>
      <c r="AM76" s="93" t="e" cm="1" vm="1">
        <f t="array" aca="1" ref="AM76" ca="1">_xlfn.LET(
_xlpm.rango, INDIRECT("E!$C$" &amp; $BA$8 &amp; ":$DR$" &amp; $BA$9),
_xlpm.col, AM$72+$D75*10,
INDEX(_xlpm.rango,$BA$4-3,_xlpm.col) +
INDEX(_xlpm.rango,$BA$4-2,_xlpm.col) +
INDEX(_xlpm.rango,$BA$4-1,_xlpm.col) +
INDEX(_xlpm.rango,$BA$4, _xlpm.col)
)</f>
        <v>#VALUE!</v>
      </c>
      <c r="AN76" s="93" t="e" cm="1" vm="1">
        <f t="array" aca="1" ref="AN76" ca="1">_xlfn.LET(
_xlpm.rango, INDIRECT("E!$C$" &amp; $BA$8 &amp; ":$DR$" &amp; $BA$9),
_xlpm.col, AN$72+$D75*10,
INDEX(_xlpm.rango,$BA$4-3,_xlpm.col) +
INDEX(_xlpm.rango,$BA$4-2,_xlpm.col) +
INDEX(_xlpm.rango,$BA$4-1,_xlpm.col) +
INDEX(_xlpm.rango,$BA$4, _xlpm.col)
)</f>
        <v>#VALUE!</v>
      </c>
      <c r="AO76" s="93" t="e" cm="1" vm="1">
        <f t="array" aca="1" ref="AO76" ca="1">_xlfn.LET(
_xlpm.rango, INDIRECT("E!$C$" &amp; $BA$8 &amp; ":$DR$" &amp; $BA$9),
_xlpm.col, AO$72+$D75*10,
INDEX(_xlpm.rango,$BA$4-3,_xlpm.col) +
INDEX(_xlpm.rango,$BA$4-2,_xlpm.col) +
INDEX(_xlpm.rango,$BA$4-1,_xlpm.col) +
INDEX(_xlpm.rango,$BA$4, _xlpm.col)
)</f>
        <v>#VALUE!</v>
      </c>
      <c r="AP76" s="93" t="e" cm="1" vm="1">
        <f t="array" aca="1" ref="AP76" ca="1">_xlfn.LET(
_xlpm.rango, INDIRECT("E!$C$" &amp; $BA$8 &amp; ":$DR$" &amp; $BA$9),
_xlpm.col, AP$72+$D75*10,
INDEX(_xlpm.rango,$BA$4-3,_xlpm.col) +
INDEX(_xlpm.rango,$BA$4-2,_xlpm.col) +
INDEX(_xlpm.rango,$BA$4-1,_xlpm.col) +
INDEX(_xlpm.rango,$BA$4, _xlpm.col)
)</f>
        <v>#VALUE!</v>
      </c>
      <c r="AQ76" s="93" t="e" cm="1" vm="1">
        <f t="array" aca="1" ref="AQ76" ca="1">_xlfn.LET(
_xlpm.rango, INDIRECT("E!$C$" &amp; $BA$8 &amp; ":$DR$" &amp; $BA$9),
_xlpm.col, AQ$72+$D75*10,
INDEX(_xlpm.rango,$BA$4-3,_xlpm.col) +
INDEX(_xlpm.rango,$BA$4-2,_xlpm.col) +
INDEX(_xlpm.rango,$BA$4-1,_xlpm.col) +
INDEX(_xlpm.rango,$BA$4, _xlpm.col)
)</f>
        <v>#VALUE!</v>
      </c>
      <c r="AR76" s="93" t="e" cm="1" vm="1">
        <f t="array" aca="1" ref="AR76" ca="1">_xlfn.LET(
_xlpm.rango, INDIRECT("E!$C$" &amp; $BA$8 &amp; ":$DR$" &amp; $BA$9),
_xlpm.col, AR$72+$D75*10,
INDEX(_xlpm.rango,$BA$4-3,_xlpm.col) +
INDEX(_xlpm.rango,$BA$4-2,_xlpm.col) +
INDEX(_xlpm.rango,$BA$4-1,_xlpm.col) +
INDEX(_xlpm.rango,$BA$4, _xlpm.col)
)</f>
        <v>#VALUE!</v>
      </c>
      <c r="AS76" s="111" t="e" cm="1" vm="1">
        <f t="array" aca="1" ref="AS76" ca="1">_xlfn.LET(
_xlpm.rango, INDIRECT("E!$C$" &amp; $BA$8 &amp; ":$DR$" &amp; $BA$9),
_xlpm.col, AS$72+$D75*10,
INDEX(_xlpm.rango,$BA$4-3,_xlpm.col) +
INDEX(_xlpm.rango,$BA$4-2,_xlpm.col) +
INDEX(_xlpm.rango,$BA$4-1,_xlpm.col) +
INDEX(_xlpm.rango,$BA$4, _xlpm.col)
)</f>
        <v>#VALUE!</v>
      </c>
      <c r="AT76" s="118" t="e" vm="2">
        <f ca="1">SUM(F76:AS76)</f>
        <v>#VALUE!</v>
      </c>
      <c r="AU76" s="119" t="e" vm="2">
        <f ca="1">AT76/$AT$88</f>
        <v>#VALUE!</v>
      </c>
    </row>
    <row r="77" spans="4:47" x14ac:dyDescent="0.25">
      <c r="D77">
        <v>2</v>
      </c>
      <c r="E77" s="106" t="str">
        <f>Inicio!V5</f>
        <v>Moto</v>
      </c>
      <c r="F77" s="100" t="e" cm="1" vm="1">
        <f t="array" aca="1" ref="F77" ca="1">_xlfn.LET(
_xlpm.rango, INDIRECT("N!$C$" &amp; $BA$8 &amp; ":$DR$" &amp; $BA$9),
_xlpm.col, F$72+$D76*10,
INDEX(_xlpm.rango,$BA$4-3,_xlpm.col) +
INDEX(_xlpm.rango,$BA$4-2,_xlpm.col) +
INDEX(_xlpm.rango,$BA$4-1,_xlpm.col) +
INDEX(_xlpm.rango,$BA$4, _xlpm.col)
)</f>
        <v>#VALUE!</v>
      </c>
      <c r="G77" s="95" t="e" cm="1" vm="1">
        <f t="array" aca="1" ref="G77" ca="1">_xlfn.LET(
_xlpm.rango, INDIRECT("N!$C$" &amp; $BA$8 &amp; ":$DR$" &amp; $BA$9),
_xlpm.col, G$72+$D76*10,
INDEX(_xlpm.rango,$BA$4-3,_xlpm.col) +
INDEX(_xlpm.rango,$BA$4-2,_xlpm.col) +
INDEX(_xlpm.rango,$BA$4-1,_xlpm.col) +
INDEX(_xlpm.rango,$BA$4, _xlpm.col)
)</f>
        <v>#VALUE!</v>
      </c>
      <c r="H77" s="95" t="e" cm="1" vm="1">
        <f t="array" aca="1" ref="H77" ca="1">_xlfn.LET(
_xlpm.rango, INDIRECT("N!$C$" &amp; $BA$8 &amp; ":$DR$" &amp; $BA$9),
_xlpm.col, H$72+$D76*10,
INDEX(_xlpm.rango,$BA$4-3,_xlpm.col) +
INDEX(_xlpm.rango,$BA$4-2,_xlpm.col) +
INDEX(_xlpm.rango,$BA$4-1,_xlpm.col) +
INDEX(_xlpm.rango,$BA$4, _xlpm.col)
)</f>
        <v>#VALUE!</v>
      </c>
      <c r="I77" s="95" t="e" cm="1" vm="1">
        <f t="array" aca="1" ref="I77" ca="1">_xlfn.LET(
_xlpm.rango, INDIRECT("N!$C$" &amp; $BA$8 &amp; ":$DR$" &amp; $BA$9),
_xlpm.col, I$72+$D76*10,
INDEX(_xlpm.rango,$BA$4-3,_xlpm.col) +
INDEX(_xlpm.rango,$BA$4-2,_xlpm.col) +
INDEX(_xlpm.rango,$BA$4-1,_xlpm.col) +
INDEX(_xlpm.rango,$BA$4, _xlpm.col)
)</f>
        <v>#VALUE!</v>
      </c>
      <c r="J77" s="95" t="e" cm="1" vm="1">
        <f t="array" aca="1" ref="J77" ca="1">_xlfn.LET(
_xlpm.rango, INDIRECT("N!$C$" &amp; $BA$8 &amp; ":$DR$" &amp; $BA$9),
_xlpm.col, J$72+$D76*10,
INDEX(_xlpm.rango,$BA$4-3,_xlpm.col) +
INDEX(_xlpm.rango,$BA$4-2,_xlpm.col) +
INDEX(_xlpm.rango,$BA$4-1,_xlpm.col) +
INDEX(_xlpm.rango,$BA$4, _xlpm.col)
)</f>
        <v>#VALUE!</v>
      </c>
      <c r="K77" s="95" t="e" cm="1" vm="1">
        <f t="array" aca="1" ref="K77" ca="1">_xlfn.LET(
_xlpm.rango, INDIRECT("N!$C$" &amp; $BA$8 &amp; ":$DR$" &amp; $BA$9),
_xlpm.col, K$72+$D76*10,
INDEX(_xlpm.rango,$BA$4-3,_xlpm.col) +
INDEX(_xlpm.rango,$BA$4-2,_xlpm.col) +
INDEX(_xlpm.rango,$BA$4-1,_xlpm.col) +
INDEX(_xlpm.rango,$BA$4, _xlpm.col)
)</f>
        <v>#VALUE!</v>
      </c>
      <c r="L77" s="95" t="e" cm="1" vm="1">
        <f t="array" aca="1" ref="L77" ca="1">_xlfn.LET(
_xlpm.rango, INDIRECT("N!$C$" &amp; $BA$8 &amp; ":$DR$" &amp; $BA$9),
_xlpm.col, L$72+$D76*10,
INDEX(_xlpm.rango,$BA$4-3,_xlpm.col) +
INDEX(_xlpm.rango,$BA$4-2,_xlpm.col) +
INDEX(_xlpm.rango,$BA$4-1,_xlpm.col) +
INDEX(_xlpm.rango,$BA$4, _xlpm.col)
)</f>
        <v>#VALUE!</v>
      </c>
      <c r="M77" s="95" t="e" cm="1" vm="1">
        <f t="array" aca="1" ref="M77" ca="1">_xlfn.LET(
_xlpm.rango, INDIRECT("N!$C$" &amp; $BA$8 &amp; ":$DR$" &amp; $BA$9),
_xlpm.col, M$72+$D76*10,
INDEX(_xlpm.rango,$BA$4-3,_xlpm.col) +
INDEX(_xlpm.rango,$BA$4-2,_xlpm.col) +
INDEX(_xlpm.rango,$BA$4-1,_xlpm.col) +
INDEX(_xlpm.rango,$BA$4, _xlpm.col)
)</f>
        <v>#VALUE!</v>
      </c>
      <c r="N77" s="95" t="e" cm="1" vm="1">
        <f t="array" aca="1" ref="N77" ca="1">_xlfn.LET(
_xlpm.rango, INDIRECT("N!$C$" &amp; $BA$8 &amp; ":$DR$" &amp; $BA$9),
_xlpm.col, N$72+$D76*10,
INDEX(_xlpm.rango,$BA$4-3,_xlpm.col) +
INDEX(_xlpm.rango,$BA$4-2,_xlpm.col) +
INDEX(_xlpm.rango,$BA$4-1,_xlpm.col) +
INDEX(_xlpm.rango,$BA$4, _xlpm.col)
)</f>
        <v>#VALUE!</v>
      </c>
      <c r="O77" s="96" t="e" cm="1" vm="1">
        <f t="array" aca="1" ref="O77" ca="1">_xlfn.LET(
_xlpm.rango, INDIRECT("N!$C$" &amp; $BA$8 &amp; ":$DR$" &amp; $BA$9),
_xlpm.col, O$72+$D76*10,
INDEX(_xlpm.rango,$BA$4-3,_xlpm.col) +
INDEX(_xlpm.rango,$BA$4-2,_xlpm.col) +
INDEX(_xlpm.rango,$BA$4-1,_xlpm.col) +
INDEX(_xlpm.rango,$BA$4, _xlpm.col)
)</f>
        <v>#VALUE!</v>
      </c>
      <c r="P77" s="95" t="e" cm="1" vm="1">
        <f t="array" aca="1" ref="P77" ca="1">_xlfn.LET(
_xlpm.rango, INDIRECT("S!$C$" &amp; $BA$8 &amp; ":$DR$" &amp; $BA$9),
_xlpm.col, P$72+$D76*10,
INDEX(_xlpm.rango,$BA$4-3,_xlpm.col) +
INDEX(_xlpm.rango,$BA$4-2,_xlpm.col) +
INDEX(_xlpm.rango,$BA$4-1,_xlpm.col) +
INDEX(_xlpm.rango,$BA$4, _xlpm.col)
)</f>
        <v>#VALUE!</v>
      </c>
      <c r="Q77" s="95" t="e" cm="1" vm="1">
        <f t="array" aca="1" ref="Q77" ca="1">_xlfn.LET(
_xlpm.rango, INDIRECT("S!$C$" &amp; $BA$8 &amp; ":$DR$" &amp; $BA$9),
_xlpm.col, Q$72+$D76*10,
INDEX(_xlpm.rango,$BA$4-3,_xlpm.col) +
INDEX(_xlpm.rango,$BA$4-2,_xlpm.col) +
INDEX(_xlpm.rango,$BA$4-1,_xlpm.col) +
INDEX(_xlpm.rango,$BA$4, _xlpm.col)
)</f>
        <v>#VALUE!</v>
      </c>
      <c r="R77" s="95" t="e" cm="1" vm="1">
        <f t="array" aca="1" ref="R77" ca="1">_xlfn.LET(
_xlpm.rango, INDIRECT("S!$C$" &amp; $BA$8 &amp; ":$DR$" &amp; $BA$9),
_xlpm.col, R$72+$D76*10,
INDEX(_xlpm.rango,$BA$4-3,_xlpm.col) +
INDEX(_xlpm.rango,$BA$4-2,_xlpm.col) +
INDEX(_xlpm.rango,$BA$4-1,_xlpm.col) +
INDEX(_xlpm.rango,$BA$4, _xlpm.col)
)</f>
        <v>#VALUE!</v>
      </c>
      <c r="S77" s="95" t="e" cm="1" vm="1">
        <f t="array" aca="1" ref="S77" ca="1">_xlfn.LET(
_xlpm.rango, INDIRECT("S!$C$" &amp; $BA$8 &amp; ":$DR$" &amp; $BA$9),
_xlpm.col, S$72+$D76*10,
INDEX(_xlpm.rango,$BA$4-3,_xlpm.col) +
INDEX(_xlpm.rango,$BA$4-2,_xlpm.col) +
INDEX(_xlpm.rango,$BA$4-1,_xlpm.col) +
INDEX(_xlpm.rango,$BA$4, _xlpm.col)
)</f>
        <v>#VALUE!</v>
      </c>
      <c r="T77" s="95" t="e" cm="1" vm="1">
        <f t="array" aca="1" ref="T77" ca="1">_xlfn.LET(
_xlpm.rango, INDIRECT("S!$C$" &amp; $BA$8 &amp; ":$DR$" &amp; $BA$9),
_xlpm.col, T$72+$D76*10,
INDEX(_xlpm.rango,$BA$4-3,_xlpm.col) +
INDEX(_xlpm.rango,$BA$4-2,_xlpm.col) +
INDEX(_xlpm.rango,$BA$4-1,_xlpm.col) +
INDEX(_xlpm.rango,$BA$4, _xlpm.col)
)</f>
        <v>#VALUE!</v>
      </c>
      <c r="U77" s="95" t="e" cm="1" vm="1">
        <f t="array" aca="1" ref="U77" ca="1">_xlfn.LET(
_xlpm.rango, INDIRECT("S!$C$" &amp; $BA$8 &amp; ":$DR$" &amp; $BA$9),
_xlpm.col, U$72+$D76*10,
INDEX(_xlpm.rango,$BA$4-3,_xlpm.col) +
INDEX(_xlpm.rango,$BA$4-2,_xlpm.col) +
INDEX(_xlpm.rango,$BA$4-1,_xlpm.col) +
INDEX(_xlpm.rango,$BA$4, _xlpm.col)
)</f>
        <v>#VALUE!</v>
      </c>
      <c r="V77" s="95" t="e" cm="1" vm="1">
        <f t="array" aca="1" ref="V77" ca="1">_xlfn.LET(
_xlpm.rango, INDIRECT("S!$C$" &amp; $BA$8 &amp; ":$DR$" &amp; $BA$9),
_xlpm.col, V$72+$D76*10,
INDEX(_xlpm.rango,$BA$4-3,_xlpm.col) +
INDEX(_xlpm.rango,$BA$4-2,_xlpm.col) +
INDEX(_xlpm.rango,$BA$4-1,_xlpm.col) +
INDEX(_xlpm.rango,$BA$4, _xlpm.col)
)</f>
        <v>#VALUE!</v>
      </c>
      <c r="W77" s="95" t="e" cm="1" vm="1">
        <f t="array" aca="1" ref="W77" ca="1">_xlfn.LET(
_xlpm.rango, INDIRECT("S!$C$" &amp; $BA$8 &amp; ":$DR$" &amp; $BA$9),
_xlpm.col, W$72+$D76*10,
INDEX(_xlpm.rango,$BA$4-3,_xlpm.col) +
INDEX(_xlpm.rango,$BA$4-2,_xlpm.col) +
INDEX(_xlpm.rango,$BA$4-1,_xlpm.col) +
INDEX(_xlpm.rango,$BA$4, _xlpm.col)
)</f>
        <v>#VALUE!</v>
      </c>
      <c r="X77" s="95" t="e" cm="1" vm="1">
        <f t="array" aca="1" ref="X77" ca="1">_xlfn.LET(
_xlpm.rango, INDIRECT("S!$C$" &amp; $BA$8 &amp; ":$DR$" &amp; $BA$9),
_xlpm.col, X$72+$D76*10,
INDEX(_xlpm.rango,$BA$4-3,_xlpm.col) +
INDEX(_xlpm.rango,$BA$4-2,_xlpm.col) +
INDEX(_xlpm.rango,$BA$4-1,_xlpm.col) +
INDEX(_xlpm.rango,$BA$4, _xlpm.col)
)</f>
        <v>#VALUE!</v>
      </c>
      <c r="Y77" s="95" t="e" cm="1" vm="1">
        <f t="array" aca="1" ref="Y77" ca="1">_xlfn.LET(
_xlpm.rango, INDIRECT("S!$C$" &amp; $BA$8 &amp; ":$DR$" &amp; $BA$9),
_xlpm.col, Y$72+$D76*10,
INDEX(_xlpm.rango,$BA$4-3,_xlpm.col) +
INDEX(_xlpm.rango,$BA$4-2,_xlpm.col) +
INDEX(_xlpm.rango,$BA$4-1,_xlpm.col) +
INDEX(_xlpm.rango,$BA$4, _xlpm.col)
)</f>
        <v>#VALUE!</v>
      </c>
      <c r="Z77" s="100" t="e" cm="1" vm="1">
        <f t="array" aca="1" ref="Z77" ca="1">_xlfn.LET(
_xlpm.rango, INDIRECT("E!$C$" &amp; $BA$8 &amp; ":$DR$" &amp; $BA$9),
_xlpm.col, Z$72+$D76*10,
INDEX(_xlpm.rango,$BA$4-3,_xlpm.col) +
INDEX(_xlpm.rango,$BA$4-2,_xlpm.col) +
INDEX(_xlpm.rango,$BA$4-1,_xlpm.col) +
INDEX(_xlpm.rango,$BA$4, _xlpm.col)
)</f>
        <v>#VALUE!</v>
      </c>
      <c r="AA77" s="95" t="e" cm="1" vm="1">
        <f t="array" aca="1" ref="AA77" ca="1">_xlfn.LET(
_xlpm.rango, INDIRECT("E!$C$" &amp; $BA$8 &amp; ":$DR$" &amp; $BA$9),
_xlpm.col, AA$72+$D76*10,
INDEX(_xlpm.rango,$BA$4-3,_xlpm.col) +
INDEX(_xlpm.rango,$BA$4-2,_xlpm.col) +
INDEX(_xlpm.rango,$BA$4-1,_xlpm.col) +
INDEX(_xlpm.rango,$BA$4, _xlpm.col)
)</f>
        <v>#VALUE!</v>
      </c>
      <c r="AB77" s="95" t="e" cm="1" vm="1">
        <f t="array" aca="1" ref="AB77" ca="1">_xlfn.LET(
_xlpm.rango, INDIRECT("E!$C$" &amp; $BA$8 &amp; ":$DR$" &amp; $BA$9),
_xlpm.col, AB$72+$D76*10,
INDEX(_xlpm.rango,$BA$4-3,_xlpm.col) +
INDEX(_xlpm.rango,$BA$4-2,_xlpm.col) +
INDEX(_xlpm.rango,$BA$4-1,_xlpm.col) +
INDEX(_xlpm.rango,$BA$4, _xlpm.col)
)</f>
        <v>#VALUE!</v>
      </c>
      <c r="AC77" s="95" t="e" cm="1" vm="1">
        <f t="array" aca="1" ref="AC77" ca="1">_xlfn.LET(
_xlpm.rango, INDIRECT("E!$C$" &amp; $BA$8 &amp; ":$DR$" &amp; $BA$9),
_xlpm.col, AC$72+$D76*10,
INDEX(_xlpm.rango,$BA$4-3,_xlpm.col) +
INDEX(_xlpm.rango,$BA$4-2,_xlpm.col) +
INDEX(_xlpm.rango,$BA$4-1,_xlpm.col) +
INDEX(_xlpm.rango,$BA$4, _xlpm.col)
)</f>
        <v>#VALUE!</v>
      </c>
      <c r="AD77" s="95" t="e" cm="1" vm="1">
        <f t="array" aca="1" ref="AD77" ca="1">_xlfn.LET(
_xlpm.rango, INDIRECT("E!$C$" &amp; $BA$8 &amp; ":$DR$" &amp; $BA$9),
_xlpm.col, AD$72+$D76*10,
INDEX(_xlpm.rango,$BA$4-3,_xlpm.col) +
INDEX(_xlpm.rango,$BA$4-2,_xlpm.col) +
INDEX(_xlpm.rango,$BA$4-1,_xlpm.col) +
INDEX(_xlpm.rango,$BA$4, _xlpm.col)
)</f>
        <v>#VALUE!</v>
      </c>
      <c r="AE77" s="95" t="e" cm="1" vm="1">
        <f t="array" aca="1" ref="AE77" ca="1">_xlfn.LET(
_xlpm.rango, INDIRECT("E!$C$" &amp; $BA$8 &amp; ":$DR$" &amp; $BA$9),
_xlpm.col, AE$72+$D76*10,
INDEX(_xlpm.rango,$BA$4-3,_xlpm.col) +
INDEX(_xlpm.rango,$BA$4-2,_xlpm.col) +
INDEX(_xlpm.rango,$BA$4-1,_xlpm.col) +
INDEX(_xlpm.rango,$BA$4, _xlpm.col)
)</f>
        <v>#VALUE!</v>
      </c>
      <c r="AF77" s="95" t="e" cm="1" vm="1">
        <f t="array" aca="1" ref="AF77" ca="1">_xlfn.LET(
_xlpm.rango, INDIRECT("E!$C$" &amp; $BA$8 &amp; ":$DR$" &amp; $BA$9),
_xlpm.col, AF$72+$D76*10,
INDEX(_xlpm.rango,$BA$4-3,_xlpm.col) +
INDEX(_xlpm.rango,$BA$4-2,_xlpm.col) +
INDEX(_xlpm.rango,$BA$4-1,_xlpm.col) +
INDEX(_xlpm.rango,$BA$4, _xlpm.col)
)</f>
        <v>#VALUE!</v>
      </c>
      <c r="AG77" s="95" t="e" cm="1" vm="1">
        <f t="array" aca="1" ref="AG77" ca="1">_xlfn.LET(
_xlpm.rango, INDIRECT("E!$C$" &amp; $BA$8 &amp; ":$DR$" &amp; $BA$9),
_xlpm.col, AG$72+$D76*10,
INDEX(_xlpm.rango,$BA$4-3,_xlpm.col) +
INDEX(_xlpm.rango,$BA$4-2,_xlpm.col) +
INDEX(_xlpm.rango,$BA$4-1,_xlpm.col) +
INDEX(_xlpm.rango,$BA$4, _xlpm.col)
)</f>
        <v>#VALUE!</v>
      </c>
      <c r="AH77" s="95" t="e" cm="1" vm="1">
        <f t="array" aca="1" ref="AH77" ca="1">_xlfn.LET(
_xlpm.rango, INDIRECT("E!$C$" &amp; $BA$8 &amp; ":$DR$" &amp; $BA$9),
_xlpm.col, AH$72+$D76*10,
INDEX(_xlpm.rango,$BA$4-3,_xlpm.col) +
INDEX(_xlpm.rango,$BA$4-2,_xlpm.col) +
INDEX(_xlpm.rango,$BA$4-1,_xlpm.col) +
INDEX(_xlpm.rango,$BA$4, _xlpm.col)
)</f>
        <v>#VALUE!</v>
      </c>
      <c r="AI77" s="96" t="e" cm="1" vm="1">
        <f t="array" aca="1" ref="AI77" ca="1">_xlfn.LET(
_xlpm.rango, INDIRECT("E!$C$" &amp; $BA$8 &amp; ":$DR$" &amp; $BA$9),
_xlpm.col, AI$72+$D76*10,
INDEX(_xlpm.rango,$BA$4-3,_xlpm.col) +
INDEX(_xlpm.rango,$BA$4-2,_xlpm.col) +
INDEX(_xlpm.rango,$BA$4-1,_xlpm.col) +
INDEX(_xlpm.rango,$BA$4, _xlpm.col)
)</f>
        <v>#VALUE!</v>
      </c>
      <c r="AJ77" s="95" t="e" cm="1" vm="1">
        <f t="array" aca="1" ref="AJ77" ca="1">_xlfn.LET(
_xlpm.rango, INDIRECT("E!$C$" &amp; $BA$8 &amp; ":$DR$" &amp; $BA$9),
_xlpm.col, AJ$72+$D76*10,
INDEX(_xlpm.rango,$BA$4-3,_xlpm.col) +
INDEX(_xlpm.rango,$BA$4-2,_xlpm.col) +
INDEX(_xlpm.rango,$BA$4-1,_xlpm.col) +
INDEX(_xlpm.rango,$BA$4, _xlpm.col)
)</f>
        <v>#VALUE!</v>
      </c>
      <c r="AK77" s="95" t="e" cm="1" vm="1">
        <f t="array" aca="1" ref="AK77" ca="1">_xlfn.LET(
_xlpm.rango, INDIRECT("E!$C$" &amp; $BA$8 &amp; ":$DR$" &amp; $BA$9),
_xlpm.col, AK$72+$D76*10,
INDEX(_xlpm.rango,$BA$4-3,_xlpm.col) +
INDEX(_xlpm.rango,$BA$4-2,_xlpm.col) +
INDEX(_xlpm.rango,$BA$4-1,_xlpm.col) +
INDEX(_xlpm.rango,$BA$4, _xlpm.col)
)</f>
        <v>#VALUE!</v>
      </c>
      <c r="AL77" s="95" t="e" cm="1" vm="1">
        <f t="array" aca="1" ref="AL77" ca="1">_xlfn.LET(
_xlpm.rango, INDIRECT("E!$C$" &amp; $BA$8 &amp; ":$DR$" &amp; $BA$9),
_xlpm.col, AL$72+$D76*10,
INDEX(_xlpm.rango,$BA$4-3,_xlpm.col) +
INDEX(_xlpm.rango,$BA$4-2,_xlpm.col) +
INDEX(_xlpm.rango,$BA$4-1,_xlpm.col) +
INDEX(_xlpm.rango,$BA$4, _xlpm.col)
)</f>
        <v>#VALUE!</v>
      </c>
      <c r="AM77" s="95" t="e" cm="1" vm="1">
        <f t="array" aca="1" ref="AM77" ca="1">_xlfn.LET(
_xlpm.rango, INDIRECT("E!$C$" &amp; $BA$8 &amp; ":$DR$" &amp; $BA$9),
_xlpm.col, AM$72+$D76*10,
INDEX(_xlpm.rango,$BA$4-3,_xlpm.col) +
INDEX(_xlpm.rango,$BA$4-2,_xlpm.col) +
INDEX(_xlpm.rango,$BA$4-1,_xlpm.col) +
INDEX(_xlpm.rango,$BA$4, _xlpm.col)
)</f>
        <v>#VALUE!</v>
      </c>
      <c r="AN77" s="95" t="e" cm="1" vm="1">
        <f t="array" aca="1" ref="AN77" ca="1">_xlfn.LET(
_xlpm.rango, INDIRECT("E!$C$" &amp; $BA$8 &amp; ":$DR$" &amp; $BA$9),
_xlpm.col, AN$72+$D76*10,
INDEX(_xlpm.rango,$BA$4-3,_xlpm.col) +
INDEX(_xlpm.rango,$BA$4-2,_xlpm.col) +
INDEX(_xlpm.rango,$BA$4-1,_xlpm.col) +
INDEX(_xlpm.rango,$BA$4, _xlpm.col)
)</f>
        <v>#VALUE!</v>
      </c>
      <c r="AO77" s="95" t="e" cm="1" vm="1">
        <f t="array" aca="1" ref="AO77" ca="1">_xlfn.LET(
_xlpm.rango, INDIRECT("E!$C$" &amp; $BA$8 &amp; ":$DR$" &amp; $BA$9),
_xlpm.col, AO$72+$D76*10,
INDEX(_xlpm.rango,$BA$4-3,_xlpm.col) +
INDEX(_xlpm.rango,$BA$4-2,_xlpm.col) +
INDEX(_xlpm.rango,$BA$4-1,_xlpm.col) +
INDEX(_xlpm.rango,$BA$4, _xlpm.col)
)</f>
        <v>#VALUE!</v>
      </c>
      <c r="AP77" s="95" t="e" cm="1" vm="1">
        <f t="array" aca="1" ref="AP77" ca="1">_xlfn.LET(
_xlpm.rango, INDIRECT("E!$C$" &amp; $BA$8 &amp; ":$DR$" &amp; $BA$9),
_xlpm.col, AP$72+$D76*10,
INDEX(_xlpm.rango,$BA$4-3,_xlpm.col) +
INDEX(_xlpm.rango,$BA$4-2,_xlpm.col) +
INDEX(_xlpm.rango,$BA$4-1,_xlpm.col) +
INDEX(_xlpm.rango,$BA$4, _xlpm.col)
)</f>
        <v>#VALUE!</v>
      </c>
      <c r="AQ77" s="95" t="e" cm="1" vm="1">
        <f t="array" aca="1" ref="AQ77" ca="1">_xlfn.LET(
_xlpm.rango, INDIRECT("E!$C$" &amp; $BA$8 &amp; ":$DR$" &amp; $BA$9),
_xlpm.col, AQ$72+$D76*10,
INDEX(_xlpm.rango,$BA$4-3,_xlpm.col) +
INDEX(_xlpm.rango,$BA$4-2,_xlpm.col) +
INDEX(_xlpm.rango,$BA$4-1,_xlpm.col) +
INDEX(_xlpm.rango,$BA$4, _xlpm.col)
)</f>
        <v>#VALUE!</v>
      </c>
      <c r="AR77" s="95" t="e" cm="1" vm="1">
        <f t="array" aca="1" ref="AR77" ca="1">_xlfn.LET(
_xlpm.rango, INDIRECT("E!$C$" &amp; $BA$8 &amp; ":$DR$" &amp; $BA$9),
_xlpm.col, AR$72+$D76*10,
INDEX(_xlpm.rango,$BA$4-3,_xlpm.col) +
INDEX(_xlpm.rango,$BA$4-2,_xlpm.col) +
INDEX(_xlpm.rango,$BA$4-1,_xlpm.col) +
INDEX(_xlpm.rango,$BA$4, _xlpm.col)
)</f>
        <v>#VALUE!</v>
      </c>
      <c r="AS77" s="112" t="e" cm="1" vm="1">
        <f t="array" aca="1" ref="AS77" ca="1">_xlfn.LET(
_xlpm.rango, INDIRECT("E!$C$" &amp; $BA$8 &amp; ":$DR$" &amp; $BA$9),
_xlpm.col, AS$72+$D76*10,
INDEX(_xlpm.rango,$BA$4-3,_xlpm.col) +
INDEX(_xlpm.rango,$BA$4-2,_xlpm.col) +
INDEX(_xlpm.rango,$BA$4-1,_xlpm.col) +
INDEX(_xlpm.rango,$BA$4, _xlpm.col)
)</f>
        <v>#VALUE!</v>
      </c>
      <c r="AT77" s="118" t="e" vm="2">
        <f t="shared" ref="AT77:AT87" ca="1" si="0">SUM(F77:AS77)</f>
        <v>#VALUE!</v>
      </c>
      <c r="AU77" s="120" t="e" vm="2">
        <f t="shared" ref="AU77:AU87" ca="1" si="1">AT77/$AT$88</f>
        <v>#VALUE!</v>
      </c>
    </row>
    <row r="78" spans="4:47" x14ac:dyDescent="0.25">
      <c r="D78">
        <v>3</v>
      </c>
      <c r="E78" s="106" t="str">
        <f>Inicio!V6</f>
        <v>Bus</v>
      </c>
      <c r="F78" s="100" t="e" cm="1" vm="1">
        <f t="array" aca="1" ref="F78" ca="1">_xlfn.LET(
_xlpm.rango, INDIRECT("N!$C$" &amp; $BA$8 &amp; ":$DR$" &amp; $BA$9),
_xlpm.col, F$72+$D77*10,
INDEX(_xlpm.rango,$BA$4-3,_xlpm.col) +
INDEX(_xlpm.rango,$BA$4-2,_xlpm.col) +
INDEX(_xlpm.rango,$BA$4-1,_xlpm.col) +
INDEX(_xlpm.rango,$BA$4, _xlpm.col)
)</f>
        <v>#VALUE!</v>
      </c>
      <c r="G78" s="95" t="e" cm="1" vm="1">
        <f t="array" aca="1" ref="G78" ca="1">_xlfn.LET(
_xlpm.rango, INDIRECT("N!$C$" &amp; $BA$8 &amp; ":$DR$" &amp; $BA$9),
_xlpm.col, G$72+$D77*10,
INDEX(_xlpm.rango,$BA$4-3,_xlpm.col) +
INDEX(_xlpm.rango,$BA$4-2,_xlpm.col) +
INDEX(_xlpm.rango,$BA$4-1,_xlpm.col) +
INDEX(_xlpm.rango,$BA$4, _xlpm.col)
)</f>
        <v>#VALUE!</v>
      </c>
      <c r="H78" s="95" t="e" cm="1" vm="1">
        <f t="array" aca="1" ref="H78" ca="1">_xlfn.LET(
_xlpm.rango, INDIRECT("N!$C$" &amp; $BA$8 &amp; ":$DR$" &amp; $BA$9),
_xlpm.col, H$72+$D77*10,
INDEX(_xlpm.rango,$BA$4-3,_xlpm.col) +
INDEX(_xlpm.rango,$BA$4-2,_xlpm.col) +
INDEX(_xlpm.rango,$BA$4-1,_xlpm.col) +
INDEX(_xlpm.rango,$BA$4, _xlpm.col)
)</f>
        <v>#VALUE!</v>
      </c>
      <c r="I78" s="95" t="e" cm="1" vm="1">
        <f t="array" aca="1" ref="I78" ca="1">_xlfn.LET(
_xlpm.rango, INDIRECT("N!$C$" &amp; $BA$8 &amp; ":$DR$" &amp; $BA$9),
_xlpm.col, I$72+$D77*10,
INDEX(_xlpm.rango,$BA$4-3,_xlpm.col) +
INDEX(_xlpm.rango,$BA$4-2,_xlpm.col) +
INDEX(_xlpm.rango,$BA$4-1,_xlpm.col) +
INDEX(_xlpm.rango,$BA$4, _xlpm.col)
)</f>
        <v>#VALUE!</v>
      </c>
      <c r="J78" s="95" t="e" cm="1" vm="1">
        <f t="array" aca="1" ref="J78" ca="1">_xlfn.LET(
_xlpm.rango, INDIRECT("N!$C$" &amp; $BA$8 &amp; ":$DR$" &amp; $BA$9),
_xlpm.col, J$72+$D77*10,
INDEX(_xlpm.rango,$BA$4-3,_xlpm.col) +
INDEX(_xlpm.rango,$BA$4-2,_xlpm.col) +
INDEX(_xlpm.rango,$BA$4-1,_xlpm.col) +
INDEX(_xlpm.rango,$BA$4, _xlpm.col)
)</f>
        <v>#VALUE!</v>
      </c>
      <c r="K78" s="95" t="e" cm="1" vm="1">
        <f t="array" aca="1" ref="K78" ca="1">_xlfn.LET(
_xlpm.rango, INDIRECT("N!$C$" &amp; $BA$8 &amp; ":$DR$" &amp; $BA$9),
_xlpm.col, K$72+$D77*10,
INDEX(_xlpm.rango,$BA$4-3,_xlpm.col) +
INDEX(_xlpm.rango,$BA$4-2,_xlpm.col) +
INDEX(_xlpm.rango,$BA$4-1,_xlpm.col) +
INDEX(_xlpm.rango,$BA$4, _xlpm.col)
)</f>
        <v>#VALUE!</v>
      </c>
      <c r="L78" s="95" t="e" cm="1" vm="1">
        <f t="array" aca="1" ref="L78" ca="1">_xlfn.LET(
_xlpm.rango, INDIRECT("N!$C$" &amp; $BA$8 &amp; ":$DR$" &amp; $BA$9),
_xlpm.col, L$72+$D77*10,
INDEX(_xlpm.rango,$BA$4-3,_xlpm.col) +
INDEX(_xlpm.rango,$BA$4-2,_xlpm.col) +
INDEX(_xlpm.rango,$BA$4-1,_xlpm.col) +
INDEX(_xlpm.rango,$BA$4, _xlpm.col)
)</f>
        <v>#VALUE!</v>
      </c>
      <c r="M78" s="95" t="e" cm="1" vm="1">
        <f t="array" aca="1" ref="M78" ca="1">_xlfn.LET(
_xlpm.rango, INDIRECT("N!$C$" &amp; $BA$8 &amp; ":$DR$" &amp; $BA$9),
_xlpm.col, M$72+$D77*10,
INDEX(_xlpm.rango,$BA$4-3,_xlpm.col) +
INDEX(_xlpm.rango,$BA$4-2,_xlpm.col) +
INDEX(_xlpm.rango,$BA$4-1,_xlpm.col) +
INDEX(_xlpm.rango,$BA$4, _xlpm.col)
)</f>
        <v>#VALUE!</v>
      </c>
      <c r="N78" s="95" t="e" cm="1" vm="1">
        <f t="array" aca="1" ref="N78" ca="1">_xlfn.LET(
_xlpm.rango, INDIRECT("N!$C$" &amp; $BA$8 &amp; ":$DR$" &amp; $BA$9),
_xlpm.col, N$72+$D77*10,
INDEX(_xlpm.rango,$BA$4-3,_xlpm.col) +
INDEX(_xlpm.rango,$BA$4-2,_xlpm.col) +
INDEX(_xlpm.rango,$BA$4-1,_xlpm.col) +
INDEX(_xlpm.rango,$BA$4, _xlpm.col)
)</f>
        <v>#VALUE!</v>
      </c>
      <c r="O78" s="96" t="e" cm="1" vm="1">
        <f t="array" aca="1" ref="O78" ca="1">_xlfn.LET(
_xlpm.rango, INDIRECT("N!$C$" &amp; $BA$8 &amp; ":$DR$" &amp; $BA$9),
_xlpm.col, O$72+$D77*10,
INDEX(_xlpm.rango,$BA$4-3,_xlpm.col) +
INDEX(_xlpm.rango,$BA$4-2,_xlpm.col) +
INDEX(_xlpm.rango,$BA$4-1,_xlpm.col) +
INDEX(_xlpm.rango,$BA$4, _xlpm.col)
)</f>
        <v>#VALUE!</v>
      </c>
      <c r="P78" s="95" t="e" cm="1" vm="1">
        <f t="array" aca="1" ref="P78" ca="1">_xlfn.LET(
_xlpm.rango, INDIRECT("S!$C$" &amp; $BA$8 &amp; ":$DR$" &amp; $BA$9),
_xlpm.col, P$72+$D77*10,
INDEX(_xlpm.rango,$BA$4-3,_xlpm.col) +
INDEX(_xlpm.rango,$BA$4-2,_xlpm.col) +
INDEX(_xlpm.rango,$BA$4-1,_xlpm.col) +
INDEX(_xlpm.rango,$BA$4, _xlpm.col)
)</f>
        <v>#VALUE!</v>
      </c>
      <c r="Q78" s="95" t="e" cm="1" vm="1">
        <f t="array" aca="1" ref="Q78" ca="1">_xlfn.LET(
_xlpm.rango, INDIRECT("S!$C$" &amp; $BA$8 &amp; ":$DR$" &amp; $BA$9),
_xlpm.col, Q$72+$D77*10,
INDEX(_xlpm.rango,$BA$4-3,_xlpm.col) +
INDEX(_xlpm.rango,$BA$4-2,_xlpm.col) +
INDEX(_xlpm.rango,$BA$4-1,_xlpm.col) +
INDEX(_xlpm.rango,$BA$4, _xlpm.col)
)</f>
        <v>#VALUE!</v>
      </c>
      <c r="R78" s="95" t="e" cm="1" vm="1">
        <f t="array" aca="1" ref="R78" ca="1">_xlfn.LET(
_xlpm.rango, INDIRECT("S!$C$" &amp; $BA$8 &amp; ":$DR$" &amp; $BA$9),
_xlpm.col, R$72+$D77*10,
INDEX(_xlpm.rango,$BA$4-3,_xlpm.col) +
INDEX(_xlpm.rango,$BA$4-2,_xlpm.col) +
INDEX(_xlpm.rango,$BA$4-1,_xlpm.col) +
INDEX(_xlpm.rango,$BA$4, _xlpm.col)
)</f>
        <v>#VALUE!</v>
      </c>
      <c r="S78" s="95" t="e" cm="1" vm="1">
        <f t="array" aca="1" ref="S78" ca="1">_xlfn.LET(
_xlpm.rango, INDIRECT("S!$C$" &amp; $BA$8 &amp; ":$DR$" &amp; $BA$9),
_xlpm.col, S$72+$D77*10,
INDEX(_xlpm.rango,$BA$4-3,_xlpm.col) +
INDEX(_xlpm.rango,$BA$4-2,_xlpm.col) +
INDEX(_xlpm.rango,$BA$4-1,_xlpm.col) +
INDEX(_xlpm.rango,$BA$4, _xlpm.col)
)</f>
        <v>#VALUE!</v>
      </c>
      <c r="T78" s="95" t="e" cm="1" vm="1">
        <f t="array" aca="1" ref="T78" ca="1">_xlfn.LET(
_xlpm.rango, INDIRECT("S!$C$" &amp; $BA$8 &amp; ":$DR$" &amp; $BA$9),
_xlpm.col, T$72+$D77*10,
INDEX(_xlpm.rango,$BA$4-3,_xlpm.col) +
INDEX(_xlpm.rango,$BA$4-2,_xlpm.col) +
INDEX(_xlpm.rango,$BA$4-1,_xlpm.col) +
INDEX(_xlpm.rango,$BA$4, _xlpm.col)
)</f>
        <v>#VALUE!</v>
      </c>
      <c r="U78" s="95" t="e" cm="1" vm="1">
        <f t="array" aca="1" ref="U78" ca="1">_xlfn.LET(
_xlpm.rango, INDIRECT("S!$C$" &amp; $BA$8 &amp; ":$DR$" &amp; $BA$9),
_xlpm.col, U$72+$D77*10,
INDEX(_xlpm.rango,$BA$4-3,_xlpm.col) +
INDEX(_xlpm.rango,$BA$4-2,_xlpm.col) +
INDEX(_xlpm.rango,$BA$4-1,_xlpm.col) +
INDEX(_xlpm.rango,$BA$4, _xlpm.col)
)</f>
        <v>#VALUE!</v>
      </c>
      <c r="V78" s="95" t="e" cm="1" vm="1">
        <f t="array" aca="1" ref="V78" ca="1">_xlfn.LET(
_xlpm.rango, INDIRECT("S!$C$" &amp; $BA$8 &amp; ":$DR$" &amp; $BA$9),
_xlpm.col, V$72+$D77*10,
INDEX(_xlpm.rango,$BA$4-3,_xlpm.col) +
INDEX(_xlpm.rango,$BA$4-2,_xlpm.col) +
INDEX(_xlpm.rango,$BA$4-1,_xlpm.col) +
INDEX(_xlpm.rango,$BA$4, _xlpm.col)
)</f>
        <v>#VALUE!</v>
      </c>
      <c r="W78" s="95" t="e" cm="1" vm="1">
        <f t="array" aca="1" ref="W78" ca="1">_xlfn.LET(
_xlpm.rango, INDIRECT("S!$C$" &amp; $BA$8 &amp; ":$DR$" &amp; $BA$9),
_xlpm.col, W$72+$D77*10,
INDEX(_xlpm.rango,$BA$4-3,_xlpm.col) +
INDEX(_xlpm.rango,$BA$4-2,_xlpm.col) +
INDEX(_xlpm.rango,$BA$4-1,_xlpm.col) +
INDEX(_xlpm.rango,$BA$4, _xlpm.col)
)</f>
        <v>#VALUE!</v>
      </c>
      <c r="X78" s="95" t="e" cm="1" vm="1">
        <f t="array" aca="1" ref="X78" ca="1">_xlfn.LET(
_xlpm.rango, INDIRECT("S!$C$" &amp; $BA$8 &amp; ":$DR$" &amp; $BA$9),
_xlpm.col, X$72+$D77*10,
INDEX(_xlpm.rango,$BA$4-3,_xlpm.col) +
INDEX(_xlpm.rango,$BA$4-2,_xlpm.col) +
INDEX(_xlpm.rango,$BA$4-1,_xlpm.col) +
INDEX(_xlpm.rango,$BA$4, _xlpm.col)
)</f>
        <v>#VALUE!</v>
      </c>
      <c r="Y78" s="95" t="e" cm="1" vm="1">
        <f t="array" aca="1" ref="Y78" ca="1">_xlfn.LET(
_xlpm.rango, INDIRECT("S!$C$" &amp; $BA$8 &amp; ":$DR$" &amp; $BA$9),
_xlpm.col, Y$72+$D77*10,
INDEX(_xlpm.rango,$BA$4-3,_xlpm.col) +
INDEX(_xlpm.rango,$BA$4-2,_xlpm.col) +
INDEX(_xlpm.rango,$BA$4-1,_xlpm.col) +
INDEX(_xlpm.rango,$BA$4, _xlpm.col)
)</f>
        <v>#VALUE!</v>
      </c>
      <c r="Z78" s="100" t="e" cm="1" vm="1">
        <f t="array" aca="1" ref="Z78" ca="1">_xlfn.LET(
_xlpm.rango, INDIRECT("E!$C$" &amp; $BA$8 &amp; ":$DR$" &amp; $BA$9),
_xlpm.col, Z$72+$D77*10,
INDEX(_xlpm.rango,$BA$4-3,_xlpm.col) +
INDEX(_xlpm.rango,$BA$4-2,_xlpm.col) +
INDEX(_xlpm.rango,$BA$4-1,_xlpm.col) +
INDEX(_xlpm.rango,$BA$4, _xlpm.col)
)</f>
        <v>#VALUE!</v>
      </c>
      <c r="AA78" s="95" t="e" cm="1" vm="1">
        <f t="array" aca="1" ref="AA78" ca="1">_xlfn.LET(
_xlpm.rango, INDIRECT("E!$C$" &amp; $BA$8 &amp; ":$DR$" &amp; $BA$9),
_xlpm.col, AA$72+$D77*10,
INDEX(_xlpm.rango,$BA$4-3,_xlpm.col) +
INDEX(_xlpm.rango,$BA$4-2,_xlpm.col) +
INDEX(_xlpm.rango,$BA$4-1,_xlpm.col) +
INDEX(_xlpm.rango,$BA$4, _xlpm.col)
)</f>
        <v>#VALUE!</v>
      </c>
      <c r="AB78" s="95" t="e" cm="1" vm="1">
        <f t="array" aca="1" ref="AB78" ca="1">_xlfn.LET(
_xlpm.rango, INDIRECT("E!$C$" &amp; $BA$8 &amp; ":$DR$" &amp; $BA$9),
_xlpm.col, AB$72+$D77*10,
INDEX(_xlpm.rango,$BA$4-3,_xlpm.col) +
INDEX(_xlpm.rango,$BA$4-2,_xlpm.col) +
INDEX(_xlpm.rango,$BA$4-1,_xlpm.col) +
INDEX(_xlpm.rango,$BA$4, _xlpm.col)
)</f>
        <v>#VALUE!</v>
      </c>
      <c r="AC78" s="95" t="e" cm="1" vm="1">
        <f t="array" aca="1" ref="AC78" ca="1">_xlfn.LET(
_xlpm.rango, INDIRECT("E!$C$" &amp; $BA$8 &amp; ":$DR$" &amp; $BA$9),
_xlpm.col, AC$72+$D77*10,
INDEX(_xlpm.rango,$BA$4-3,_xlpm.col) +
INDEX(_xlpm.rango,$BA$4-2,_xlpm.col) +
INDEX(_xlpm.rango,$BA$4-1,_xlpm.col) +
INDEX(_xlpm.rango,$BA$4, _xlpm.col)
)</f>
        <v>#VALUE!</v>
      </c>
      <c r="AD78" s="95" t="e" cm="1" vm="1">
        <f t="array" aca="1" ref="AD78" ca="1">_xlfn.LET(
_xlpm.rango, INDIRECT("E!$C$" &amp; $BA$8 &amp; ":$DR$" &amp; $BA$9),
_xlpm.col, AD$72+$D77*10,
INDEX(_xlpm.rango,$BA$4-3,_xlpm.col) +
INDEX(_xlpm.rango,$BA$4-2,_xlpm.col) +
INDEX(_xlpm.rango,$BA$4-1,_xlpm.col) +
INDEX(_xlpm.rango,$BA$4, _xlpm.col)
)</f>
        <v>#VALUE!</v>
      </c>
      <c r="AE78" s="95" t="e" cm="1" vm="1">
        <f t="array" aca="1" ref="AE78" ca="1">_xlfn.LET(
_xlpm.rango, INDIRECT("E!$C$" &amp; $BA$8 &amp; ":$DR$" &amp; $BA$9),
_xlpm.col, AE$72+$D77*10,
INDEX(_xlpm.rango,$BA$4-3,_xlpm.col) +
INDEX(_xlpm.rango,$BA$4-2,_xlpm.col) +
INDEX(_xlpm.rango,$BA$4-1,_xlpm.col) +
INDEX(_xlpm.rango,$BA$4, _xlpm.col)
)</f>
        <v>#VALUE!</v>
      </c>
      <c r="AF78" s="95" t="e" cm="1" vm="1">
        <f t="array" aca="1" ref="AF78" ca="1">_xlfn.LET(
_xlpm.rango, INDIRECT("E!$C$" &amp; $BA$8 &amp; ":$DR$" &amp; $BA$9),
_xlpm.col, AF$72+$D77*10,
INDEX(_xlpm.rango,$BA$4-3,_xlpm.col) +
INDEX(_xlpm.rango,$BA$4-2,_xlpm.col) +
INDEX(_xlpm.rango,$BA$4-1,_xlpm.col) +
INDEX(_xlpm.rango,$BA$4, _xlpm.col)
)</f>
        <v>#VALUE!</v>
      </c>
      <c r="AG78" s="95" t="e" cm="1" vm="1">
        <f t="array" aca="1" ref="AG78" ca="1">_xlfn.LET(
_xlpm.rango, INDIRECT("E!$C$" &amp; $BA$8 &amp; ":$DR$" &amp; $BA$9),
_xlpm.col, AG$72+$D77*10,
INDEX(_xlpm.rango,$BA$4-3,_xlpm.col) +
INDEX(_xlpm.rango,$BA$4-2,_xlpm.col) +
INDEX(_xlpm.rango,$BA$4-1,_xlpm.col) +
INDEX(_xlpm.rango,$BA$4, _xlpm.col)
)</f>
        <v>#VALUE!</v>
      </c>
      <c r="AH78" s="95" t="e" cm="1" vm="1">
        <f t="array" aca="1" ref="AH78" ca="1">_xlfn.LET(
_xlpm.rango, INDIRECT("E!$C$" &amp; $BA$8 &amp; ":$DR$" &amp; $BA$9),
_xlpm.col, AH$72+$D77*10,
INDEX(_xlpm.rango,$BA$4-3,_xlpm.col) +
INDEX(_xlpm.rango,$BA$4-2,_xlpm.col) +
INDEX(_xlpm.rango,$BA$4-1,_xlpm.col) +
INDEX(_xlpm.rango,$BA$4, _xlpm.col)
)</f>
        <v>#VALUE!</v>
      </c>
      <c r="AI78" s="96" t="e" cm="1" vm="1">
        <f t="array" aca="1" ref="AI78" ca="1">_xlfn.LET(
_xlpm.rango, INDIRECT("E!$C$" &amp; $BA$8 &amp; ":$DR$" &amp; $BA$9),
_xlpm.col, AI$72+$D77*10,
INDEX(_xlpm.rango,$BA$4-3,_xlpm.col) +
INDEX(_xlpm.rango,$BA$4-2,_xlpm.col) +
INDEX(_xlpm.rango,$BA$4-1,_xlpm.col) +
INDEX(_xlpm.rango,$BA$4, _xlpm.col)
)</f>
        <v>#VALUE!</v>
      </c>
      <c r="AJ78" s="95" t="e" cm="1" vm="1">
        <f t="array" aca="1" ref="AJ78" ca="1">_xlfn.LET(
_xlpm.rango, INDIRECT("E!$C$" &amp; $BA$8 &amp; ":$DR$" &amp; $BA$9),
_xlpm.col, AJ$72+$D77*10,
INDEX(_xlpm.rango,$BA$4-3,_xlpm.col) +
INDEX(_xlpm.rango,$BA$4-2,_xlpm.col) +
INDEX(_xlpm.rango,$BA$4-1,_xlpm.col) +
INDEX(_xlpm.rango,$BA$4, _xlpm.col)
)</f>
        <v>#VALUE!</v>
      </c>
      <c r="AK78" s="95" t="e" cm="1" vm="1">
        <f t="array" aca="1" ref="AK78" ca="1">_xlfn.LET(
_xlpm.rango, INDIRECT("E!$C$" &amp; $BA$8 &amp; ":$DR$" &amp; $BA$9),
_xlpm.col, AK$72+$D77*10,
INDEX(_xlpm.rango,$BA$4-3,_xlpm.col) +
INDEX(_xlpm.rango,$BA$4-2,_xlpm.col) +
INDEX(_xlpm.rango,$BA$4-1,_xlpm.col) +
INDEX(_xlpm.rango,$BA$4, _xlpm.col)
)</f>
        <v>#VALUE!</v>
      </c>
      <c r="AL78" s="95" t="e" cm="1" vm="1">
        <f t="array" aca="1" ref="AL78" ca="1">_xlfn.LET(
_xlpm.rango, INDIRECT("E!$C$" &amp; $BA$8 &amp; ":$DR$" &amp; $BA$9),
_xlpm.col, AL$72+$D77*10,
INDEX(_xlpm.rango,$BA$4-3,_xlpm.col) +
INDEX(_xlpm.rango,$BA$4-2,_xlpm.col) +
INDEX(_xlpm.rango,$BA$4-1,_xlpm.col) +
INDEX(_xlpm.rango,$BA$4, _xlpm.col)
)</f>
        <v>#VALUE!</v>
      </c>
      <c r="AM78" s="95" t="e" cm="1" vm="1">
        <f t="array" aca="1" ref="AM78" ca="1">_xlfn.LET(
_xlpm.rango, INDIRECT("E!$C$" &amp; $BA$8 &amp; ":$DR$" &amp; $BA$9),
_xlpm.col, AM$72+$D77*10,
INDEX(_xlpm.rango,$BA$4-3,_xlpm.col) +
INDEX(_xlpm.rango,$BA$4-2,_xlpm.col) +
INDEX(_xlpm.rango,$BA$4-1,_xlpm.col) +
INDEX(_xlpm.rango,$BA$4, _xlpm.col)
)</f>
        <v>#VALUE!</v>
      </c>
      <c r="AN78" s="95" t="e" cm="1" vm="1">
        <f t="array" aca="1" ref="AN78" ca="1">_xlfn.LET(
_xlpm.rango, INDIRECT("E!$C$" &amp; $BA$8 &amp; ":$DR$" &amp; $BA$9),
_xlpm.col, AN$72+$D77*10,
INDEX(_xlpm.rango,$BA$4-3,_xlpm.col) +
INDEX(_xlpm.rango,$BA$4-2,_xlpm.col) +
INDEX(_xlpm.rango,$BA$4-1,_xlpm.col) +
INDEX(_xlpm.rango,$BA$4, _xlpm.col)
)</f>
        <v>#VALUE!</v>
      </c>
      <c r="AO78" s="95" t="e" cm="1" vm="1">
        <f t="array" aca="1" ref="AO78" ca="1">_xlfn.LET(
_xlpm.rango, INDIRECT("E!$C$" &amp; $BA$8 &amp; ":$DR$" &amp; $BA$9),
_xlpm.col, AO$72+$D77*10,
INDEX(_xlpm.rango,$BA$4-3,_xlpm.col) +
INDEX(_xlpm.rango,$BA$4-2,_xlpm.col) +
INDEX(_xlpm.rango,$BA$4-1,_xlpm.col) +
INDEX(_xlpm.rango,$BA$4, _xlpm.col)
)</f>
        <v>#VALUE!</v>
      </c>
      <c r="AP78" s="95" t="e" cm="1" vm="1">
        <f t="array" aca="1" ref="AP78" ca="1">_xlfn.LET(
_xlpm.rango, INDIRECT("E!$C$" &amp; $BA$8 &amp; ":$DR$" &amp; $BA$9),
_xlpm.col, AP$72+$D77*10,
INDEX(_xlpm.rango,$BA$4-3,_xlpm.col) +
INDEX(_xlpm.rango,$BA$4-2,_xlpm.col) +
INDEX(_xlpm.rango,$BA$4-1,_xlpm.col) +
INDEX(_xlpm.rango,$BA$4, _xlpm.col)
)</f>
        <v>#VALUE!</v>
      </c>
      <c r="AQ78" s="95" t="e" cm="1" vm="1">
        <f t="array" aca="1" ref="AQ78" ca="1">_xlfn.LET(
_xlpm.rango, INDIRECT("E!$C$" &amp; $BA$8 &amp; ":$DR$" &amp; $BA$9),
_xlpm.col, AQ$72+$D77*10,
INDEX(_xlpm.rango,$BA$4-3,_xlpm.col) +
INDEX(_xlpm.rango,$BA$4-2,_xlpm.col) +
INDEX(_xlpm.rango,$BA$4-1,_xlpm.col) +
INDEX(_xlpm.rango,$BA$4, _xlpm.col)
)</f>
        <v>#VALUE!</v>
      </c>
      <c r="AR78" s="95" t="e" cm="1" vm="1">
        <f t="array" aca="1" ref="AR78" ca="1">_xlfn.LET(
_xlpm.rango, INDIRECT("E!$C$" &amp; $BA$8 &amp; ":$DR$" &amp; $BA$9),
_xlpm.col, AR$72+$D77*10,
INDEX(_xlpm.rango,$BA$4-3,_xlpm.col) +
INDEX(_xlpm.rango,$BA$4-2,_xlpm.col) +
INDEX(_xlpm.rango,$BA$4-1,_xlpm.col) +
INDEX(_xlpm.rango,$BA$4, _xlpm.col)
)</f>
        <v>#VALUE!</v>
      </c>
      <c r="AS78" s="112" t="e" cm="1" vm="1">
        <f t="array" aca="1" ref="AS78" ca="1">_xlfn.LET(
_xlpm.rango, INDIRECT("E!$C$" &amp; $BA$8 &amp; ":$DR$" &amp; $BA$9),
_xlpm.col, AS$72+$D77*10,
INDEX(_xlpm.rango,$BA$4-3,_xlpm.col) +
INDEX(_xlpm.rango,$BA$4-2,_xlpm.col) +
INDEX(_xlpm.rango,$BA$4-1,_xlpm.col) +
INDEX(_xlpm.rango,$BA$4, _xlpm.col)
)</f>
        <v>#VALUE!</v>
      </c>
      <c r="AT78" s="118" t="e" vm="2">
        <f t="shared" ca="1" si="0"/>
        <v>#VALUE!</v>
      </c>
      <c r="AU78" s="120" t="e" vm="2">
        <f t="shared" ca="1" si="1"/>
        <v>#VALUE!</v>
      </c>
    </row>
    <row r="79" spans="4:47" x14ac:dyDescent="0.25">
      <c r="D79">
        <v>4</v>
      </c>
      <c r="E79" s="106" t="str">
        <f>Inicio!V7</f>
        <v>Camion</v>
      </c>
      <c r="F79" s="100" t="e" cm="1" vm="1">
        <f t="array" aca="1" ref="F79" ca="1">_xlfn.LET(
_xlpm.rango, INDIRECT("N!$C$" &amp; $BA$8 &amp; ":$DR$" &amp; $BA$9),
_xlpm.col, F$72+$D78*10,
INDEX(_xlpm.rango,$BA$4-3,_xlpm.col) +
INDEX(_xlpm.rango,$BA$4-2,_xlpm.col) +
INDEX(_xlpm.rango,$BA$4-1,_xlpm.col) +
INDEX(_xlpm.rango,$BA$4, _xlpm.col)
)</f>
        <v>#VALUE!</v>
      </c>
      <c r="G79" s="95" t="e" cm="1" vm="1">
        <f t="array" aca="1" ref="G79" ca="1">_xlfn.LET(
_xlpm.rango, INDIRECT("N!$C$" &amp; $BA$8 &amp; ":$DR$" &amp; $BA$9),
_xlpm.col, G$72+$D78*10,
INDEX(_xlpm.rango,$BA$4-3,_xlpm.col) +
INDEX(_xlpm.rango,$BA$4-2,_xlpm.col) +
INDEX(_xlpm.rango,$BA$4-1,_xlpm.col) +
INDEX(_xlpm.rango,$BA$4, _xlpm.col)
)</f>
        <v>#VALUE!</v>
      </c>
      <c r="H79" s="95" t="e" cm="1" vm="1">
        <f t="array" aca="1" ref="H79" ca="1">_xlfn.LET(
_xlpm.rango, INDIRECT("N!$C$" &amp; $BA$8 &amp; ":$DR$" &amp; $BA$9),
_xlpm.col, H$72+$D78*10,
INDEX(_xlpm.rango,$BA$4-3,_xlpm.col) +
INDEX(_xlpm.rango,$BA$4-2,_xlpm.col) +
INDEX(_xlpm.rango,$BA$4-1,_xlpm.col) +
INDEX(_xlpm.rango,$BA$4, _xlpm.col)
)</f>
        <v>#VALUE!</v>
      </c>
      <c r="I79" s="95" t="e" cm="1" vm="1">
        <f t="array" aca="1" ref="I79" ca="1">_xlfn.LET(
_xlpm.rango, INDIRECT("N!$C$" &amp; $BA$8 &amp; ":$DR$" &amp; $BA$9),
_xlpm.col, I$72+$D78*10,
INDEX(_xlpm.rango,$BA$4-3,_xlpm.col) +
INDEX(_xlpm.rango,$BA$4-2,_xlpm.col) +
INDEX(_xlpm.rango,$BA$4-1,_xlpm.col) +
INDEX(_xlpm.rango,$BA$4, _xlpm.col)
)</f>
        <v>#VALUE!</v>
      </c>
      <c r="J79" s="95" t="e" cm="1" vm="1">
        <f t="array" aca="1" ref="J79" ca="1">_xlfn.LET(
_xlpm.rango, INDIRECT("N!$C$" &amp; $BA$8 &amp; ":$DR$" &amp; $BA$9),
_xlpm.col, J$72+$D78*10,
INDEX(_xlpm.rango,$BA$4-3,_xlpm.col) +
INDEX(_xlpm.rango,$BA$4-2,_xlpm.col) +
INDEX(_xlpm.rango,$BA$4-1,_xlpm.col) +
INDEX(_xlpm.rango,$BA$4, _xlpm.col)
)</f>
        <v>#VALUE!</v>
      </c>
      <c r="K79" s="95" t="e" cm="1" vm="1">
        <f t="array" aca="1" ref="K79" ca="1">_xlfn.LET(
_xlpm.rango, INDIRECT("N!$C$" &amp; $BA$8 &amp; ":$DR$" &amp; $BA$9),
_xlpm.col, K$72+$D78*10,
INDEX(_xlpm.rango,$BA$4-3,_xlpm.col) +
INDEX(_xlpm.rango,$BA$4-2,_xlpm.col) +
INDEX(_xlpm.rango,$BA$4-1,_xlpm.col) +
INDEX(_xlpm.rango,$BA$4, _xlpm.col)
)</f>
        <v>#VALUE!</v>
      </c>
      <c r="L79" s="95" t="e" cm="1" vm="1">
        <f t="array" aca="1" ref="L79" ca="1">_xlfn.LET(
_xlpm.rango, INDIRECT("N!$C$" &amp; $BA$8 &amp; ":$DR$" &amp; $BA$9),
_xlpm.col, L$72+$D78*10,
INDEX(_xlpm.rango,$BA$4-3,_xlpm.col) +
INDEX(_xlpm.rango,$BA$4-2,_xlpm.col) +
INDEX(_xlpm.rango,$BA$4-1,_xlpm.col) +
INDEX(_xlpm.rango,$BA$4, _xlpm.col)
)</f>
        <v>#VALUE!</v>
      </c>
      <c r="M79" s="95" t="e" cm="1" vm="1">
        <f t="array" aca="1" ref="M79" ca="1">_xlfn.LET(
_xlpm.rango, INDIRECT("N!$C$" &amp; $BA$8 &amp; ":$DR$" &amp; $BA$9),
_xlpm.col, M$72+$D78*10,
INDEX(_xlpm.rango,$BA$4-3,_xlpm.col) +
INDEX(_xlpm.rango,$BA$4-2,_xlpm.col) +
INDEX(_xlpm.rango,$BA$4-1,_xlpm.col) +
INDEX(_xlpm.rango,$BA$4, _xlpm.col)
)</f>
        <v>#VALUE!</v>
      </c>
      <c r="N79" s="95" t="e" cm="1" vm="1">
        <f t="array" aca="1" ref="N79" ca="1">_xlfn.LET(
_xlpm.rango, INDIRECT("N!$C$" &amp; $BA$8 &amp; ":$DR$" &amp; $BA$9),
_xlpm.col, N$72+$D78*10,
INDEX(_xlpm.rango,$BA$4-3,_xlpm.col) +
INDEX(_xlpm.rango,$BA$4-2,_xlpm.col) +
INDEX(_xlpm.rango,$BA$4-1,_xlpm.col) +
INDEX(_xlpm.rango,$BA$4, _xlpm.col)
)</f>
        <v>#VALUE!</v>
      </c>
      <c r="O79" s="96" t="e" cm="1" vm="1">
        <f t="array" aca="1" ref="O79" ca="1">_xlfn.LET(
_xlpm.rango, INDIRECT("N!$C$" &amp; $BA$8 &amp; ":$DR$" &amp; $BA$9),
_xlpm.col, O$72+$D78*10,
INDEX(_xlpm.rango,$BA$4-3,_xlpm.col) +
INDEX(_xlpm.rango,$BA$4-2,_xlpm.col) +
INDEX(_xlpm.rango,$BA$4-1,_xlpm.col) +
INDEX(_xlpm.rango,$BA$4, _xlpm.col)
)</f>
        <v>#VALUE!</v>
      </c>
      <c r="P79" s="95" t="e" cm="1" vm="1">
        <f t="array" aca="1" ref="P79" ca="1">_xlfn.LET(
_xlpm.rango, INDIRECT("S!$C$" &amp; $BA$8 &amp; ":$DR$" &amp; $BA$9),
_xlpm.col, P$72+$D78*10,
INDEX(_xlpm.rango,$BA$4-3,_xlpm.col) +
INDEX(_xlpm.rango,$BA$4-2,_xlpm.col) +
INDEX(_xlpm.rango,$BA$4-1,_xlpm.col) +
INDEX(_xlpm.rango,$BA$4, _xlpm.col)
)</f>
        <v>#VALUE!</v>
      </c>
      <c r="Q79" s="95" t="e" cm="1" vm="1">
        <f t="array" aca="1" ref="Q79" ca="1">_xlfn.LET(
_xlpm.rango, INDIRECT("S!$C$" &amp; $BA$8 &amp; ":$DR$" &amp; $BA$9),
_xlpm.col, Q$72+$D78*10,
INDEX(_xlpm.rango,$BA$4-3,_xlpm.col) +
INDEX(_xlpm.rango,$BA$4-2,_xlpm.col) +
INDEX(_xlpm.rango,$BA$4-1,_xlpm.col) +
INDEX(_xlpm.rango,$BA$4, _xlpm.col)
)</f>
        <v>#VALUE!</v>
      </c>
      <c r="R79" s="95" t="e" cm="1" vm="1">
        <f t="array" aca="1" ref="R79" ca="1">_xlfn.LET(
_xlpm.rango, INDIRECT("S!$C$" &amp; $BA$8 &amp; ":$DR$" &amp; $BA$9),
_xlpm.col, R$72+$D78*10,
INDEX(_xlpm.rango,$BA$4-3,_xlpm.col) +
INDEX(_xlpm.rango,$BA$4-2,_xlpm.col) +
INDEX(_xlpm.rango,$BA$4-1,_xlpm.col) +
INDEX(_xlpm.rango,$BA$4, _xlpm.col)
)</f>
        <v>#VALUE!</v>
      </c>
      <c r="S79" s="95" t="e" cm="1" vm="1">
        <f t="array" aca="1" ref="S79" ca="1">_xlfn.LET(
_xlpm.rango, INDIRECT("S!$C$" &amp; $BA$8 &amp; ":$DR$" &amp; $BA$9),
_xlpm.col, S$72+$D78*10,
INDEX(_xlpm.rango,$BA$4-3,_xlpm.col) +
INDEX(_xlpm.rango,$BA$4-2,_xlpm.col) +
INDEX(_xlpm.rango,$BA$4-1,_xlpm.col) +
INDEX(_xlpm.rango,$BA$4, _xlpm.col)
)</f>
        <v>#VALUE!</v>
      </c>
      <c r="T79" s="95" t="e" cm="1" vm="1">
        <f t="array" aca="1" ref="T79" ca="1">_xlfn.LET(
_xlpm.rango, INDIRECT("S!$C$" &amp; $BA$8 &amp; ":$DR$" &amp; $BA$9),
_xlpm.col, T$72+$D78*10,
INDEX(_xlpm.rango,$BA$4-3,_xlpm.col) +
INDEX(_xlpm.rango,$BA$4-2,_xlpm.col) +
INDEX(_xlpm.rango,$BA$4-1,_xlpm.col) +
INDEX(_xlpm.rango,$BA$4, _xlpm.col)
)</f>
        <v>#VALUE!</v>
      </c>
      <c r="U79" s="95" t="e" cm="1" vm="1">
        <f t="array" aca="1" ref="U79" ca="1">_xlfn.LET(
_xlpm.rango, INDIRECT("S!$C$" &amp; $BA$8 &amp; ":$DR$" &amp; $BA$9),
_xlpm.col, U$72+$D78*10,
INDEX(_xlpm.rango,$BA$4-3,_xlpm.col) +
INDEX(_xlpm.rango,$BA$4-2,_xlpm.col) +
INDEX(_xlpm.rango,$BA$4-1,_xlpm.col) +
INDEX(_xlpm.rango,$BA$4, _xlpm.col)
)</f>
        <v>#VALUE!</v>
      </c>
      <c r="V79" s="95" t="e" cm="1" vm="1">
        <f t="array" aca="1" ref="V79" ca="1">_xlfn.LET(
_xlpm.rango, INDIRECT("S!$C$" &amp; $BA$8 &amp; ":$DR$" &amp; $BA$9),
_xlpm.col, V$72+$D78*10,
INDEX(_xlpm.rango,$BA$4-3,_xlpm.col) +
INDEX(_xlpm.rango,$BA$4-2,_xlpm.col) +
INDEX(_xlpm.rango,$BA$4-1,_xlpm.col) +
INDEX(_xlpm.rango,$BA$4, _xlpm.col)
)</f>
        <v>#VALUE!</v>
      </c>
      <c r="W79" s="95" t="e" cm="1" vm="1">
        <f t="array" aca="1" ref="W79" ca="1">_xlfn.LET(
_xlpm.rango, INDIRECT("S!$C$" &amp; $BA$8 &amp; ":$DR$" &amp; $BA$9),
_xlpm.col, W$72+$D78*10,
INDEX(_xlpm.rango,$BA$4-3,_xlpm.col) +
INDEX(_xlpm.rango,$BA$4-2,_xlpm.col) +
INDEX(_xlpm.rango,$BA$4-1,_xlpm.col) +
INDEX(_xlpm.rango,$BA$4, _xlpm.col)
)</f>
        <v>#VALUE!</v>
      </c>
      <c r="X79" s="95" t="e" cm="1" vm="1">
        <f t="array" aca="1" ref="X79" ca="1">_xlfn.LET(
_xlpm.rango, INDIRECT("S!$C$" &amp; $BA$8 &amp; ":$DR$" &amp; $BA$9),
_xlpm.col, X$72+$D78*10,
INDEX(_xlpm.rango,$BA$4-3,_xlpm.col) +
INDEX(_xlpm.rango,$BA$4-2,_xlpm.col) +
INDEX(_xlpm.rango,$BA$4-1,_xlpm.col) +
INDEX(_xlpm.rango,$BA$4, _xlpm.col)
)</f>
        <v>#VALUE!</v>
      </c>
      <c r="Y79" s="95" t="e" cm="1" vm="1">
        <f t="array" aca="1" ref="Y79" ca="1">_xlfn.LET(
_xlpm.rango, INDIRECT("S!$C$" &amp; $BA$8 &amp; ":$DR$" &amp; $BA$9),
_xlpm.col, Y$72+$D78*10,
INDEX(_xlpm.rango,$BA$4-3,_xlpm.col) +
INDEX(_xlpm.rango,$BA$4-2,_xlpm.col) +
INDEX(_xlpm.rango,$BA$4-1,_xlpm.col) +
INDEX(_xlpm.rango,$BA$4, _xlpm.col)
)</f>
        <v>#VALUE!</v>
      </c>
      <c r="Z79" s="100" t="e" cm="1" vm="1">
        <f t="array" aca="1" ref="Z79" ca="1">_xlfn.LET(
_xlpm.rango, INDIRECT("E!$C$" &amp; $BA$8 &amp; ":$DR$" &amp; $BA$9),
_xlpm.col, Z$72+$D78*10,
INDEX(_xlpm.rango,$BA$4-3,_xlpm.col) +
INDEX(_xlpm.rango,$BA$4-2,_xlpm.col) +
INDEX(_xlpm.rango,$BA$4-1,_xlpm.col) +
INDEX(_xlpm.rango,$BA$4, _xlpm.col)
)</f>
        <v>#VALUE!</v>
      </c>
      <c r="AA79" s="95" t="e" cm="1" vm="1">
        <f t="array" aca="1" ref="AA79" ca="1">_xlfn.LET(
_xlpm.rango, INDIRECT("E!$C$" &amp; $BA$8 &amp; ":$DR$" &amp; $BA$9),
_xlpm.col, AA$72+$D78*10,
INDEX(_xlpm.rango,$BA$4-3,_xlpm.col) +
INDEX(_xlpm.rango,$BA$4-2,_xlpm.col) +
INDEX(_xlpm.rango,$BA$4-1,_xlpm.col) +
INDEX(_xlpm.rango,$BA$4, _xlpm.col)
)</f>
        <v>#VALUE!</v>
      </c>
      <c r="AB79" s="95" t="e" cm="1" vm="1">
        <f t="array" aca="1" ref="AB79" ca="1">_xlfn.LET(
_xlpm.rango, INDIRECT("E!$C$" &amp; $BA$8 &amp; ":$DR$" &amp; $BA$9),
_xlpm.col, AB$72+$D78*10,
INDEX(_xlpm.rango,$BA$4-3,_xlpm.col) +
INDEX(_xlpm.rango,$BA$4-2,_xlpm.col) +
INDEX(_xlpm.rango,$BA$4-1,_xlpm.col) +
INDEX(_xlpm.rango,$BA$4, _xlpm.col)
)</f>
        <v>#VALUE!</v>
      </c>
      <c r="AC79" s="95" t="e" cm="1" vm="1">
        <f t="array" aca="1" ref="AC79" ca="1">_xlfn.LET(
_xlpm.rango, INDIRECT("E!$C$" &amp; $BA$8 &amp; ":$DR$" &amp; $BA$9),
_xlpm.col, AC$72+$D78*10,
INDEX(_xlpm.rango,$BA$4-3,_xlpm.col) +
INDEX(_xlpm.rango,$BA$4-2,_xlpm.col) +
INDEX(_xlpm.rango,$BA$4-1,_xlpm.col) +
INDEX(_xlpm.rango,$BA$4, _xlpm.col)
)</f>
        <v>#VALUE!</v>
      </c>
      <c r="AD79" s="95" t="e" cm="1" vm="1">
        <f t="array" aca="1" ref="AD79" ca="1">_xlfn.LET(
_xlpm.rango, INDIRECT("E!$C$" &amp; $BA$8 &amp; ":$DR$" &amp; $BA$9),
_xlpm.col, AD$72+$D78*10,
INDEX(_xlpm.rango,$BA$4-3,_xlpm.col) +
INDEX(_xlpm.rango,$BA$4-2,_xlpm.col) +
INDEX(_xlpm.rango,$BA$4-1,_xlpm.col) +
INDEX(_xlpm.rango,$BA$4, _xlpm.col)
)</f>
        <v>#VALUE!</v>
      </c>
      <c r="AE79" s="95" t="e" cm="1" vm="1">
        <f t="array" aca="1" ref="AE79" ca="1">_xlfn.LET(
_xlpm.rango, INDIRECT("E!$C$" &amp; $BA$8 &amp; ":$DR$" &amp; $BA$9),
_xlpm.col, AE$72+$D78*10,
INDEX(_xlpm.rango,$BA$4-3,_xlpm.col) +
INDEX(_xlpm.rango,$BA$4-2,_xlpm.col) +
INDEX(_xlpm.rango,$BA$4-1,_xlpm.col) +
INDEX(_xlpm.rango,$BA$4, _xlpm.col)
)</f>
        <v>#VALUE!</v>
      </c>
      <c r="AF79" s="95" t="e" cm="1" vm="1">
        <f t="array" aca="1" ref="AF79" ca="1">_xlfn.LET(
_xlpm.rango, INDIRECT("E!$C$" &amp; $BA$8 &amp; ":$DR$" &amp; $BA$9),
_xlpm.col, AF$72+$D78*10,
INDEX(_xlpm.rango,$BA$4-3,_xlpm.col) +
INDEX(_xlpm.rango,$BA$4-2,_xlpm.col) +
INDEX(_xlpm.rango,$BA$4-1,_xlpm.col) +
INDEX(_xlpm.rango,$BA$4, _xlpm.col)
)</f>
        <v>#VALUE!</v>
      </c>
      <c r="AG79" s="95" t="e" cm="1" vm="1">
        <f t="array" aca="1" ref="AG79" ca="1">_xlfn.LET(
_xlpm.rango, INDIRECT("E!$C$" &amp; $BA$8 &amp; ":$DR$" &amp; $BA$9),
_xlpm.col, AG$72+$D78*10,
INDEX(_xlpm.rango,$BA$4-3,_xlpm.col) +
INDEX(_xlpm.rango,$BA$4-2,_xlpm.col) +
INDEX(_xlpm.rango,$BA$4-1,_xlpm.col) +
INDEX(_xlpm.rango,$BA$4, _xlpm.col)
)</f>
        <v>#VALUE!</v>
      </c>
      <c r="AH79" s="95" t="e" cm="1" vm="1">
        <f t="array" aca="1" ref="AH79" ca="1">_xlfn.LET(
_xlpm.rango, INDIRECT("E!$C$" &amp; $BA$8 &amp; ":$DR$" &amp; $BA$9),
_xlpm.col, AH$72+$D78*10,
INDEX(_xlpm.rango,$BA$4-3,_xlpm.col) +
INDEX(_xlpm.rango,$BA$4-2,_xlpm.col) +
INDEX(_xlpm.rango,$BA$4-1,_xlpm.col) +
INDEX(_xlpm.rango,$BA$4, _xlpm.col)
)</f>
        <v>#VALUE!</v>
      </c>
      <c r="AI79" s="96" t="e" cm="1" vm="1">
        <f t="array" aca="1" ref="AI79" ca="1">_xlfn.LET(
_xlpm.rango, INDIRECT("E!$C$" &amp; $BA$8 &amp; ":$DR$" &amp; $BA$9),
_xlpm.col, AI$72+$D78*10,
INDEX(_xlpm.rango,$BA$4-3,_xlpm.col) +
INDEX(_xlpm.rango,$BA$4-2,_xlpm.col) +
INDEX(_xlpm.rango,$BA$4-1,_xlpm.col) +
INDEX(_xlpm.rango,$BA$4, _xlpm.col)
)</f>
        <v>#VALUE!</v>
      </c>
      <c r="AJ79" s="95" t="e" cm="1" vm="1">
        <f t="array" aca="1" ref="AJ79" ca="1">_xlfn.LET(
_xlpm.rango, INDIRECT("E!$C$" &amp; $BA$8 &amp; ":$DR$" &amp; $BA$9),
_xlpm.col, AJ$72+$D78*10,
INDEX(_xlpm.rango,$BA$4-3,_xlpm.col) +
INDEX(_xlpm.rango,$BA$4-2,_xlpm.col) +
INDEX(_xlpm.rango,$BA$4-1,_xlpm.col) +
INDEX(_xlpm.rango,$BA$4, _xlpm.col)
)</f>
        <v>#VALUE!</v>
      </c>
      <c r="AK79" s="95" t="e" cm="1" vm="1">
        <f t="array" aca="1" ref="AK79" ca="1">_xlfn.LET(
_xlpm.rango, INDIRECT("E!$C$" &amp; $BA$8 &amp; ":$DR$" &amp; $BA$9),
_xlpm.col, AK$72+$D78*10,
INDEX(_xlpm.rango,$BA$4-3,_xlpm.col) +
INDEX(_xlpm.rango,$BA$4-2,_xlpm.col) +
INDEX(_xlpm.rango,$BA$4-1,_xlpm.col) +
INDEX(_xlpm.rango,$BA$4, _xlpm.col)
)</f>
        <v>#VALUE!</v>
      </c>
      <c r="AL79" s="95" t="e" cm="1" vm="1">
        <f t="array" aca="1" ref="AL79" ca="1">_xlfn.LET(
_xlpm.rango, INDIRECT("E!$C$" &amp; $BA$8 &amp; ":$DR$" &amp; $BA$9),
_xlpm.col, AL$72+$D78*10,
INDEX(_xlpm.rango,$BA$4-3,_xlpm.col) +
INDEX(_xlpm.rango,$BA$4-2,_xlpm.col) +
INDEX(_xlpm.rango,$BA$4-1,_xlpm.col) +
INDEX(_xlpm.rango,$BA$4, _xlpm.col)
)</f>
        <v>#VALUE!</v>
      </c>
      <c r="AM79" s="95" t="e" cm="1" vm="1">
        <f t="array" aca="1" ref="AM79" ca="1">_xlfn.LET(
_xlpm.rango, INDIRECT("E!$C$" &amp; $BA$8 &amp; ":$DR$" &amp; $BA$9),
_xlpm.col, AM$72+$D78*10,
INDEX(_xlpm.rango,$BA$4-3,_xlpm.col) +
INDEX(_xlpm.rango,$BA$4-2,_xlpm.col) +
INDEX(_xlpm.rango,$BA$4-1,_xlpm.col) +
INDEX(_xlpm.rango,$BA$4, _xlpm.col)
)</f>
        <v>#VALUE!</v>
      </c>
      <c r="AN79" s="95" t="e" cm="1" vm="1">
        <f t="array" aca="1" ref="AN79" ca="1">_xlfn.LET(
_xlpm.rango, INDIRECT("E!$C$" &amp; $BA$8 &amp; ":$DR$" &amp; $BA$9),
_xlpm.col, AN$72+$D78*10,
INDEX(_xlpm.rango,$BA$4-3,_xlpm.col) +
INDEX(_xlpm.rango,$BA$4-2,_xlpm.col) +
INDEX(_xlpm.rango,$BA$4-1,_xlpm.col) +
INDEX(_xlpm.rango,$BA$4, _xlpm.col)
)</f>
        <v>#VALUE!</v>
      </c>
      <c r="AO79" s="95" t="e" cm="1" vm="1">
        <f t="array" aca="1" ref="AO79" ca="1">_xlfn.LET(
_xlpm.rango, INDIRECT("E!$C$" &amp; $BA$8 &amp; ":$DR$" &amp; $BA$9),
_xlpm.col, AO$72+$D78*10,
INDEX(_xlpm.rango,$BA$4-3,_xlpm.col) +
INDEX(_xlpm.rango,$BA$4-2,_xlpm.col) +
INDEX(_xlpm.rango,$BA$4-1,_xlpm.col) +
INDEX(_xlpm.rango,$BA$4, _xlpm.col)
)</f>
        <v>#VALUE!</v>
      </c>
      <c r="AP79" s="95" t="e" cm="1" vm="1">
        <f t="array" aca="1" ref="AP79" ca="1">_xlfn.LET(
_xlpm.rango, INDIRECT("E!$C$" &amp; $BA$8 &amp; ":$DR$" &amp; $BA$9),
_xlpm.col, AP$72+$D78*10,
INDEX(_xlpm.rango,$BA$4-3,_xlpm.col) +
INDEX(_xlpm.rango,$BA$4-2,_xlpm.col) +
INDEX(_xlpm.rango,$BA$4-1,_xlpm.col) +
INDEX(_xlpm.rango,$BA$4, _xlpm.col)
)</f>
        <v>#VALUE!</v>
      </c>
      <c r="AQ79" s="95" t="e" cm="1" vm="1">
        <f t="array" aca="1" ref="AQ79" ca="1">_xlfn.LET(
_xlpm.rango, INDIRECT("E!$C$" &amp; $BA$8 &amp; ":$DR$" &amp; $BA$9),
_xlpm.col, AQ$72+$D78*10,
INDEX(_xlpm.rango,$BA$4-3,_xlpm.col) +
INDEX(_xlpm.rango,$BA$4-2,_xlpm.col) +
INDEX(_xlpm.rango,$BA$4-1,_xlpm.col) +
INDEX(_xlpm.rango,$BA$4, _xlpm.col)
)</f>
        <v>#VALUE!</v>
      </c>
      <c r="AR79" s="95" t="e" cm="1" vm="1">
        <f t="array" aca="1" ref="AR79" ca="1">_xlfn.LET(
_xlpm.rango, INDIRECT("E!$C$" &amp; $BA$8 &amp; ":$DR$" &amp; $BA$9),
_xlpm.col, AR$72+$D78*10,
INDEX(_xlpm.rango,$BA$4-3,_xlpm.col) +
INDEX(_xlpm.rango,$BA$4-2,_xlpm.col) +
INDEX(_xlpm.rango,$BA$4-1,_xlpm.col) +
INDEX(_xlpm.rango,$BA$4, _xlpm.col)
)</f>
        <v>#VALUE!</v>
      </c>
      <c r="AS79" s="112" t="e" cm="1" vm="1">
        <f t="array" aca="1" ref="AS79" ca="1">_xlfn.LET(
_xlpm.rango, INDIRECT("E!$C$" &amp; $BA$8 &amp; ":$DR$" &amp; $BA$9),
_xlpm.col, AS$72+$D78*10,
INDEX(_xlpm.rango,$BA$4-3,_xlpm.col) +
INDEX(_xlpm.rango,$BA$4-2,_xlpm.col) +
INDEX(_xlpm.rango,$BA$4-1,_xlpm.col) +
INDEX(_xlpm.rango,$BA$4, _xlpm.col)
)</f>
        <v>#VALUE!</v>
      </c>
      <c r="AT79" s="118" t="e" vm="2">
        <f t="shared" ca="1" si="0"/>
        <v>#VALUE!</v>
      </c>
      <c r="AU79" s="120" t="e" vm="2">
        <f t="shared" ca="1" si="1"/>
        <v>#VALUE!</v>
      </c>
    </row>
    <row r="80" spans="4:47" x14ac:dyDescent="0.25">
      <c r="D80">
        <v>5</v>
      </c>
      <c r="E80" s="106" t="str">
        <f>Inicio!V8</f>
        <v>Bicicleta</v>
      </c>
      <c r="F80" s="100" t="e" cm="1" vm="1">
        <f t="array" aca="1" ref="F80" ca="1">_xlfn.LET(
_xlpm.rango, INDIRECT("N!$C$" &amp; $BA$8 &amp; ":$DR$" &amp; $BA$9),
_xlpm.col, F$72+$D79*10,
INDEX(_xlpm.rango,$BA$4-3,_xlpm.col) +
INDEX(_xlpm.rango,$BA$4-2,_xlpm.col) +
INDEX(_xlpm.rango,$BA$4-1,_xlpm.col) +
INDEX(_xlpm.rango,$BA$4, _xlpm.col)
)</f>
        <v>#VALUE!</v>
      </c>
      <c r="G80" s="95" t="e" cm="1" vm="1">
        <f t="array" aca="1" ref="G80" ca="1">_xlfn.LET(
_xlpm.rango, INDIRECT("N!$C$" &amp; $BA$8 &amp; ":$DR$" &amp; $BA$9),
_xlpm.col, G$72+$D79*10,
INDEX(_xlpm.rango,$BA$4-3,_xlpm.col) +
INDEX(_xlpm.rango,$BA$4-2,_xlpm.col) +
INDEX(_xlpm.rango,$BA$4-1,_xlpm.col) +
INDEX(_xlpm.rango,$BA$4, _xlpm.col)
)</f>
        <v>#VALUE!</v>
      </c>
      <c r="H80" s="95" t="e" cm="1" vm="1">
        <f t="array" aca="1" ref="H80" ca="1">_xlfn.LET(
_xlpm.rango, INDIRECT("N!$C$" &amp; $BA$8 &amp; ":$DR$" &amp; $BA$9),
_xlpm.col, H$72+$D79*10,
INDEX(_xlpm.rango,$BA$4-3,_xlpm.col) +
INDEX(_xlpm.rango,$BA$4-2,_xlpm.col) +
INDEX(_xlpm.rango,$BA$4-1,_xlpm.col) +
INDEX(_xlpm.rango,$BA$4, _xlpm.col)
)</f>
        <v>#VALUE!</v>
      </c>
      <c r="I80" s="95" t="e" cm="1" vm="1">
        <f t="array" aca="1" ref="I80" ca="1">_xlfn.LET(
_xlpm.rango, INDIRECT("N!$C$" &amp; $BA$8 &amp; ":$DR$" &amp; $BA$9),
_xlpm.col, I$72+$D79*10,
INDEX(_xlpm.rango,$BA$4-3,_xlpm.col) +
INDEX(_xlpm.rango,$BA$4-2,_xlpm.col) +
INDEX(_xlpm.rango,$BA$4-1,_xlpm.col) +
INDEX(_xlpm.rango,$BA$4, _xlpm.col)
)</f>
        <v>#VALUE!</v>
      </c>
      <c r="J80" s="95" t="e" cm="1" vm="1">
        <f t="array" aca="1" ref="J80" ca="1">_xlfn.LET(
_xlpm.rango, INDIRECT("N!$C$" &amp; $BA$8 &amp; ":$DR$" &amp; $BA$9),
_xlpm.col, J$72+$D79*10,
INDEX(_xlpm.rango,$BA$4-3,_xlpm.col) +
INDEX(_xlpm.rango,$BA$4-2,_xlpm.col) +
INDEX(_xlpm.rango,$BA$4-1,_xlpm.col) +
INDEX(_xlpm.rango,$BA$4, _xlpm.col)
)</f>
        <v>#VALUE!</v>
      </c>
      <c r="K80" s="95" t="e" cm="1" vm="1">
        <f t="array" aca="1" ref="K80" ca="1">_xlfn.LET(
_xlpm.rango, INDIRECT("N!$C$" &amp; $BA$8 &amp; ":$DR$" &amp; $BA$9),
_xlpm.col, K$72+$D79*10,
INDEX(_xlpm.rango,$BA$4-3,_xlpm.col) +
INDEX(_xlpm.rango,$BA$4-2,_xlpm.col) +
INDEX(_xlpm.rango,$BA$4-1,_xlpm.col) +
INDEX(_xlpm.rango,$BA$4, _xlpm.col)
)</f>
        <v>#VALUE!</v>
      </c>
      <c r="L80" s="95" t="e" cm="1" vm="1">
        <f t="array" aca="1" ref="L80" ca="1">_xlfn.LET(
_xlpm.rango, INDIRECT("N!$C$" &amp; $BA$8 &amp; ":$DR$" &amp; $BA$9),
_xlpm.col, L$72+$D79*10,
INDEX(_xlpm.rango,$BA$4-3,_xlpm.col) +
INDEX(_xlpm.rango,$BA$4-2,_xlpm.col) +
INDEX(_xlpm.rango,$BA$4-1,_xlpm.col) +
INDEX(_xlpm.rango,$BA$4, _xlpm.col)
)</f>
        <v>#VALUE!</v>
      </c>
      <c r="M80" s="95" t="e" cm="1" vm="1">
        <f t="array" aca="1" ref="M80" ca="1">_xlfn.LET(
_xlpm.rango, INDIRECT("N!$C$" &amp; $BA$8 &amp; ":$DR$" &amp; $BA$9),
_xlpm.col, M$72+$D79*10,
INDEX(_xlpm.rango,$BA$4-3,_xlpm.col) +
INDEX(_xlpm.rango,$BA$4-2,_xlpm.col) +
INDEX(_xlpm.rango,$BA$4-1,_xlpm.col) +
INDEX(_xlpm.rango,$BA$4, _xlpm.col)
)</f>
        <v>#VALUE!</v>
      </c>
      <c r="N80" s="95" t="e" cm="1" vm="1">
        <f t="array" aca="1" ref="N80" ca="1">_xlfn.LET(
_xlpm.rango, INDIRECT("N!$C$" &amp; $BA$8 &amp; ":$DR$" &amp; $BA$9),
_xlpm.col, N$72+$D79*10,
INDEX(_xlpm.rango,$BA$4-3,_xlpm.col) +
INDEX(_xlpm.rango,$BA$4-2,_xlpm.col) +
INDEX(_xlpm.rango,$BA$4-1,_xlpm.col) +
INDEX(_xlpm.rango,$BA$4, _xlpm.col)
)</f>
        <v>#VALUE!</v>
      </c>
      <c r="O80" s="96" t="e" cm="1" vm="1">
        <f t="array" aca="1" ref="O80" ca="1">_xlfn.LET(
_xlpm.rango, INDIRECT("N!$C$" &amp; $BA$8 &amp; ":$DR$" &amp; $BA$9),
_xlpm.col, O$72+$D79*10,
INDEX(_xlpm.rango,$BA$4-3,_xlpm.col) +
INDEX(_xlpm.rango,$BA$4-2,_xlpm.col) +
INDEX(_xlpm.rango,$BA$4-1,_xlpm.col) +
INDEX(_xlpm.rango,$BA$4, _xlpm.col)
)</f>
        <v>#VALUE!</v>
      </c>
      <c r="P80" s="95" t="e" cm="1" vm="1">
        <f t="array" aca="1" ref="P80" ca="1">_xlfn.LET(
_xlpm.rango, INDIRECT("S!$C$" &amp; $BA$8 &amp; ":$DR$" &amp; $BA$9),
_xlpm.col, P$72+$D79*10,
INDEX(_xlpm.rango,$BA$4-3,_xlpm.col) +
INDEX(_xlpm.rango,$BA$4-2,_xlpm.col) +
INDEX(_xlpm.rango,$BA$4-1,_xlpm.col) +
INDEX(_xlpm.rango,$BA$4, _xlpm.col)
)</f>
        <v>#VALUE!</v>
      </c>
      <c r="Q80" s="95" t="e" cm="1" vm="1">
        <f t="array" aca="1" ref="Q80" ca="1">_xlfn.LET(
_xlpm.rango, INDIRECT("S!$C$" &amp; $BA$8 &amp; ":$DR$" &amp; $BA$9),
_xlpm.col, Q$72+$D79*10,
INDEX(_xlpm.rango,$BA$4-3,_xlpm.col) +
INDEX(_xlpm.rango,$BA$4-2,_xlpm.col) +
INDEX(_xlpm.rango,$BA$4-1,_xlpm.col) +
INDEX(_xlpm.rango,$BA$4, _xlpm.col)
)</f>
        <v>#VALUE!</v>
      </c>
      <c r="R80" s="95" t="e" cm="1" vm="1">
        <f t="array" aca="1" ref="R80" ca="1">_xlfn.LET(
_xlpm.rango, INDIRECT("S!$C$" &amp; $BA$8 &amp; ":$DR$" &amp; $BA$9),
_xlpm.col, R$72+$D79*10,
INDEX(_xlpm.rango,$BA$4-3,_xlpm.col) +
INDEX(_xlpm.rango,$BA$4-2,_xlpm.col) +
INDEX(_xlpm.rango,$BA$4-1,_xlpm.col) +
INDEX(_xlpm.rango,$BA$4, _xlpm.col)
)</f>
        <v>#VALUE!</v>
      </c>
      <c r="S80" s="95" t="e" cm="1" vm="1">
        <f t="array" aca="1" ref="S80" ca="1">_xlfn.LET(
_xlpm.rango, INDIRECT("S!$C$" &amp; $BA$8 &amp; ":$DR$" &amp; $BA$9),
_xlpm.col, S$72+$D79*10,
INDEX(_xlpm.rango,$BA$4-3,_xlpm.col) +
INDEX(_xlpm.rango,$BA$4-2,_xlpm.col) +
INDEX(_xlpm.rango,$BA$4-1,_xlpm.col) +
INDEX(_xlpm.rango,$BA$4, _xlpm.col)
)</f>
        <v>#VALUE!</v>
      </c>
      <c r="T80" s="95" t="e" cm="1" vm="1">
        <f t="array" aca="1" ref="T80" ca="1">_xlfn.LET(
_xlpm.rango, INDIRECT("S!$C$" &amp; $BA$8 &amp; ":$DR$" &amp; $BA$9),
_xlpm.col, T$72+$D79*10,
INDEX(_xlpm.rango,$BA$4-3,_xlpm.col) +
INDEX(_xlpm.rango,$BA$4-2,_xlpm.col) +
INDEX(_xlpm.rango,$BA$4-1,_xlpm.col) +
INDEX(_xlpm.rango,$BA$4, _xlpm.col)
)</f>
        <v>#VALUE!</v>
      </c>
      <c r="U80" s="95" t="e" cm="1" vm="1">
        <f t="array" aca="1" ref="U80" ca="1">_xlfn.LET(
_xlpm.rango, INDIRECT("S!$C$" &amp; $BA$8 &amp; ":$DR$" &amp; $BA$9),
_xlpm.col, U$72+$D79*10,
INDEX(_xlpm.rango,$BA$4-3,_xlpm.col) +
INDEX(_xlpm.rango,$BA$4-2,_xlpm.col) +
INDEX(_xlpm.rango,$BA$4-1,_xlpm.col) +
INDEX(_xlpm.rango,$BA$4, _xlpm.col)
)</f>
        <v>#VALUE!</v>
      </c>
      <c r="V80" s="95" t="e" cm="1" vm="1">
        <f t="array" aca="1" ref="V80" ca="1">_xlfn.LET(
_xlpm.rango, INDIRECT("S!$C$" &amp; $BA$8 &amp; ":$DR$" &amp; $BA$9),
_xlpm.col, V$72+$D79*10,
INDEX(_xlpm.rango,$BA$4-3,_xlpm.col) +
INDEX(_xlpm.rango,$BA$4-2,_xlpm.col) +
INDEX(_xlpm.rango,$BA$4-1,_xlpm.col) +
INDEX(_xlpm.rango,$BA$4, _xlpm.col)
)</f>
        <v>#VALUE!</v>
      </c>
      <c r="W80" s="95" t="e" cm="1" vm="1">
        <f t="array" aca="1" ref="W80" ca="1">_xlfn.LET(
_xlpm.rango, INDIRECT("S!$C$" &amp; $BA$8 &amp; ":$DR$" &amp; $BA$9),
_xlpm.col, W$72+$D79*10,
INDEX(_xlpm.rango,$BA$4-3,_xlpm.col) +
INDEX(_xlpm.rango,$BA$4-2,_xlpm.col) +
INDEX(_xlpm.rango,$BA$4-1,_xlpm.col) +
INDEX(_xlpm.rango,$BA$4, _xlpm.col)
)</f>
        <v>#VALUE!</v>
      </c>
      <c r="X80" s="95" t="e" cm="1" vm="1">
        <f t="array" aca="1" ref="X80" ca="1">_xlfn.LET(
_xlpm.rango, INDIRECT("S!$C$" &amp; $BA$8 &amp; ":$DR$" &amp; $BA$9),
_xlpm.col, X$72+$D79*10,
INDEX(_xlpm.rango,$BA$4-3,_xlpm.col) +
INDEX(_xlpm.rango,$BA$4-2,_xlpm.col) +
INDEX(_xlpm.rango,$BA$4-1,_xlpm.col) +
INDEX(_xlpm.rango,$BA$4, _xlpm.col)
)</f>
        <v>#VALUE!</v>
      </c>
      <c r="Y80" s="95" t="e" cm="1" vm="1">
        <f t="array" aca="1" ref="Y80" ca="1">_xlfn.LET(
_xlpm.rango, INDIRECT("S!$C$" &amp; $BA$8 &amp; ":$DR$" &amp; $BA$9),
_xlpm.col, Y$72+$D79*10,
INDEX(_xlpm.rango,$BA$4-3,_xlpm.col) +
INDEX(_xlpm.rango,$BA$4-2,_xlpm.col) +
INDEX(_xlpm.rango,$BA$4-1,_xlpm.col) +
INDEX(_xlpm.rango,$BA$4, _xlpm.col)
)</f>
        <v>#VALUE!</v>
      </c>
      <c r="Z80" s="100" t="e" cm="1" vm="1">
        <f t="array" aca="1" ref="Z80" ca="1">_xlfn.LET(
_xlpm.rango, INDIRECT("E!$C$" &amp; $BA$8 &amp; ":$DR$" &amp; $BA$9),
_xlpm.col, Z$72+$D79*10,
INDEX(_xlpm.rango,$BA$4-3,_xlpm.col) +
INDEX(_xlpm.rango,$BA$4-2,_xlpm.col) +
INDEX(_xlpm.rango,$BA$4-1,_xlpm.col) +
INDEX(_xlpm.rango,$BA$4, _xlpm.col)
)</f>
        <v>#VALUE!</v>
      </c>
      <c r="AA80" s="95" t="e" cm="1" vm="1">
        <f t="array" aca="1" ref="AA80" ca="1">_xlfn.LET(
_xlpm.rango, INDIRECT("E!$C$" &amp; $BA$8 &amp; ":$DR$" &amp; $BA$9),
_xlpm.col, AA$72+$D79*10,
INDEX(_xlpm.rango,$BA$4-3,_xlpm.col) +
INDEX(_xlpm.rango,$BA$4-2,_xlpm.col) +
INDEX(_xlpm.rango,$BA$4-1,_xlpm.col) +
INDEX(_xlpm.rango,$BA$4, _xlpm.col)
)</f>
        <v>#VALUE!</v>
      </c>
      <c r="AB80" s="95" t="e" cm="1" vm="1">
        <f t="array" aca="1" ref="AB80" ca="1">_xlfn.LET(
_xlpm.rango, INDIRECT("E!$C$" &amp; $BA$8 &amp; ":$DR$" &amp; $BA$9),
_xlpm.col, AB$72+$D79*10,
INDEX(_xlpm.rango,$BA$4-3,_xlpm.col) +
INDEX(_xlpm.rango,$BA$4-2,_xlpm.col) +
INDEX(_xlpm.rango,$BA$4-1,_xlpm.col) +
INDEX(_xlpm.rango,$BA$4, _xlpm.col)
)</f>
        <v>#VALUE!</v>
      </c>
      <c r="AC80" s="95" t="e" cm="1" vm="1">
        <f t="array" aca="1" ref="AC80" ca="1">_xlfn.LET(
_xlpm.rango, INDIRECT("E!$C$" &amp; $BA$8 &amp; ":$DR$" &amp; $BA$9),
_xlpm.col, AC$72+$D79*10,
INDEX(_xlpm.rango,$BA$4-3,_xlpm.col) +
INDEX(_xlpm.rango,$BA$4-2,_xlpm.col) +
INDEX(_xlpm.rango,$BA$4-1,_xlpm.col) +
INDEX(_xlpm.rango,$BA$4, _xlpm.col)
)</f>
        <v>#VALUE!</v>
      </c>
      <c r="AD80" s="95" t="e" cm="1" vm="1">
        <f t="array" aca="1" ref="AD80" ca="1">_xlfn.LET(
_xlpm.rango, INDIRECT("E!$C$" &amp; $BA$8 &amp; ":$DR$" &amp; $BA$9),
_xlpm.col, AD$72+$D79*10,
INDEX(_xlpm.rango,$BA$4-3,_xlpm.col) +
INDEX(_xlpm.rango,$BA$4-2,_xlpm.col) +
INDEX(_xlpm.rango,$BA$4-1,_xlpm.col) +
INDEX(_xlpm.rango,$BA$4, _xlpm.col)
)</f>
        <v>#VALUE!</v>
      </c>
      <c r="AE80" s="95" t="e" cm="1" vm="1">
        <f t="array" aca="1" ref="AE80" ca="1">_xlfn.LET(
_xlpm.rango, INDIRECT("E!$C$" &amp; $BA$8 &amp; ":$DR$" &amp; $BA$9),
_xlpm.col, AE$72+$D79*10,
INDEX(_xlpm.rango,$BA$4-3,_xlpm.col) +
INDEX(_xlpm.rango,$BA$4-2,_xlpm.col) +
INDEX(_xlpm.rango,$BA$4-1,_xlpm.col) +
INDEX(_xlpm.rango,$BA$4, _xlpm.col)
)</f>
        <v>#VALUE!</v>
      </c>
      <c r="AF80" s="95" t="e" cm="1" vm="1">
        <f t="array" aca="1" ref="AF80" ca="1">_xlfn.LET(
_xlpm.rango, INDIRECT("E!$C$" &amp; $BA$8 &amp; ":$DR$" &amp; $BA$9),
_xlpm.col, AF$72+$D79*10,
INDEX(_xlpm.rango,$BA$4-3,_xlpm.col) +
INDEX(_xlpm.rango,$BA$4-2,_xlpm.col) +
INDEX(_xlpm.rango,$BA$4-1,_xlpm.col) +
INDEX(_xlpm.rango,$BA$4, _xlpm.col)
)</f>
        <v>#VALUE!</v>
      </c>
      <c r="AG80" s="95" t="e" cm="1" vm="1">
        <f t="array" aca="1" ref="AG80" ca="1">_xlfn.LET(
_xlpm.rango, INDIRECT("E!$C$" &amp; $BA$8 &amp; ":$DR$" &amp; $BA$9),
_xlpm.col, AG$72+$D79*10,
INDEX(_xlpm.rango,$BA$4-3,_xlpm.col) +
INDEX(_xlpm.rango,$BA$4-2,_xlpm.col) +
INDEX(_xlpm.rango,$BA$4-1,_xlpm.col) +
INDEX(_xlpm.rango,$BA$4, _xlpm.col)
)</f>
        <v>#VALUE!</v>
      </c>
      <c r="AH80" s="95" t="e" cm="1" vm="1">
        <f t="array" aca="1" ref="AH80" ca="1">_xlfn.LET(
_xlpm.rango, INDIRECT("E!$C$" &amp; $BA$8 &amp; ":$DR$" &amp; $BA$9),
_xlpm.col, AH$72+$D79*10,
INDEX(_xlpm.rango,$BA$4-3,_xlpm.col) +
INDEX(_xlpm.rango,$BA$4-2,_xlpm.col) +
INDEX(_xlpm.rango,$BA$4-1,_xlpm.col) +
INDEX(_xlpm.rango,$BA$4, _xlpm.col)
)</f>
        <v>#VALUE!</v>
      </c>
      <c r="AI80" s="96" t="e" cm="1" vm="1">
        <f t="array" aca="1" ref="AI80" ca="1">_xlfn.LET(
_xlpm.rango, INDIRECT("E!$C$" &amp; $BA$8 &amp; ":$DR$" &amp; $BA$9),
_xlpm.col, AI$72+$D79*10,
INDEX(_xlpm.rango,$BA$4-3,_xlpm.col) +
INDEX(_xlpm.rango,$BA$4-2,_xlpm.col) +
INDEX(_xlpm.rango,$BA$4-1,_xlpm.col) +
INDEX(_xlpm.rango,$BA$4, _xlpm.col)
)</f>
        <v>#VALUE!</v>
      </c>
      <c r="AJ80" s="95" t="e" cm="1" vm="1">
        <f t="array" aca="1" ref="AJ80" ca="1">_xlfn.LET(
_xlpm.rango, INDIRECT("E!$C$" &amp; $BA$8 &amp; ":$DR$" &amp; $BA$9),
_xlpm.col, AJ$72+$D79*10,
INDEX(_xlpm.rango,$BA$4-3,_xlpm.col) +
INDEX(_xlpm.rango,$BA$4-2,_xlpm.col) +
INDEX(_xlpm.rango,$BA$4-1,_xlpm.col) +
INDEX(_xlpm.rango,$BA$4, _xlpm.col)
)</f>
        <v>#VALUE!</v>
      </c>
      <c r="AK80" s="95" t="e" cm="1" vm="1">
        <f t="array" aca="1" ref="AK80" ca="1">_xlfn.LET(
_xlpm.rango, INDIRECT("E!$C$" &amp; $BA$8 &amp; ":$DR$" &amp; $BA$9),
_xlpm.col, AK$72+$D79*10,
INDEX(_xlpm.rango,$BA$4-3,_xlpm.col) +
INDEX(_xlpm.rango,$BA$4-2,_xlpm.col) +
INDEX(_xlpm.rango,$BA$4-1,_xlpm.col) +
INDEX(_xlpm.rango,$BA$4, _xlpm.col)
)</f>
        <v>#VALUE!</v>
      </c>
      <c r="AL80" s="95" t="e" cm="1" vm="1">
        <f t="array" aca="1" ref="AL80" ca="1">_xlfn.LET(
_xlpm.rango, INDIRECT("E!$C$" &amp; $BA$8 &amp; ":$DR$" &amp; $BA$9),
_xlpm.col, AL$72+$D79*10,
INDEX(_xlpm.rango,$BA$4-3,_xlpm.col) +
INDEX(_xlpm.rango,$BA$4-2,_xlpm.col) +
INDEX(_xlpm.rango,$BA$4-1,_xlpm.col) +
INDEX(_xlpm.rango,$BA$4, _xlpm.col)
)</f>
        <v>#VALUE!</v>
      </c>
      <c r="AM80" s="95" t="e" cm="1" vm="1">
        <f t="array" aca="1" ref="AM80" ca="1">_xlfn.LET(
_xlpm.rango, INDIRECT("E!$C$" &amp; $BA$8 &amp; ":$DR$" &amp; $BA$9),
_xlpm.col, AM$72+$D79*10,
INDEX(_xlpm.rango,$BA$4-3,_xlpm.col) +
INDEX(_xlpm.rango,$BA$4-2,_xlpm.col) +
INDEX(_xlpm.rango,$BA$4-1,_xlpm.col) +
INDEX(_xlpm.rango,$BA$4, _xlpm.col)
)</f>
        <v>#VALUE!</v>
      </c>
      <c r="AN80" s="95" t="e" cm="1" vm="1">
        <f t="array" aca="1" ref="AN80" ca="1">_xlfn.LET(
_xlpm.rango, INDIRECT("E!$C$" &amp; $BA$8 &amp; ":$DR$" &amp; $BA$9),
_xlpm.col, AN$72+$D79*10,
INDEX(_xlpm.rango,$BA$4-3,_xlpm.col) +
INDEX(_xlpm.rango,$BA$4-2,_xlpm.col) +
INDEX(_xlpm.rango,$BA$4-1,_xlpm.col) +
INDEX(_xlpm.rango,$BA$4, _xlpm.col)
)</f>
        <v>#VALUE!</v>
      </c>
      <c r="AO80" s="95" t="e" cm="1" vm="1">
        <f t="array" aca="1" ref="AO80" ca="1">_xlfn.LET(
_xlpm.rango, INDIRECT("E!$C$" &amp; $BA$8 &amp; ":$DR$" &amp; $BA$9),
_xlpm.col, AO$72+$D79*10,
INDEX(_xlpm.rango,$BA$4-3,_xlpm.col) +
INDEX(_xlpm.rango,$BA$4-2,_xlpm.col) +
INDEX(_xlpm.rango,$BA$4-1,_xlpm.col) +
INDEX(_xlpm.rango,$BA$4, _xlpm.col)
)</f>
        <v>#VALUE!</v>
      </c>
      <c r="AP80" s="95" t="e" cm="1" vm="1">
        <f t="array" aca="1" ref="AP80" ca="1">_xlfn.LET(
_xlpm.rango, INDIRECT("E!$C$" &amp; $BA$8 &amp; ":$DR$" &amp; $BA$9),
_xlpm.col, AP$72+$D79*10,
INDEX(_xlpm.rango,$BA$4-3,_xlpm.col) +
INDEX(_xlpm.rango,$BA$4-2,_xlpm.col) +
INDEX(_xlpm.rango,$BA$4-1,_xlpm.col) +
INDEX(_xlpm.rango,$BA$4, _xlpm.col)
)</f>
        <v>#VALUE!</v>
      </c>
      <c r="AQ80" s="95" t="e" cm="1" vm="1">
        <f t="array" aca="1" ref="AQ80" ca="1">_xlfn.LET(
_xlpm.rango, INDIRECT("E!$C$" &amp; $BA$8 &amp; ":$DR$" &amp; $BA$9),
_xlpm.col, AQ$72+$D79*10,
INDEX(_xlpm.rango,$BA$4-3,_xlpm.col) +
INDEX(_xlpm.rango,$BA$4-2,_xlpm.col) +
INDEX(_xlpm.rango,$BA$4-1,_xlpm.col) +
INDEX(_xlpm.rango,$BA$4, _xlpm.col)
)</f>
        <v>#VALUE!</v>
      </c>
      <c r="AR80" s="95" t="e" cm="1" vm="1">
        <f t="array" aca="1" ref="AR80" ca="1">_xlfn.LET(
_xlpm.rango, INDIRECT("E!$C$" &amp; $BA$8 &amp; ":$DR$" &amp; $BA$9),
_xlpm.col, AR$72+$D79*10,
INDEX(_xlpm.rango,$BA$4-3,_xlpm.col) +
INDEX(_xlpm.rango,$BA$4-2,_xlpm.col) +
INDEX(_xlpm.rango,$BA$4-1,_xlpm.col) +
INDEX(_xlpm.rango,$BA$4, _xlpm.col)
)</f>
        <v>#VALUE!</v>
      </c>
      <c r="AS80" s="112" t="e" cm="1" vm="1">
        <f t="array" aca="1" ref="AS80" ca="1">_xlfn.LET(
_xlpm.rango, INDIRECT("E!$C$" &amp; $BA$8 &amp; ":$DR$" &amp; $BA$9),
_xlpm.col, AS$72+$D79*10,
INDEX(_xlpm.rango,$BA$4-3,_xlpm.col) +
INDEX(_xlpm.rango,$BA$4-2,_xlpm.col) +
INDEX(_xlpm.rango,$BA$4-1,_xlpm.col) +
INDEX(_xlpm.rango,$BA$4, _xlpm.col)
)</f>
        <v>#VALUE!</v>
      </c>
      <c r="AT80" s="118" t="e" vm="2">
        <f t="shared" ca="1" si="0"/>
        <v>#VALUE!</v>
      </c>
      <c r="AU80" s="120" t="e" vm="2">
        <f t="shared" ca="1" si="1"/>
        <v>#VALUE!</v>
      </c>
    </row>
    <row r="81" spans="4:47" x14ac:dyDescent="0.25">
      <c r="D81">
        <v>6</v>
      </c>
      <c r="E81" s="106" t="str">
        <f>Inicio!V9</f>
        <v>Taxi</v>
      </c>
      <c r="F81" s="100" t="e" cm="1" vm="1">
        <f t="array" aca="1" ref="F81" ca="1">_xlfn.LET(
_xlpm.rango, INDIRECT("N!$C$" &amp; $BA$8 &amp; ":$DR$" &amp; $BA$9),
_xlpm.col, F$72+$D80*10,
INDEX(_xlpm.rango,$BA$4-3,_xlpm.col) +
INDEX(_xlpm.rango,$BA$4-2,_xlpm.col) +
INDEX(_xlpm.rango,$BA$4-1,_xlpm.col) +
INDEX(_xlpm.rango,$BA$4, _xlpm.col)
)</f>
        <v>#VALUE!</v>
      </c>
      <c r="G81" s="95" t="e" cm="1" vm="1">
        <f t="array" aca="1" ref="G81" ca="1">_xlfn.LET(
_xlpm.rango, INDIRECT("N!$C$" &amp; $BA$8 &amp; ":$DR$" &amp; $BA$9),
_xlpm.col, G$72+$D80*10,
INDEX(_xlpm.rango,$BA$4-3,_xlpm.col) +
INDEX(_xlpm.rango,$BA$4-2,_xlpm.col) +
INDEX(_xlpm.rango,$BA$4-1,_xlpm.col) +
INDEX(_xlpm.rango,$BA$4, _xlpm.col)
)</f>
        <v>#VALUE!</v>
      </c>
      <c r="H81" s="95" t="e" cm="1" vm="1">
        <f t="array" aca="1" ref="H81" ca="1">_xlfn.LET(
_xlpm.rango, INDIRECT("N!$C$" &amp; $BA$8 &amp; ":$DR$" &amp; $BA$9),
_xlpm.col, H$72+$D80*10,
INDEX(_xlpm.rango,$BA$4-3,_xlpm.col) +
INDEX(_xlpm.rango,$BA$4-2,_xlpm.col) +
INDEX(_xlpm.rango,$BA$4-1,_xlpm.col) +
INDEX(_xlpm.rango,$BA$4, _xlpm.col)
)</f>
        <v>#VALUE!</v>
      </c>
      <c r="I81" s="95" t="e" cm="1" vm="1">
        <f t="array" aca="1" ref="I81" ca="1">_xlfn.LET(
_xlpm.rango, INDIRECT("N!$C$" &amp; $BA$8 &amp; ":$DR$" &amp; $BA$9),
_xlpm.col, I$72+$D80*10,
INDEX(_xlpm.rango,$BA$4-3,_xlpm.col) +
INDEX(_xlpm.rango,$BA$4-2,_xlpm.col) +
INDEX(_xlpm.rango,$BA$4-1,_xlpm.col) +
INDEX(_xlpm.rango,$BA$4, _xlpm.col)
)</f>
        <v>#VALUE!</v>
      </c>
      <c r="J81" s="95" t="e" cm="1" vm="1">
        <f t="array" aca="1" ref="J81" ca="1">_xlfn.LET(
_xlpm.rango, INDIRECT("N!$C$" &amp; $BA$8 &amp; ":$DR$" &amp; $BA$9),
_xlpm.col, J$72+$D80*10,
INDEX(_xlpm.rango,$BA$4-3,_xlpm.col) +
INDEX(_xlpm.rango,$BA$4-2,_xlpm.col) +
INDEX(_xlpm.rango,$BA$4-1,_xlpm.col) +
INDEX(_xlpm.rango,$BA$4, _xlpm.col)
)</f>
        <v>#VALUE!</v>
      </c>
      <c r="K81" s="95" t="e" cm="1" vm="1">
        <f t="array" aca="1" ref="K81" ca="1">_xlfn.LET(
_xlpm.rango, INDIRECT("N!$C$" &amp; $BA$8 &amp; ":$DR$" &amp; $BA$9),
_xlpm.col, K$72+$D80*10,
INDEX(_xlpm.rango,$BA$4-3,_xlpm.col) +
INDEX(_xlpm.rango,$BA$4-2,_xlpm.col) +
INDEX(_xlpm.rango,$BA$4-1,_xlpm.col) +
INDEX(_xlpm.rango,$BA$4, _xlpm.col)
)</f>
        <v>#VALUE!</v>
      </c>
      <c r="L81" s="95" t="e" cm="1" vm="1">
        <f t="array" aca="1" ref="L81" ca="1">_xlfn.LET(
_xlpm.rango, INDIRECT("N!$C$" &amp; $BA$8 &amp; ":$DR$" &amp; $BA$9),
_xlpm.col, L$72+$D80*10,
INDEX(_xlpm.rango,$BA$4-3,_xlpm.col) +
INDEX(_xlpm.rango,$BA$4-2,_xlpm.col) +
INDEX(_xlpm.rango,$BA$4-1,_xlpm.col) +
INDEX(_xlpm.rango,$BA$4, _xlpm.col)
)</f>
        <v>#VALUE!</v>
      </c>
      <c r="M81" s="95" t="e" cm="1" vm="1">
        <f t="array" aca="1" ref="M81" ca="1">_xlfn.LET(
_xlpm.rango, INDIRECT("N!$C$" &amp; $BA$8 &amp; ":$DR$" &amp; $BA$9),
_xlpm.col, M$72+$D80*10,
INDEX(_xlpm.rango,$BA$4-3,_xlpm.col) +
INDEX(_xlpm.rango,$BA$4-2,_xlpm.col) +
INDEX(_xlpm.rango,$BA$4-1,_xlpm.col) +
INDEX(_xlpm.rango,$BA$4, _xlpm.col)
)</f>
        <v>#VALUE!</v>
      </c>
      <c r="N81" s="95" t="e" cm="1" vm="1">
        <f t="array" aca="1" ref="N81" ca="1">_xlfn.LET(
_xlpm.rango, INDIRECT("N!$C$" &amp; $BA$8 &amp; ":$DR$" &amp; $BA$9),
_xlpm.col, N$72+$D80*10,
INDEX(_xlpm.rango,$BA$4-3,_xlpm.col) +
INDEX(_xlpm.rango,$BA$4-2,_xlpm.col) +
INDEX(_xlpm.rango,$BA$4-1,_xlpm.col) +
INDEX(_xlpm.rango,$BA$4, _xlpm.col)
)</f>
        <v>#VALUE!</v>
      </c>
      <c r="O81" s="96" t="e" cm="1" vm="1">
        <f t="array" aca="1" ref="O81" ca="1">_xlfn.LET(
_xlpm.rango, INDIRECT("N!$C$" &amp; $BA$8 &amp; ":$DR$" &amp; $BA$9),
_xlpm.col, O$72+$D80*10,
INDEX(_xlpm.rango,$BA$4-3,_xlpm.col) +
INDEX(_xlpm.rango,$BA$4-2,_xlpm.col) +
INDEX(_xlpm.rango,$BA$4-1,_xlpm.col) +
INDEX(_xlpm.rango,$BA$4, _xlpm.col)
)</f>
        <v>#VALUE!</v>
      </c>
      <c r="P81" s="95" t="e" cm="1" vm="1">
        <f t="array" aca="1" ref="P81" ca="1">_xlfn.LET(
_xlpm.rango, INDIRECT("S!$C$" &amp; $BA$8 &amp; ":$DR$" &amp; $BA$9),
_xlpm.col, P$72+$D80*10,
INDEX(_xlpm.rango,$BA$4-3,_xlpm.col) +
INDEX(_xlpm.rango,$BA$4-2,_xlpm.col) +
INDEX(_xlpm.rango,$BA$4-1,_xlpm.col) +
INDEX(_xlpm.rango,$BA$4, _xlpm.col)
)</f>
        <v>#VALUE!</v>
      </c>
      <c r="Q81" s="95" t="e" cm="1" vm="1">
        <f t="array" aca="1" ref="Q81" ca="1">_xlfn.LET(
_xlpm.rango, INDIRECT("S!$C$" &amp; $BA$8 &amp; ":$DR$" &amp; $BA$9),
_xlpm.col, Q$72+$D80*10,
INDEX(_xlpm.rango,$BA$4-3,_xlpm.col) +
INDEX(_xlpm.rango,$BA$4-2,_xlpm.col) +
INDEX(_xlpm.rango,$BA$4-1,_xlpm.col) +
INDEX(_xlpm.rango,$BA$4, _xlpm.col)
)</f>
        <v>#VALUE!</v>
      </c>
      <c r="R81" s="95" t="e" cm="1" vm="1">
        <f t="array" aca="1" ref="R81" ca="1">_xlfn.LET(
_xlpm.rango, INDIRECT("S!$C$" &amp; $BA$8 &amp; ":$DR$" &amp; $BA$9),
_xlpm.col, R$72+$D80*10,
INDEX(_xlpm.rango,$BA$4-3,_xlpm.col) +
INDEX(_xlpm.rango,$BA$4-2,_xlpm.col) +
INDEX(_xlpm.rango,$BA$4-1,_xlpm.col) +
INDEX(_xlpm.rango,$BA$4, _xlpm.col)
)</f>
        <v>#VALUE!</v>
      </c>
      <c r="S81" s="95" t="e" cm="1" vm="1">
        <f t="array" aca="1" ref="S81" ca="1">_xlfn.LET(
_xlpm.rango, INDIRECT("S!$C$" &amp; $BA$8 &amp; ":$DR$" &amp; $BA$9),
_xlpm.col, S$72+$D80*10,
INDEX(_xlpm.rango,$BA$4-3,_xlpm.col) +
INDEX(_xlpm.rango,$BA$4-2,_xlpm.col) +
INDEX(_xlpm.rango,$BA$4-1,_xlpm.col) +
INDEX(_xlpm.rango,$BA$4, _xlpm.col)
)</f>
        <v>#VALUE!</v>
      </c>
      <c r="T81" s="95" t="e" cm="1" vm="1">
        <f t="array" aca="1" ref="T81" ca="1">_xlfn.LET(
_xlpm.rango, INDIRECT("S!$C$" &amp; $BA$8 &amp; ":$DR$" &amp; $BA$9),
_xlpm.col, T$72+$D80*10,
INDEX(_xlpm.rango,$BA$4-3,_xlpm.col) +
INDEX(_xlpm.rango,$BA$4-2,_xlpm.col) +
INDEX(_xlpm.rango,$BA$4-1,_xlpm.col) +
INDEX(_xlpm.rango,$BA$4, _xlpm.col)
)</f>
        <v>#VALUE!</v>
      </c>
      <c r="U81" s="95" t="e" cm="1" vm="1">
        <f t="array" aca="1" ref="U81" ca="1">_xlfn.LET(
_xlpm.rango, INDIRECT("S!$C$" &amp; $BA$8 &amp; ":$DR$" &amp; $BA$9),
_xlpm.col, U$72+$D80*10,
INDEX(_xlpm.rango,$BA$4-3,_xlpm.col) +
INDEX(_xlpm.rango,$BA$4-2,_xlpm.col) +
INDEX(_xlpm.rango,$BA$4-1,_xlpm.col) +
INDEX(_xlpm.rango,$BA$4, _xlpm.col)
)</f>
        <v>#VALUE!</v>
      </c>
      <c r="V81" s="95" t="e" cm="1" vm="1">
        <f t="array" aca="1" ref="V81" ca="1">_xlfn.LET(
_xlpm.rango, INDIRECT("S!$C$" &amp; $BA$8 &amp; ":$DR$" &amp; $BA$9),
_xlpm.col, V$72+$D80*10,
INDEX(_xlpm.rango,$BA$4-3,_xlpm.col) +
INDEX(_xlpm.rango,$BA$4-2,_xlpm.col) +
INDEX(_xlpm.rango,$BA$4-1,_xlpm.col) +
INDEX(_xlpm.rango,$BA$4, _xlpm.col)
)</f>
        <v>#VALUE!</v>
      </c>
      <c r="W81" s="95" t="e" cm="1" vm="1">
        <f t="array" aca="1" ref="W81" ca="1">_xlfn.LET(
_xlpm.rango, INDIRECT("S!$C$" &amp; $BA$8 &amp; ":$DR$" &amp; $BA$9),
_xlpm.col, W$72+$D80*10,
INDEX(_xlpm.rango,$BA$4-3,_xlpm.col) +
INDEX(_xlpm.rango,$BA$4-2,_xlpm.col) +
INDEX(_xlpm.rango,$BA$4-1,_xlpm.col) +
INDEX(_xlpm.rango,$BA$4, _xlpm.col)
)</f>
        <v>#VALUE!</v>
      </c>
      <c r="X81" s="95" t="e" cm="1" vm="1">
        <f t="array" aca="1" ref="X81" ca="1">_xlfn.LET(
_xlpm.rango, INDIRECT("S!$C$" &amp; $BA$8 &amp; ":$DR$" &amp; $BA$9),
_xlpm.col, X$72+$D80*10,
INDEX(_xlpm.rango,$BA$4-3,_xlpm.col) +
INDEX(_xlpm.rango,$BA$4-2,_xlpm.col) +
INDEX(_xlpm.rango,$BA$4-1,_xlpm.col) +
INDEX(_xlpm.rango,$BA$4, _xlpm.col)
)</f>
        <v>#VALUE!</v>
      </c>
      <c r="Y81" s="95" t="e" cm="1" vm="1">
        <f t="array" aca="1" ref="Y81" ca="1">_xlfn.LET(
_xlpm.rango, INDIRECT("S!$C$" &amp; $BA$8 &amp; ":$DR$" &amp; $BA$9),
_xlpm.col, Y$72+$D80*10,
INDEX(_xlpm.rango,$BA$4-3,_xlpm.col) +
INDEX(_xlpm.rango,$BA$4-2,_xlpm.col) +
INDEX(_xlpm.rango,$BA$4-1,_xlpm.col) +
INDEX(_xlpm.rango,$BA$4, _xlpm.col)
)</f>
        <v>#VALUE!</v>
      </c>
      <c r="Z81" s="100" t="e" cm="1" vm="1">
        <f t="array" aca="1" ref="Z81" ca="1">_xlfn.LET(
_xlpm.rango, INDIRECT("E!$C$" &amp; $BA$8 &amp; ":$DR$" &amp; $BA$9),
_xlpm.col, Z$72+$D80*10,
INDEX(_xlpm.rango,$BA$4-3,_xlpm.col) +
INDEX(_xlpm.rango,$BA$4-2,_xlpm.col) +
INDEX(_xlpm.rango,$BA$4-1,_xlpm.col) +
INDEX(_xlpm.rango,$BA$4, _xlpm.col)
)</f>
        <v>#VALUE!</v>
      </c>
      <c r="AA81" s="95" t="e" cm="1" vm="1">
        <f t="array" aca="1" ref="AA81" ca="1">_xlfn.LET(
_xlpm.rango, INDIRECT("E!$C$" &amp; $BA$8 &amp; ":$DR$" &amp; $BA$9),
_xlpm.col, AA$72+$D80*10,
INDEX(_xlpm.rango,$BA$4-3,_xlpm.col) +
INDEX(_xlpm.rango,$BA$4-2,_xlpm.col) +
INDEX(_xlpm.rango,$BA$4-1,_xlpm.col) +
INDEX(_xlpm.rango,$BA$4, _xlpm.col)
)</f>
        <v>#VALUE!</v>
      </c>
      <c r="AB81" s="95" t="e" cm="1" vm="1">
        <f t="array" aca="1" ref="AB81" ca="1">_xlfn.LET(
_xlpm.rango, INDIRECT("E!$C$" &amp; $BA$8 &amp; ":$DR$" &amp; $BA$9),
_xlpm.col, AB$72+$D80*10,
INDEX(_xlpm.rango,$BA$4-3,_xlpm.col) +
INDEX(_xlpm.rango,$BA$4-2,_xlpm.col) +
INDEX(_xlpm.rango,$BA$4-1,_xlpm.col) +
INDEX(_xlpm.rango,$BA$4, _xlpm.col)
)</f>
        <v>#VALUE!</v>
      </c>
      <c r="AC81" s="95" t="e" cm="1" vm="1">
        <f t="array" aca="1" ref="AC81" ca="1">_xlfn.LET(
_xlpm.rango, INDIRECT("E!$C$" &amp; $BA$8 &amp; ":$DR$" &amp; $BA$9),
_xlpm.col, AC$72+$D80*10,
INDEX(_xlpm.rango,$BA$4-3,_xlpm.col) +
INDEX(_xlpm.rango,$BA$4-2,_xlpm.col) +
INDEX(_xlpm.rango,$BA$4-1,_xlpm.col) +
INDEX(_xlpm.rango,$BA$4, _xlpm.col)
)</f>
        <v>#VALUE!</v>
      </c>
      <c r="AD81" s="95" t="e" cm="1" vm="1">
        <f t="array" aca="1" ref="AD81" ca="1">_xlfn.LET(
_xlpm.rango, INDIRECT("E!$C$" &amp; $BA$8 &amp; ":$DR$" &amp; $BA$9),
_xlpm.col, AD$72+$D80*10,
INDEX(_xlpm.rango,$BA$4-3,_xlpm.col) +
INDEX(_xlpm.rango,$BA$4-2,_xlpm.col) +
INDEX(_xlpm.rango,$BA$4-1,_xlpm.col) +
INDEX(_xlpm.rango,$BA$4, _xlpm.col)
)</f>
        <v>#VALUE!</v>
      </c>
      <c r="AE81" s="95" t="e" cm="1" vm="1">
        <f t="array" aca="1" ref="AE81" ca="1">_xlfn.LET(
_xlpm.rango, INDIRECT("E!$C$" &amp; $BA$8 &amp; ":$DR$" &amp; $BA$9),
_xlpm.col, AE$72+$D80*10,
INDEX(_xlpm.rango,$BA$4-3,_xlpm.col) +
INDEX(_xlpm.rango,$BA$4-2,_xlpm.col) +
INDEX(_xlpm.rango,$BA$4-1,_xlpm.col) +
INDEX(_xlpm.rango,$BA$4, _xlpm.col)
)</f>
        <v>#VALUE!</v>
      </c>
      <c r="AF81" s="95" t="e" cm="1" vm="1">
        <f t="array" aca="1" ref="AF81" ca="1">_xlfn.LET(
_xlpm.rango, INDIRECT("E!$C$" &amp; $BA$8 &amp; ":$DR$" &amp; $BA$9),
_xlpm.col, AF$72+$D80*10,
INDEX(_xlpm.rango,$BA$4-3,_xlpm.col) +
INDEX(_xlpm.rango,$BA$4-2,_xlpm.col) +
INDEX(_xlpm.rango,$BA$4-1,_xlpm.col) +
INDEX(_xlpm.rango,$BA$4, _xlpm.col)
)</f>
        <v>#VALUE!</v>
      </c>
      <c r="AG81" s="95" t="e" cm="1" vm="1">
        <f t="array" aca="1" ref="AG81" ca="1">_xlfn.LET(
_xlpm.rango, INDIRECT("E!$C$" &amp; $BA$8 &amp; ":$DR$" &amp; $BA$9),
_xlpm.col, AG$72+$D80*10,
INDEX(_xlpm.rango,$BA$4-3,_xlpm.col) +
INDEX(_xlpm.rango,$BA$4-2,_xlpm.col) +
INDEX(_xlpm.rango,$BA$4-1,_xlpm.col) +
INDEX(_xlpm.rango,$BA$4, _xlpm.col)
)</f>
        <v>#VALUE!</v>
      </c>
      <c r="AH81" s="95" t="e" cm="1" vm="1">
        <f t="array" aca="1" ref="AH81" ca="1">_xlfn.LET(
_xlpm.rango, INDIRECT("E!$C$" &amp; $BA$8 &amp; ":$DR$" &amp; $BA$9),
_xlpm.col, AH$72+$D80*10,
INDEX(_xlpm.rango,$BA$4-3,_xlpm.col) +
INDEX(_xlpm.rango,$BA$4-2,_xlpm.col) +
INDEX(_xlpm.rango,$BA$4-1,_xlpm.col) +
INDEX(_xlpm.rango,$BA$4, _xlpm.col)
)</f>
        <v>#VALUE!</v>
      </c>
      <c r="AI81" s="96" t="e" cm="1" vm="1">
        <f t="array" aca="1" ref="AI81" ca="1">_xlfn.LET(
_xlpm.rango, INDIRECT("E!$C$" &amp; $BA$8 &amp; ":$DR$" &amp; $BA$9),
_xlpm.col, AI$72+$D80*10,
INDEX(_xlpm.rango,$BA$4-3,_xlpm.col) +
INDEX(_xlpm.rango,$BA$4-2,_xlpm.col) +
INDEX(_xlpm.rango,$BA$4-1,_xlpm.col) +
INDEX(_xlpm.rango,$BA$4, _xlpm.col)
)</f>
        <v>#VALUE!</v>
      </c>
      <c r="AJ81" s="95" t="e" cm="1" vm="1">
        <f t="array" aca="1" ref="AJ81" ca="1">_xlfn.LET(
_xlpm.rango, INDIRECT("E!$C$" &amp; $BA$8 &amp; ":$DR$" &amp; $BA$9),
_xlpm.col, AJ$72+$D80*10,
INDEX(_xlpm.rango,$BA$4-3,_xlpm.col) +
INDEX(_xlpm.rango,$BA$4-2,_xlpm.col) +
INDEX(_xlpm.rango,$BA$4-1,_xlpm.col) +
INDEX(_xlpm.rango,$BA$4, _xlpm.col)
)</f>
        <v>#VALUE!</v>
      </c>
      <c r="AK81" s="95" t="e" cm="1" vm="1">
        <f t="array" aca="1" ref="AK81" ca="1">_xlfn.LET(
_xlpm.rango, INDIRECT("E!$C$" &amp; $BA$8 &amp; ":$DR$" &amp; $BA$9),
_xlpm.col, AK$72+$D80*10,
INDEX(_xlpm.rango,$BA$4-3,_xlpm.col) +
INDEX(_xlpm.rango,$BA$4-2,_xlpm.col) +
INDEX(_xlpm.rango,$BA$4-1,_xlpm.col) +
INDEX(_xlpm.rango,$BA$4, _xlpm.col)
)</f>
        <v>#VALUE!</v>
      </c>
      <c r="AL81" s="95" t="e" cm="1" vm="1">
        <f t="array" aca="1" ref="AL81" ca="1">_xlfn.LET(
_xlpm.rango, INDIRECT("E!$C$" &amp; $BA$8 &amp; ":$DR$" &amp; $BA$9),
_xlpm.col, AL$72+$D80*10,
INDEX(_xlpm.rango,$BA$4-3,_xlpm.col) +
INDEX(_xlpm.rango,$BA$4-2,_xlpm.col) +
INDEX(_xlpm.rango,$BA$4-1,_xlpm.col) +
INDEX(_xlpm.rango,$BA$4, _xlpm.col)
)</f>
        <v>#VALUE!</v>
      </c>
      <c r="AM81" s="95" t="e" cm="1" vm="1">
        <f t="array" aca="1" ref="AM81" ca="1">_xlfn.LET(
_xlpm.rango, INDIRECT("E!$C$" &amp; $BA$8 &amp; ":$DR$" &amp; $BA$9),
_xlpm.col, AM$72+$D80*10,
INDEX(_xlpm.rango,$BA$4-3,_xlpm.col) +
INDEX(_xlpm.rango,$BA$4-2,_xlpm.col) +
INDEX(_xlpm.rango,$BA$4-1,_xlpm.col) +
INDEX(_xlpm.rango,$BA$4, _xlpm.col)
)</f>
        <v>#VALUE!</v>
      </c>
      <c r="AN81" s="95" t="e" cm="1" vm="1">
        <f t="array" aca="1" ref="AN81" ca="1">_xlfn.LET(
_xlpm.rango, INDIRECT("E!$C$" &amp; $BA$8 &amp; ":$DR$" &amp; $BA$9),
_xlpm.col, AN$72+$D80*10,
INDEX(_xlpm.rango,$BA$4-3,_xlpm.col) +
INDEX(_xlpm.rango,$BA$4-2,_xlpm.col) +
INDEX(_xlpm.rango,$BA$4-1,_xlpm.col) +
INDEX(_xlpm.rango,$BA$4, _xlpm.col)
)</f>
        <v>#VALUE!</v>
      </c>
      <c r="AO81" s="95" t="e" cm="1" vm="1">
        <f t="array" aca="1" ref="AO81" ca="1">_xlfn.LET(
_xlpm.rango, INDIRECT("E!$C$" &amp; $BA$8 &amp; ":$DR$" &amp; $BA$9),
_xlpm.col, AO$72+$D80*10,
INDEX(_xlpm.rango,$BA$4-3,_xlpm.col) +
INDEX(_xlpm.rango,$BA$4-2,_xlpm.col) +
INDEX(_xlpm.rango,$BA$4-1,_xlpm.col) +
INDEX(_xlpm.rango,$BA$4, _xlpm.col)
)</f>
        <v>#VALUE!</v>
      </c>
      <c r="AP81" s="95" t="e" cm="1" vm="1">
        <f t="array" aca="1" ref="AP81" ca="1">_xlfn.LET(
_xlpm.rango, INDIRECT("E!$C$" &amp; $BA$8 &amp; ":$DR$" &amp; $BA$9),
_xlpm.col, AP$72+$D80*10,
INDEX(_xlpm.rango,$BA$4-3,_xlpm.col) +
INDEX(_xlpm.rango,$BA$4-2,_xlpm.col) +
INDEX(_xlpm.rango,$BA$4-1,_xlpm.col) +
INDEX(_xlpm.rango,$BA$4, _xlpm.col)
)</f>
        <v>#VALUE!</v>
      </c>
      <c r="AQ81" s="95" t="e" cm="1" vm="1">
        <f t="array" aca="1" ref="AQ81" ca="1">_xlfn.LET(
_xlpm.rango, INDIRECT("E!$C$" &amp; $BA$8 &amp; ":$DR$" &amp; $BA$9),
_xlpm.col, AQ$72+$D80*10,
INDEX(_xlpm.rango,$BA$4-3,_xlpm.col) +
INDEX(_xlpm.rango,$BA$4-2,_xlpm.col) +
INDEX(_xlpm.rango,$BA$4-1,_xlpm.col) +
INDEX(_xlpm.rango,$BA$4, _xlpm.col)
)</f>
        <v>#VALUE!</v>
      </c>
      <c r="AR81" s="95" t="e" cm="1" vm="1">
        <f t="array" aca="1" ref="AR81" ca="1">_xlfn.LET(
_xlpm.rango, INDIRECT("E!$C$" &amp; $BA$8 &amp; ":$DR$" &amp; $BA$9),
_xlpm.col, AR$72+$D80*10,
INDEX(_xlpm.rango,$BA$4-3,_xlpm.col) +
INDEX(_xlpm.rango,$BA$4-2,_xlpm.col) +
INDEX(_xlpm.rango,$BA$4-1,_xlpm.col) +
INDEX(_xlpm.rango,$BA$4, _xlpm.col)
)</f>
        <v>#VALUE!</v>
      </c>
      <c r="AS81" s="112" t="e" cm="1" vm="1">
        <f t="array" aca="1" ref="AS81" ca="1">_xlfn.LET(
_xlpm.rango, INDIRECT("E!$C$" &amp; $BA$8 &amp; ":$DR$" &amp; $BA$9),
_xlpm.col, AS$72+$D80*10,
INDEX(_xlpm.rango,$BA$4-3,_xlpm.col) +
INDEX(_xlpm.rango,$BA$4-2,_xlpm.col) +
INDEX(_xlpm.rango,$BA$4-1,_xlpm.col) +
INDEX(_xlpm.rango,$BA$4, _xlpm.col)
)</f>
        <v>#VALUE!</v>
      </c>
      <c r="AT81" s="118" t="e" vm="2">
        <f t="shared" ca="1" si="0"/>
        <v>#VALUE!</v>
      </c>
      <c r="AU81" s="120" t="e" vm="2">
        <f t="shared" ca="1" si="1"/>
        <v>#VALUE!</v>
      </c>
    </row>
    <row r="82" spans="4:47" x14ac:dyDescent="0.25">
      <c r="D82">
        <v>7</v>
      </c>
      <c r="E82" s="106" t="str">
        <f>Inicio!V10</f>
        <v>Van</v>
      </c>
      <c r="F82" s="100" t="e" cm="1" vm="1">
        <f t="array" aca="1" ref="F82" ca="1">_xlfn.LET(
_xlpm.rango, INDIRECT("N!$C$" &amp; $BA$8 &amp; ":$DR$" &amp; $BA$9),
_xlpm.col, F$72+$D81*10,
INDEX(_xlpm.rango,$BA$4-3,_xlpm.col) +
INDEX(_xlpm.rango,$BA$4-2,_xlpm.col) +
INDEX(_xlpm.rango,$BA$4-1,_xlpm.col) +
INDEX(_xlpm.rango,$BA$4, _xlpm.col)
)</f>
        <v>#VALUE!</v>
      </c>
      <c r="G82" s="95" t="e" cm="1" vm="1">
        <f t="array" aca="1" ref="G82" ca="1">_xlfn.LET(
_xlpm.rango, INDIRECT("N!$C$" &amp; $BA$8 &amp; ":$DR$" &amp; $BA$9),
_xlpm.col, G$72+$D81*10,
INDEX(_xlpm.rango,$BA$4-3,_xlpm.col) +
INDEX(_xlpm.rango,$BA$4-2,_xlpm.col) +
INDEX(_xlpm.rango,$BA$4-1,_xlpm.col) +
INDEX(_xlpm.rango,$BA$4, _xlpm.col)
)</f>
        <v>#VALUE!</v>
      </c>
      <c r="H82" s="95" t="e" cm="1" vm="1">
        <f t="array" aca="1" ref="H82" ca="1">_xlfn.LET(
_xlpm.rango, INDIRECT("N!$C$" &amp; $BA$8 &amp; ":$DR$" &amp; $BA$9),
_xlpm.col, H$72+$D81*10,
INDEX(_xlpm.rango,$BA$4-3,_xlpm.col) +
INDEX(_xlpm.rango,$BA$4-2,_xlpm.col) +
INDEX(_xlpm.rango,$BA$4-1,_xlpm.col) +
INDEX(_xlpm.rango,$BA$4, _xlpm.col)
)</f>
        <v>#VALUE!</v>
      </c>
      <c r="I82" s="95" t="e" cm="1" vm="1">
        <f t="array" aca="1" ref="I82" ca="1">_xlfn.LET(
_xlpm.rango, INDIRECT("N!$C$" &amp; $BA$8 &amp; ":$DR$" &amp; $BA$9),
_xlpm.col, I$72+$D81*10,
INDEX(_xlpm.rango,$BA$4-3,_xlpm.col) +
INDEX(_xlpm.rango,$BA$4-2,_xlpm.col) +
INDEX(_xlpm.rango,$BA$4-1,_xlpm.col) +
INDEX(_xlpm.rango,$BA$4, _xlpm.col)
)</f>
        <v>#VALUE!</v>
      </c>
      <c r="J82" s="95" t="e" cm="1" vm="1">
        <f t="array" aca="1" ref="J82" ca="1">_xlfn.LET(
_xlpm.rango, INDIRECT("N!$C$" &amp; $BA$8 &amp; ":$DR$" &amp; $BA$9),
_xlpm.col, J$72+$D81*10,
INDEX(_xlpm.rango,$BA$4-3,_xlpm.col) +
INDEX(_xlpm.rango,$BA$4-2,_xlpm.col) +
INDEX(_xlpm.rango,$BA$4-1,_xlpm.col) +
INDEX(_xlpm.rango,$BA$4, _xlpm.col)
)</f>
        <v>#VALUE!</v>
      </c>
      <c r="K82" s="95" t="e" cm="1" vm="1">
        <f t="array" aca="1" ref="K82" ca="1">_xlfn.LET(
_xlpm.rango, INDIRECT("N!$C$" &amp; $BA$8 &amp; ":$DR$" &amp; $BA$9),
_xlpm.col, K$72+$D81*10,
INDEX(_xlpm.rango,$BA$4-3,_xlpm.col) +
INDEX(_xlpm.rango,$BA$4-2,_xlpm.col) +
INDEX(_xlpm.rango,$BA$4-1,_xlpm.col) +
INDEX(_xlpm.rango,$BA$4, _xlpm.col)
)</f>
        <v>#VALUE!</v>
      </c>
      <c r="L82" s="95" t="e" cm="1" vm="1">
        <f t="array" aca="1" ref="L82" ca="1">_xlfn.LET(
_xlpm.rango, INDIRECT("N!$C$" &amp; $BA$8 &amp; ":$DR$" &amp; $BA$9),
_xlpm.col, L$72+$D81*10,
INDEX(_xlpm.rango,$BA$4-3,_xlpm.col) +
INDEX(_xlpm.rango,$BA$4-2,_xlpm.col) +
INDEX(_xlpm.rango,$BA$4-1,_xlpm.col) +
INDEX(_xlpm.rango,$BA$4, _xlpm.col)
)</f>
        <v>#VALUE!</v>
      </c>
      <c r="M82" s="95" t="e" cm="1" vm="1">
        <f t="array" aca="1" ref="M82" ca="1">_xlfn.LET(
_xlpm.rango, INDIRECT("N!$C$" &amp; $BA$8 &amp; ":$DR$" &amp; $BA$9),
_xlpm.col, M$72+$D81*10,
INDEX(_xlpm.rango,$BA$4-3,_xlpm.col) +
INDEX(_xlpm.rango,$BA$4-2,_xlpm.col) +
INDEX(_xlpm.rango,$BA$4-1,_xlpm.col) +
INDEX(_xlpm.rango,$BA$4, _xlpm.col)
)</f>
        <v>#VALUE!</v>
      </c>
      <c r="N82" s="95" t="e" cm="1" vm="1">
        <f t="array" aca="1" ref="N82" ca="1">_xlfn.LET(
_xlpm.rango, INDIRECT("N!$C$" &amp; $BA$8 &amp; ":$DR$" &amp; $BA$9),
_xlpm.col, N$72+$D81*10,
INDEX(_xlpm.rango,$BA$4-3,_xlpm.col) +
INDEX(_xlpm.rango,$BA$4-2,_xlpm.col) +
INDEX(_xlpm.rango,$BA$4-1,_xlpm.col) +
INDEX(_xlpm.rango,$BA$4, _xlpm.col)
)</f>
        <v>#VALUE!</v>
      </c>
      <c r="O82" s="96" t="e" cm="1" vm="1">
        <f t="array" aca="1" ref="O82" ca="1">_xlfn.LET(
_xlpm.rango, INDIRECT("N!$C$" &amp; $BA$8 &amp; ":$DR$" &amp; $BA$9),
_xlpm.col, O$72+$D81*10,
INDEX(_xlpm.rango,$BA$4-3,_xlpm.col) +
INDEX(_xlpm.rango,$BA$4-2,_xlpm.col) +
INDEX(_xlpm.rango,$BA$4-1,_xlpm.col) +
INDEX(_xlpm.rango,$BA$4, _xlpm.col)
)</f>
        <v>#VALUE!</v>
      </c>
      <c r="P82" s="95" t="e" cm="1" vm="1">
        <f t="array" aca="1" ref="P82" ca="1">_xlfn.LET(
_xlpm.rango, INDIRECT("S!$C$" &amp; $BA$8 &amp; ":$DR$" &amp; $BA$9),
_xlpm.col, P$72+$D81*10,
INDEX(_xlpm.rango,$BA$4-3,_xlpm.col) +
INDEX(_xlpm.rango,$BA$4-2,_xlpm.col) +
INDEX(_xlpm.rango,$BA$4-1,_xlpm.col) +
INDEX(_xlpm.rango,$BA$4, _xlpm.col)
)</f>
        <v>#VALUE!</v>
      </c>
      <c r="Q82" s="95" t="e" cm="1" vm="1">
        <f t="array" aca="1" ref="Q82" ca="1">_xlfn.LET(
_xlpm.rango, INDIRECT("S!$C$" &amp; $BA$8 &amp; ":$DR$" &amp; $BA$9),
_xlpm.col, Q$72+$D81*10,
INDEX(_xlpm.rango,$BA$4-3,_xlpm.col) +
INDEX(_xlpm.rango,$BA$4-2,_xlpm.col) +
INDEX(_xlpm.rango,$BA$4-1,_xlpm.col) +
INDEX(_xlpm.rango,$BA$4, _xlpm.col)
)</f>
        <v>#VALUE!</v>
      </c>
      <c r="R82" s="95" t="e" cm="1" vm="1">
        <f t="array" aca="1" ref="R82" ca="1">_xlfn.LET(
_xlpm.rango, INDIRECT("S!$C$" &amp; $BA$8 &amp; ":$DR$" &amp; $BA$9),
_xlpm.col, R$72+$D81*10,
INDEX(_xlpm.rango,$BA$4-3,_xlpm.col) +
INDEX(_xlpm.rango,$BA$4-2,_xlpm.col) +
INDEX(_xlpm.rango,$BA$4-1,_xlpm.col) +
INDEX(_xlpm.rango,$BA$4, _xlpm.col)
)</f>
        <v>#VALUE!</v>
      </c>
      <c r="S82" s="95" t="e" cm="1" vm="1">
        <f t="array" aca="1" ref="S82" ca="1">_xlfn.LET(
_xlpm.rango, INDIRECT("S!$C$" &amp; $BA$8 &amp; ":$DR$" &amp; $BA$9),
_xlpm.col, S$72+$D81*10,
INDEX(_xlpm.rango,$BA$4-3,_xlpm.col) +
INDEX(_xlpm.rango,$BA$4-2,_xlpm.col) +
INDEX(_xlpm.rango,$BA$4-1,_xlpm.col) +
INDEX(_xlpm.rango,$BA$4, _xlpm.col)
)</f>
        <v>#VALUE!</v>
      </c>
      <c r="T82" s="95" t="e" cm="1" vm="1">
        <f t="array" aca="1" ref="T82" ca="1">_xlfn.LET(
_xlpm.rango, INDIRECT("S!$C$" &amp; $BA$8 &amp; ":$DR$" &amp; $BA$9),
_xlpm.col, T$72+$D81*10,
INDEX(_xlpm.rango,$BA$4-3,_xlpm.col) +
INDEX(_xlpm.rango,$BA$4-2,_xlpm.col) +
INDEX(_xlpm.rango,$BA$4-1,_xlpm.col) +
INDEX(_xlpm.rango,$BA$4, _xlpm.col)
)</f>
        <v>#VALUE!</v>
      </c>
      <c r="U82" s="95" t="e" cm="1" vm="1">
        <f t="array" aca="1" ref="U82" ca="1">_xlfn.LET(
_xlpm.rango, INDIRECT("S!$C$" &amp; $BA$8 &amp; ":$DR$" &amp; $BA$9),
_xlpm.col, U$72+$D81*10,
INDEX(_xlpm.rango,$BA$4-3,_xlpm.col) +
INDEX(_xlpm.rango,$BA$4-2,_xlpm.col) +
INDEX(_xlpm.rango,$BA$4-1,_xlpm.col) +
INDEX(_xlpm.rango,$BA$4, _xlpm.col)
)</f>
        <v>#VALUE!</v>
      </c>
      <c r="V82" s="95" t="e" cm="1" vm="1">
        <f t="array" aca="1" ref="V82" ca="1">_xlfn.LET(
_xlpm.rango, INDIRECT("S!$C$" &amp; $BA$8 &amp; ":$DR$" &amp; $BA$9),
_xlpm.col, V$72+$D81*10,
INDEX(_xlpm.rango,$BA$4-3,_xlpm.col) +
INDEX(_xlpm.rango,$BA$4-2,_xlpm.col) +
INDEX(_xlpm.rango,$BA$4-1,_xlpm.col) +
INDEX(_xlpm.rango,$BA$4, _xlpm.col)
)</f>
        <v>#VALUE!</v>
      </c>
      <c r="W82" s="95" t="e" cm="1" vm="1">
        <f t="array" aca="1" ref="W82" ca="1">_xlfn.LET(
_xlpm.rango, INDIRECT("S!$C$" &amp; $BA$8 &amp; ":$DR$" &amp; $BA$9),
_xlpm.col, W$72+$D81*10,
INDEX(_xlpm.rango,$BA$4-3,_xlpm.col) +
INDEX(_xlpm.rango,$BA$4-2,_xlpm.col) +
INDEX(_xlpm.rango,$BA$4-1,_xlpm.col) +
INDEX(_xlpm.rango,$BA$4, _xlpm.col)
)</f>
        <v>#VALUE!</v>
      </c>
      <c r="X82" s="95" t="e" cm="1" vm="1">
        <f t="array" aca="1" ref="X82" ca="1">_xlfn.LET(
_xlpm.rango, INDIRECT("S!$C$" &amp; $BA$8 &amp; ":$DR$" &amp; $BA$9),
_xlpm.col, X$72+$D81*10,
INDEX(_xlpm.rango,$BA$4-3,_xlpm.col) +
INDEX(_xlpm.rango,$BA$4-2,_xlpm.col) +
INDEX(_xlpm.rango,$BA$4-1,_xlpm.col) +
INDEX(_xlpm.rango,$BA$4, _xlpm.col)
)</f>
        <v>#VALUE!</v>
      </c>
      <c r="Y82" s="95" t="e" cm="1" vm="1">
        <f t="array" aca="1" ref="Y82" ca="1">_xlfn.LET(
_xlpm.rango, INDIRECT("S!$C$" &amp; $BA$8 &amp; ":$DR$" &amp; $BA$9),
_xlpm.col, Y$72+$D81*10,
INDEX(_xlpm.rango,$BA$4-3,_xlpm.col) +
INDEX(_xlpm.rango,$BA$4-2,_xlpm.col) +
INDEX(_xlpm.rango,$BA$4-1,_xlpm.col) +
INDEX(_xlpm.rango,$BA$4, _xlpm.col)
)</f>
        <v>#VALUE!</v>
      </c>
      <c r="Z82" s="100" t="e" cm="1" vm="1">
        <f t="array" aca="1" ref="Z82" ca="1">_xlfn.LET(
_xlpm.rango, INDIRECT("E!$C$" &amp; $BA$8 &amp; ":$DR$" &amp; $BA$9),
_xlpm.col, Z$72+$D81*10,
INDEX(_xlpm.rango,$BA$4-3,_xlpm.col) +
INDEX(_xlpm.rango,$BA$4-2,_xlpm.col) +
INDEX(_xlpm.rango,$BA$4-1,_xlpm.col) +
INDEX(_xlpm.rango,$BA$4, _xlpm.col)
)</f>
        <v>#VALUE!</v>
      </c>
      <c r="AA82" s="95" t="e" cm="1" vm="1">
        <f t="array" aca="1" ref="AA82" ca="1">_xlfn.LET(
_xlpm.rango, INDIRECT("E!$C$" &amp; $BA$8 &amp; ":$DR$" &amp; $BA$9),
_xlpm.col, AA$72+$D81*10,
INDEX(_xlpm.rango,$BA$4-3,_xlpm.col) +
INDEX(_xlpm.rango,$BA$4-2,_xlpm.col) +
INDEX(_xlpm.rango,$BA$4-1,_xlpm.col) +
INDEX(_xlpm.rango,$BA$4, _xlpm.col)
)</f>
        <v>#VALUE!</v>
      </c>
      <c r="AB82" s="95" t="e" cm="1" vm="1">
        <f t="array" aca="1" ref="AB82" ca="1">_xlfn.LET(
_xlpm.rango, INDIRECT("E!$C$" &amp; $BA$8 &amp; ":$DR$" &amp; $BA$9),
_xlpm.col, AB$72+$D81*10,
INDEX(_xlpm.rango,$BA$4-3,_xlpm.col) +
INDEX(_xlpm.rango,$BA$4-2,_xlpm.col) +
INDEX(_xlpm.rango,$BA$4-1,_xlpm.col) +
INDEX(_xlpm.rango,$BA$4, _xlpm.col)
)</f>
        <v>#VALUE!</v>
      </c>
      <c r="AC82" s="95" t="e" cm="1" vm="1">
        <f t="array" aca="1" ref="AC82" ca="1">_xlfn.LET(
_xlpm.rango, INDIRECT("E!$C$" &amp; $BA$8 &amp; ":$DR$" &amp; $BA$9),
_xlpm.col, AC$72+$D81*10,
INDEX(_xlpm.rango,$BA$4-3,_xlpm.col) +
INDEX(_xlpm.rango,$BA$4-2,_xlpm.col) +
INDEX(_xlpm.rango,$BA$4-1,_xlpm.col) +
INDEX(_xlpm.rango,$BA$4, _xlpm.col)
)</f>
        <v>#VALUE!</v>
      </c>
      <c r="AD82" s="95" t="e" cm="1" vm="1">
        <f t="array" aca="1" ref="AD82" ca="1">_xlfn.LET(
_xlpm.rango, INDIRECT("E!$C$" &amp; $BA$8 &amp; ":$DR$" &amp; $BA$9),
_xlpm.col, AD$72+$D81*10,
INDEX(_xlpm.rango,$BA$4-3,_xlpm.col) +
INDEX(_xlpm.rango,$BA$4-2,_xlpm.col) +
INDEX(_xlpm.rango,$BA$4-1,_xlpm.col) +
INDEX(_xlpm.rango,$BA$4, _xlpm.col)
)</f>
        <v>#VALUE!</v>
      </c>
      <c r="AE82" s="95" t="e" cm="1" vm="1">
        <f t="array" aca="1" ref="AE82" ca="1">_xlfn.LET(
_xlpm.rango, INDIRECT("E!$C$" &amp; $BA$8 &amp; ":$DR$" &amp; $BA$9),
_xlpm.col, AE$72+$D81*10,
INDEX(_xlpm.rango,$BA$4-3,_xlpm.col) +
INDEX(_xlpm.rango,$BA$4-2,_xlpm.col) +
INDEX(_xlpm.rango,$BA$4-1,_xlpm.col) +
INDEX(_xlpm.rango,$BA$4, _xlpm.col)
)</f>
        <v>#VALUE!</v>
      </c>
      <c r="AF82" s="95" t="e" cm="1" vm="1">
        <f t="array" aca="1" ref="AF82" ca="1">_xlfn.LET(
_xlpm.rango, INDIRECT("E!$C$" &amp; $BA$8 &amp; ":$DR$" &amp; $BA$9),
_xlpm.col, AF$72+$D81*10,
INDEX(_xlpm.rango,$BA$4-3,_xlpm.col) +
INDEX(_xlpm.rango,$BA$4-2,_xlpm.col) +
INDEX(_xlpm.rango,$BA$4-1,_xlpm.col) +
INDEX(_xlpm.rango,$BA$4, _xlpm.col)
)</f>
        <v>#VALUE!</v>
      </c>
      <c r="AG82" s="95" t="e" cm="1" vm="1">
        <f t="array" aca="1" ref="AG82" ca="1">_xlfn.LET(
_xlpm.rango, INDIRECT("E!$C$" &amp; $BA$8 &amp; ":$DR$" &amp; $BA$9),
_xlpm.col, AG$72+$D81*10,
INDEX(_xlpm.rango,$BA$4-3,_xlpm.col) +
INDEX(_xlpm.rango,$BA$4-2,_xlpm.col) +
INDEX(_xlpm.rango,$BA$4-1,_xlpm.col) +
INDEX(_xlpm.rango,$BA$4, _xlpm.col)
)</f>
        <v>#VALUE!</v>
      </c>
      <c r="AH82" s="95" t="e" cm="1" vm="1">
        <f t="array" aca="1" ref="AH82" ca="1">_xlfn.LET(
_xlpm.rango, INDIRECT("E!$C$" &amp; $BA$8 &amp; ":$DR$" &amp; $BA$9),
_xlpm.col, AH$72+$D81*10,
INDEX(_xlpm.rango,$BA$4-3,_xlpm.col) +
INDEX(_xlpm.rango,$BA$4-2,_xlpm.col) +
INDEX(_xlpm.rango,$BA$4-1,_xlpm.col) +
INDEX(_xlpm.rango,$BA$4, _xlpm.col)
)</f>
        <v>#VALUE!</v>
      </c>
      <c r="AI82" s="96" t="e" cm="1" vm="1">
        <f t="array" aca="1" ref="AI82" ca="1">_xlfn.LET(
_xlpm.rango, INDIRECT("E!$C$" &amp; $BA$8 &amp; ":$DR$" &amp; $BA$9),
_xlpm.col, AI$72+$D81*10,
INDEX(_xlpm.rango,$BA$4-3,_xlpm.col) +
INDEX(_xlpm.rango,$BA$4-2,_xlpm.col) +
INDEX(_xlpm.rango,$BA$4-1,_xlpm.col) +
INDEX(_xlpm.rango,$BA$4, _xlpm.col)
)</f>
        <v>#VALUE!</v>
      </c>
      <c r="AJ82" s="95" t="e" cm="1" vm="1">
        <f t="array" aca="1" ref="AJ82" ca="1">_xlfn.LET(
_xlpm.rango, INDIRECT("E!$C$" &amp; $BA$8 &amp; ":$DR$" &amp; $BA$9),
_xlpm.col, AJ$72+$D81*10,
INDEX(_xlpm.rango,$BA$4-3,_xlpm.col) +
INDEX(_xlpm.rango,$BA$4-2,_xlpm.col) +
INDEX(_xlpm.rango,$BA$4-1,_xlpm.col) +
INDEX(_xlpm.rango,$BA$4, _xlpm.col)
)</f>
        <v>#VALUE!</v>
      </c>
      <c r="AK82" s="95" t="e" cm="1" vm="1">
        <f t="array" aca="1" ref="AK82" ca="1">_xlfn.LET(
_xlpm.rango, INDIRECT("E!$C$" &amp; $BA$8 &amp; ":$DR$" &amp; $BA$9),
_xlpm.col, AK$72+$D81*10,
INDEX(_xlpm.rango,$BA$4-3,_xlpm.col) +
INDEX(_xlpm.rango,$BA$4-2,_xlpm.col) +
INDEX(_xlpm.rango,$BA$4-1,_xlpm.col) +
INDEX(_xlpm.rango,$BA$4, _xlpm.col)
)</f>
        <v>#VALUE!</v>
      </c>
      <c r="AL82" s="95" t="e" cm="1" vm="1">
        <f t="array" aca="1" ref="AL82" ca="1">_xlfn.LET(
_xlpm.rango, INDIRECT("E!$C$" &amp; $BA$8 &amp; ":$DR$" &amp; $BA$9),
_xlpm.col, AL$72+$D81*10,
INDEX(_xlpm.rango,$BA$4-3,_xlpm.col) +
INDEX(_xlpm.rango,$BA$4-2,_xlpm.col) +
INDEX(_xlpm.rango,$BA$4-1,_xlpm.col) +
INDEX(_xlpm.rango,$BA$4, _xlpm.col)
)</f>
        <v>#VALUE!</v>
      </c>
      <c r="AM82" s="95" t="e" cm="1" vm="1">
        <f t="array" aca="1" ref="AM82" ca="1">_xlfn.LET(
_xlpm.rango, INDIRECT("E!$C$" &amp; $BA$8 &amp; ":$DR$" &amp; $BA$9),
_xlpm.col, AM$72+$D81*10,
INDEX(_xlpm.rango,$BA$4-3,_xlpm.col) +
INDEX(_xlpm.rango,$BA$4-2,_xlpm.col) +
INDEX(_xlpm.rango,$BA$4-1,_xlpm.col) +
INDEX(_xlpm.rango,$BA$4, _xlpm.col)
)</f>
        <v>#VALUE!</v>
      </c>
      <c r="AN82" s="95" t="e" cm="1" vm="1">
        <f t="array" aca="1" ref="AN82" ca="1">_xlfn.LET(
_xlpm.rango, INDIRECT("E!$C$" &amp; $BA$8 &amp; ":$DR$" &amp; $BA$9),
_xlpm.col, AN$72+$D81*10,
INDEX(_xlpm.rango,$BA$4-3,_xlpm.col) +
INDEX(_xlpm.rango,$BA$4-2,_xlpm.col) +
INDEX(_xlpm.rango,$BA$4-1,_xlpm.col) +
INDEX(_xlpm.rango,$BA$4, _xlpm.col)
)</f>
        <v>#VALUE!</v>
      </c>
      <c r="AO82" s="95" t="e" cm="1" vm="1">
        <f t="array" aca="1" ref="AO82" ca="1">_xlfn.LET(
_xlpm.rango, INDIRECT("E!$C$" &amp; $BA$8 &amp; ":$DR$" &amp; $BA$9),
_xlpm.col, AO$72+$D81*10,
INDEX(_xlpm.rango,$BA$4-3,_xlpm.col) +
INDEX(_xlpm.rango,$BA$4-2,_xlpm.col) +
INDEX(_xlpm.rango,$BA$4-1,_xlpm.col) +
INDEX(_xlpm.rango,$BA$4, _xlpm.col)
)</f>
        <v>#VALUE!</v>
      </c>
      <c r="AP82" s="95" t="e" cm="1" vm="1">
        <f t="array" aca="1" ref="AP82" ca="1">_xlfn.LET(
_xlpm.rango, INDIRECT("E!$C$" &amp; $BA$8 &amp; ":$DR$" &amp; $BA$9),
_xlpm.col, AP$72+$D81*10,
INDEX(_xlpm.rango,$BA$4-3,_xlpm.col) +
INDEX(_xlpm.rango,$BA$4-2,_xlpm.col) +
INDEX(_xlpm.rango,$BA$4-1,_xlpm.col) +
INDEX(_xlpm.rango,$BA$4, _xlpm.col)
)</f>
        <v>#VALUE!</v>
      </c>
      <c r="AQ82" s="95" t="e" cm="1" vm="1">
        <f t="array" aca="1" ref="AQ82" ca="1">_xlfn.LET(
_xlpm.rango, INDIRECT("E!$C$" &amp; $BA$8 &amp; ":$DR$" &amp; $BA$9),
_xlpm.col, AQ$72+$D81*10,
INDEX(_xlpm.rango,$BA$4-3,_xlpm.col) +
INDEX(_xlpm.rango,$BA$4-2,_xlpm.col) +
INDEX(_xlpm.rango,$BA$4-1,_xlpm.col) +
INDEX(_xlpm.rango,$BA$4, _xlpm.col)
)</f>
        <v>#VALUE!</v>
      </c>
      <c r="AR82" s="95" t="e" cm="1" vm="1">
        <f t="array" aca="1" ref="AR82" ca="1">_xlfn.LET(
_xlpm.rango, INDIRECT("E!$C$" &amp; $BA$8 &amp; ":$DR$" &amp; $BA$9),
_xlpm.col, AR$72+$D81*10,
INDEX(_xlpm.rango,$BA$4-3,_xlpm.col) +
INDEX(_xlpm.rango,$BA$4-2,_xlpm.col) +
INDEX(_xlpm.rango,$BA$4-1,_xlpm.col) +
INDEX(_xlpm.rango,$BA$4, _xlpm.col)
)</f>
        <v>#VALUE!</v>
      </c>
      <c r="AS82" s="112" t="e" cm="1" vm="1">
        <f t="array" aca="1" ref="AS82" ca="1">_xlfn.LET(
_xlpm.rango, INDIRECT("E!$C$" &amp; $BA$8 &amp; ":$DR$" &amp; $BA$9),
_xlpm.col, AS$72+$D81*10,
INDEX(_xlpm.rango,$BA$4-3,_xlpm.col) +
INDEX(_xlpm.rango,$BA$4-2,_xlpm.col) +
INDEX(_xlpm.rango,$BA$4-1,_xlpm.col) +
INDEX(_xlpm.rango,$BA$4, _xlpm.col)
)</f>
        <v>#VALUE!</v>
      </c>
      <c r="AT82" s="118" t="e" vm="2">
        <f t="shared" ca="1" si="0"/>
        <v>#VALUE!</v>
      </c>
      <c r="AU82" s="120" t="e" vm="2">
        <f t="shared" ca="1" si="1"/>
        <v>#VALUE!</v>
      </c>
    </row>
    <row r="83" spans="4:47" x14ac:dyDescent="0.25">
      <c r="D83">
        <v>8</v>
      </c>
      <c r="E83" s="106" t="str">
        <f>Inicio!V11</f>
        <v>Combi</v>
      </c>
      <c r="F83" s="100" t="e" cm="1" vm="1">
        <f t="array" aca="1" ref="F83" ca="1">_xlfn.LET(
_xlpm.rango, INDIRECT("N!$C$" &amp; $BA$8 &amp; ":$DR$" &amp; $BA$9),
_xlpm.col, F$72+$D82*10,
INDEX(_xlpm.rango,$BA$4-3,_xlpm.col) +
INDEX(_xlpm.rango,$BA$4-2,_xlpm.col) +
INDEX(_xlpm.rango,$BA$4-1,_xlpm.col) +
INDEX(_xlpm.rango,$BA$4, _xlpm.col)
)</f>
        <v>#VALUE!</v>
      </c>
      <c r="G83" s="95" t="e" cm="1" vm="1">
        <f t="array" aca="1" ref="G83" ca="1">_xlfn.LET(
_xlpm.rango, INDIRECT("N!$C$" &amp; $BA$8 &amp; ":$DR$" &amp; $BA$9),
_xlpm.col, G$72+$D82*10,
INDEX(_xlpm.rango,$BA$4-3,_xlpm.col) +
INDEX(_xlpm.rango,$BA$4-2,_xlpm.col) +
INDEX(_xlpm.rango,$BA$4-1,_xlpm.col) +
INDEX(_xlpm.rango,$BA$4, _xlpm.col)
)</f>
        <v>#VALUE!</v>
      </c>
      <c r="H83" s="95" t="e" cm="1" vm="1">
        <f t="array" aca="1" ref="H83" ca="1">_xlfn.LET(
_xlpm.rango, INDIRECT("N!$C$" &amp; $BA$8 &amp; ":$DR$" &amp; $BA$9),
_xlpm.col, H$72+$D82*10,
INDEX(_xlpm.rango,$BA$4-3,_xlpm.col) +
INDEX(_xlpm.rango,$BA$4-2,_xlpm.col) +
INDEX(_xlpm.rango,$BA$4-1,_xlpm.col) +
INDEX(_xlpm.rango,$BA$4, _xlpm.col)
)</f>
        <v>#VALUE!</v>
      </c>
      <c r="I83" s="95" t="e" cm="1" vm="1">
        <f t="array" aca="1" ref="I83" ca="1">_xlfn.LET(
_xlpm.rango, INDIRECT("N!$C$" &amp; $BA$8 &amp; ":$DR$" &amp; $BA$9),
_xlpm.col, I$72+$D82*10,
INDEX(_xlpm.rango,$BA$4-3,_xlpm.col) +
INDEX(_xlpm.rango,$BA$4-2,_xlpm.col) +
INDEX(_xlpm.rango,$BA$4-1,_xlpm.col) +
INDEX(_xlpm.rango,$BA$4, _xlpm.col)
)</f>
        <v>#VALUE!</v>
      </c>
      <c r="J83" s="95" t="e" cm="1" vm="1">
        <f t="array" aca="1" ref="J83" ca="1">_xlfn.LET(
_xlpm.rango, INDIRECT("N!$C$" &amp; $BA$8 &amp; ":$DR$" &amp; $BA$9),
_xlpm.col, J$72+$D82*10,
INDEX(_xlpm.rango,$BA$4-3,_xlpm.col) +
INDEX(_xlpm.rango,$BA$4-2,_xlpm.col) +
INDEX(_xlpm.rango,$BA$4-1,_xlpm.col) +
INDEX(_xlpm.rango,$BA$4, _xlpm.col)
)</f>
        <v>#VALUE!</v>
      </c>
      <c r="K83" s="95" t="e" cm="1" vm="1">
        <f t="array" aca="1" ref="K83" ca="1">_xlfn.LET(
_xlpm.rango, INDIRECT("N!$C$" &amp; $BA$8 &amp; ":$DR$" &amp; $BA$9),
_xlpm.col, K$72+$D82*10,
INDEX(_xlpm.rango,$BA$4-3,_xlpm.col) +
INDEX(_xlpm.rango,$BA$4-2,_xlpm.col) +
INDEX(_xlpm.rango,$BA$4-1,_xlpm.col) +
INDEX(_xlpm.rango,$BA$4, _xlpm.col)
)</f>
        <v>#VALUE!</v>
      </c>
      <c r="L83" s="95" t="e" cm="1" vm="1">
        <f t="array" aca="1" ref="L83" ca="1">_xlfn.LET(
_xlpm.rango, INDIRECT("N!$C$" &amp; $BA$8 &amp; ":$DR$" &amp; $BA$9),
_xlpm.col, L$72+$D82*10,
INDEX(_xlpm.rango,$BA$4-3,_xlpm.col) +
INDEX(_xlpm.rango,$BA$4-2,_xlpm.col) +
INDEX(_xlpm.rango,$BA$4-1,_xlpm.col) +
INDEX(_xlpm.rango,$BA$4, _xlpm.col)
)</f>
        <v>#VALUE!</v>
      </c>
      <c r="M83" s="95" t="e" cm="1" vm="1">
        <f t="array" aca="1" ref="M83" ca="1">_xlfn.LET(
_xlpm.rango, INDIRECT("N!$C$" &amp; $BA$8 &amp; ":$DR$" &amp; $BA$9),
_xlpm.col, M$72+$D82*10,
INDEX(_xlpm.rango,$BA$4-3,_xlpm.col) +
INDEX(_xlpm.rango,$BA$4-2,_xlpm.col) +
INDEX(_xlpm.rango,$BA$4-1,_xlpm.col) +
INDEX(_xlpm.rango,$BA$4, _xlpm.col)
)</f>
        <v>#VALUE!</v>
      </c>
      <c r="N83" s="95" t="e" cm="1" vm="1">
        <f t="array" aca="1" ref="N83" ca="1">_xlfn.LET(
_xlpm.rango, INDIRECT("N!$C$" &amp; $BA$8 &amp; ":$DR$" &amp; $BA$9),
_xlpm.col, N$72+$D82*10,
INDEX(_xlpm.rango,$BA$4-3,_xlpm.col) +
INDEX(_xlpm.rango,$BA$4-2,_xlpm.col) +
INDEX(_xlpm.rango,$BA$4-1,_xlpm.col) +
INDEX(_xlpm.rango,$BA$4, _xlpm.col)
)</f>
        <v>#VALUE!</v>
      </c>
      <c r="O83" s="96" t="e" cm="1" vm="1">
        <f t="array" aca="1" ref="O83" ca="1">_xlfn.LET(
_xlpm.rango, INDIRECT("N!$C$" &amp; $BA$8 &amp; ":$DR$" &amp; $BA$9),
_xlpm.col, O$72+$D82*10,
INDEX(_xlpm.rango,$BA$4-3,_xlpm.col) +
INDEX(_xlpm.rango,$BA$4-2,_xlpm.col) +
INDEX(_xlpm.rango,$BA$4-1,_xlpm.col) +
INDEX(_xlpm.rango,$BA$4, _xlpm.col)
)</f>
        <v>#VALUE!</v>
      </c>
      <c r="P83" s="95" t="e" cm="1" vm="1">
        <f t="array" aca="1" ref="P83" ca="1">_xlfn.LET(
_xlpm.rango, INDIRECT("S!$C$" &amp; $BA$8 &amp; ":$DR$" &amp; $BA$9),
_xlpm.col, P$72+$D82*10,
INDEX(_xlpm.rango,$BA$4-3,_xlpm.col) +
INDEX(_xlpm.rango,$BA$4-2,_xlpm.col) +
INDEX(_xlpm.rango,$BA$4-1,_xlpm.col) +
INDEX(_xlpm.rango,$BA$4, _xlpm.col)
)</f>
        <v>#VALUE!</v>
      </c>
      <c r="Q83" s="95" t="e" cm="1" vm="1">
        <f t="array" aca="1" ref="Q83" ca="1">_xlfn.LET(
_xlpm.rango, INDIRECT("S!$C$" &amp; $BA$8 &amp; ":$DR$" &amp; $BA$9),
_xlpm.col, Q$72+$D82*10,
INDEX(_xlpm.rango,$BA$4-3,_xlpm.col) +
INDEX(_xlpm.rango,$BA$4-2,_xlpm.col) +
INDEX(_xlpm.rango,$BA$4-1,_xlpm.col) +
INDEX(_xlpm.rango,$BA$4, _xlpm.col)
)</f>
        <v>#VALUE!</v>
      </c>
      <c r="R83" s="95" t="e" cm="1" vm="1">
        <f t="array" aca="1" ref="R83" ca="1">_xlfn.LET(
_xlpm.rango, INDIRECT("S!$C$" &amp; $BA$8 &amp; ":$DR$" &amp; $BA$9),
_xlpm.col, R$72+$D82*10,
INDEX(_xlpm.rango,$BA$4-3,_xlpm.col) +
INDEX(_xlpm.rango,$BA$4-2,_xlpm.col) +
INDEX(_xlpm.rango,$BA$4-1,_xlpm.col) +
INDEX(_xlpm.rango,$BA$4, _xlpm.col)
)</f>
        <v>#VALUE!</v>
      </c>
      <c r="S83" s="95" t="e" cm="1" vm="1">
        <f t="array" aca="1" ref="S83" ca="1">_xlfn.LET(
_xlpm.rango, INDIRECT("S!$C$" &amp; $BA$8 &amp; ":$DR$" &amp; $BA$9),
_xlpm.col, S$72+$D82*10,
INDEX(_xlpm.rango,$BA$4-3,_xlpm.col) +
INDEX(_xlpm.rango,$BA$4-2,_xlpm.col) +
INDEX(_xlpm.rango,$BA$4-1,_xlpm.col) +
INDEX(_xlpm.rango,$BA$4, _xlpm.col)
)</f>
        <v>#VALUE!</v>
      </c>
      <c r="T83" s="95" t="e" cm="1" vm="1">
        <f t="array" aca="1" ref="T83" ca="1">_xlfn.LET(
_xlpm.rango, INDIRECT("S!$C$" &amp; $BA$8 &amp; ":$DR$" &amp; $BA$9),
_xlpm.col, T$72+$D82*10,
INDEX(_xlpm.rango,$BA$4-3,_xlpm.col) +
INDEX(_xlpm.rango,$BA$4-2,_xlpm.col) +
INDEX(_xlpm.rango,$BA$4-1,_xlpm.col) +
INDEX(_xlpm.rango,$BA$4, _xlpm.col)
)</f>
        <v>#VALUE!</v>
      </c>
      <c r="U83" s="95" t="e" cm="1" vm="1">
        <f t="array" aca="1" ref="U83" ca="1">_xlfn.LET(
_xlpm.rango, INDIRECT("S!$C$" &amp; $BA$8 &amp; ":$DR$" &amp; $BA$9),
_xlpm.col, U$72+$D82*10,
INDEX(_xlpm.rango,$BA$4-3,_xlpm.col) +
INDEX(_xlpm.rango,$BA$4-2,_xlpm.col) +
INDEX(_xlpm.rango,$BA$4-1,_xlpm.col) +
INDEX(_xlpm.rango,$BA$4, _xlpm.col)
)</f>
        <v>#VALUE!</v>
      </c>
      <c r="V83" s="95" t="e" cm="1" vm="1">
        <f t="array" aca="1" ref="V83" ca="1">_xlfn.LET(
_xlpm.rango, INDIRECT("S!$C$" &amp; $BA$8 &amp; ":$DR$" &amp; $BA$9),
_xlpm.col, V$72+$D82*10,
INDEX(_xlpm.rango,$BA$4-3,_xlpm.col) +
INDEX(_xlpm.rango,$BA$4-2,_xlpm.col) +
INDEX(_xlpm.rango,$BA$4-1,_xlpm.col) +
INDEX(_xlpm.rango,$BA$4, _xlpm.col)
)</f>
        <v>#VALUE!</v>
      </c>
      <c r="W83" s="95" t="e" cm="1" vm="1">
        <f t="array" aca="1" ref="W83" ca="1">_xlfn.LET(
_xlpm.rango, INDIRECT("S!$C$" &amp; $BA$8 &amp; ":$DR$" &amp; $BA$9),
_xlpm.col, W$72+$D82*10,
INDEX(_xlpm.rango,$BA$4-3,_xlpm.col) +
INDEX(_xlpm.rango,$BA$4-2,_xlpm.col) +
INDEX(_xlpm.rango,$BA$4-1,_xlpm.col) +
INDEX(_xlpm.rango,$BA$4, _xlpm.col)
)</f>
        <v>#VALUE!</v>
      </c>
      <c r="X83" s="95" t="e" cm="1" vm="1">
        <f t="array" aca="1" ref="X83" ca="1">_xlfn.LET(
_xlpm.rango, INDIRECT("S!$C$" &amp; $BA$8 &amp; ":$DR$" &amp; $BA$9),
_xlpm.col, X$72+$D82*10,
INDEX(_xlpm.rango,$BA$4-3,_xlpm.col) +
INDEX(_xlpm.rango,$BA$4-2,_xlpm.col) +
INDEX(_xlpm.rango,$BA$4-1,_xlpm.col) +
INDEX(_xlpm.rango,$BA$4, _xlpm.col)
)</f>
        <v>#VALUE!</v>
      </c>
      <c r="Y83" s="95" t="e" cm="1" vm="1">
        <f t="array" aca="1" ref="Y83" ca="1">_xlfn.LET(
_xlpm.rango, INDIRECT("S!$C$" &amp; $BA$8 &amp; ":$DR$" &amp; $BA$9),
_xlpm.col, Y$72+$D82*10,
INDEX(_xlpm.rango,$BA$4-3,_xlpm.col) +
INDEX(_xlpm.rango,$BA$4-2,_xlpm.col) +
INDEX(_xlpm.rango,$BA$4-1,_xlpm.col) +
INDEX(_xlpm.rango,$BA$4, _xlpm.col)
)</f>
        <v>#VALUE!</v>
      </c>
      <c r="Z83" s="100" t="e" cm="1" vm="1">
        <f t="array" aca="1" ref="Z83" ca="1">_xlfn.LET(
_xlpm.rango, INDIRECT("E!$C$" &amp; $BA$8 &amp; ":$DR$" &amp; $BA$9),
_xlpm.col, Z$72+$D82*10,
INDEX(_xlpm.rango,$BA$4-3,_xlpm.col) +
INDEX(_xlpm.rango,$BA$4-2,_xlpm.col) +
INDEX(_xlpm.rango,$BA$4-1,_xlpm.col) +
INDEX(_xlpm.rango,$BA$4, _xlpm.col)
)</f>
        <v>#VALUE!</v>
      </c>
      <c r="AA83" s="95" t="e" cm="1" vm="1">
        <f t="array" aca="1" ref="AA83" ca="1">_xlfn.LET(
_xlpm.rango, INDIRECT("E!$C$" &amp; $BA$8 &amp; ":$DR$" &amp; $BA$9),
_xlpm.col, AA$72+$D82*10,
INDEX(_xlpm.rango,$BA$4-3,_xlpm.col) +
INDEX(_xlpm.rango,$BA$4-2,_xlpm.col) +
INDEX(_xlpm.rango,$BA$4-1,_xlpm.col) +
INDEX(_xlpm.rango,$BA$4, _xlpm.col)
)</f>
        <v>#VALUE!</v>
      </c>
      <c r="AB83" s="95" t="e" cm="1" vm="1">
        <f t="array" aca="1" ref="AB83" ca="1">_xlfn.LET(
_xlpm.rango, INDIRECT("E!$C$" &amp; $BA$8 &amp; ":$DR$" &amp; $BA$9),
_xlpm.col, AB$72+$D82*10,
INDEX(_xlpm.rango,$BA$4-3,_xlpm.col) +
INDEX(_xlpm.rango,$BA$4-2,_xlpm.col) +
INDEX(_xlpm.rango,$BA$4-1,_xlpm.col) +
INDEX(_xlpm.rango,$BA$4, _xlpm.col)
)</f>
        <v>#VALUE!</v>
      </c>
      <c r="AC83" s="95" t="e" cm="1" vm="1">
        <f t="array" aca="1" ref="AC83" ca="1">_xlfn.LET(
_xlpm.rango, INDIRECT("E!$C$" &amp; $BA$8 &amp; ":$DR$" &amp; $BA$9),
_xlpm.col, AC$72+$D82*10,
INDEX(_xlpm.rango,$BA$4-3,_xlpm.col) +
INDEX(_xlpm.rango,$BA$4-2,_xlpm.col) +
INDEX(_xlpm.rango,$BA$4-1,_xlpm.col) +
INDEX(_xlpm.rango,$BA$4, _xlpm.col)
)</f>
        <v>#VALUE!</v>
      </c>
      <c r="AD83" s="95" t="e" cm="1" vm="1">
        <f t="array" aca="1" ref="AD83" ca="1">_xlfn.LET(
_xlpm.rango, INDIRECT("E!$C$" &amp; $BA$8 &amp; ":$DR$" &amp; $BA$9),
_xlpm.col, AD$72+$D82*10,
INDEX(_xlpm.rango,$BA$4-3,_xlpm.col) +
INDEX(_xlpm.rango,$BA$4-2,_xlpm.col) +
INDEX(_xlpm.rango,$BA$4-1,_xlpm.col) +
INDEX(_xlpm.rango,$BA$4, _xlpm.col)
)</f>
        <v>#VALUE!</v>
      </c>
      <c r="AE83" s="95" t="e" cm="1" vm="1">
        <f t="array" aca="1" ref="AE83" ca="1">_xlfn.LET(
_xlpm.rango, INDIRECT("E!$C$" &amp; $BA$8 &amp; ":$DR$" &amp; $BA$9),
_xlpm.col, AE$72+$D82*10,
INDEX(_xlpm.rango,$BA$4-3,_xlpm.col) +
INDEX(_xlpm.rango,$BA$4-2,_xlpm.col) +
INDEX(_xlpm.rango,$BA$4-1,_xlpm.col) +
INDEX(_xlpm.rango,$BA$4, _xlpm.col)
)</f>
        <v>#VALUE!</v>
      </c>
      <c r="AF83" s="95" t="e" cm="1" vm="1">
        <f t="array" aca="1" ref="AF83" ca="1">_xlfn.LET(
_xlpm.rango, INDIRECT("E!$C$" &amp; $BA$8 &amp; ":$DR$" &amp; $BA$9),
_xlpm.col, AF$72+$D82*10,
INDEX(_xlpm.rango,$BA$4-3,_xlpm.col) +
INDEX(_xlpm.rango,$BA$4-2,_xlpm.col) +
INDEX(_xlpm.rango,$BA$4-1,_xlpm.col) +
INDEX(_xlpm.rango,$BA$4, _xlpm.col)
)</f>
        <v>#VALUE!</v>
      </c>
      <c r="AG83" s="95" t="e" cm="1" vm="1">
        <f t="array" aca="1" ref="AG83" ca="1">_xlfn.LET(
_xlpm.rango, INDIRECT("E!$C$" &amp; $BA$8 &amp; ":$DR$" &amp; $BA$9),
_xlpm.col, AG$72+$D82*10,
INDEX(_xlpm.rango,$BA$4-3,_xlpm.col) +
INDEX(_xlpm.rango,$BA$4-2,_xlpm.col) +
INDEX(_xlpm.rango,$BA$4-1,_xlpm.col) +
INDEX(_xlpm.rango,$BA$4, _xlpm.col)
)</f>
        <v>#VALUE!</v>
      </c>
      <c r="AH83" s="95" t="e" cm="1" vm="1">
        <f t="array" aca="1" ref="AH83" ca="1">_xlfn.LET(
_xlpm.rango, INDIRECT("E!$C$" &amp; $BA$8 &amp; ":$DR$" &amp; $BA$9),
_xlpm.col, AH$72+$D82*10,
INDEX(_xlpm.rango,$BA$4-3,_xlpm.col) +
INDEX(_xlpm.rango,$BA$4-2,_xlpm.col) +
INDEX(_xlpm.rango,$BA$4-1,_xlpm.col) +
INDEX(_xlpm.rango,$BA$4, _xlpm.col)
)</f>
        <v>#VALUE!</v>
      </c>
      <c r="AI83" s="96" t="e" cm="1" vm="1">
        <f t="array" aca="1" ref="AI83" ca="1">_xlfn.LET(
_xlpm.rango, INDIRECT("E!$C$" &amp; $BA$8 &amp; ":$DR$" &amp; $BA$9),
_xlpm.col, AI$72+$D82*10,
INDEX(_xlpm.rango,$BA$4-3,_xlpm.col) +
INDEX(_xlpm.rango,$BA$4-2,_xlpm.col) +
INDEX(_xlpm.rango,$BA$4-1,_xlpm.col) +
INDEX(_xlpm.rango,$BA$4, _xlpm.col)
)</f>
        <v>#VALUE!</v>
      </c>
      <c r="AJ83" s="95" t="e" cm="1" vm="1">
        <f t="array" aca="1" ref="AJ83" ca="1">_xlfn.LET(
_xlpm.rango, INDIRECT("E!$C$" &amp; $BA$8 &amp; ":$DR$" &amp; $BA$9),
_xlpm.col, AJ$72+$D82*10,
INDEX(_xlpm.rango,$BA$4-3,_xlpm.col) +
INDEX(_xlpm.rango,$BA$4-2,_xlpm.col) +
INDEX(_xlpm.rango,$BA$4-1,_xlpm.col) +
INDEX(_xlpm.rango,$BA$4, _xlpm.col)
)</f>
        <v>#VALUE!</v>
      </c>
      <c r="AK83" s="95" t="e" cm="1" vm="1">
        <f t="array" aca="1" ref="AK83" ca="1">_xlfn.LET(
_xlpm.rango, INDIRECT("E!$C$" &amp; $BA$8 &amp; ":$DR$" &amp; $BA$9),
_xlpm.col, AK$72+$D82*10,
INDEX(_xlpm.rango,$BA$4-3,_xlpm.col) +
INDEX(_xlpm.rango,$BA$4-2,_xlpm.col) +
INDEX(_xlpm.rango,$BA$4-1,_xlpm.col) +
INDEX(_xlpm.rango,$BA$4, _xlpm.col)
)</f>
        <v>#VALUE!</v>
      </c>
      <c r="AL83" s="95" t="e" cm="1" vm="1">
        <f t="array" aca="1" ref="AL83" ca="1">_xlfn.LET(
_xlpm.rango, INDIRECT("E!$C$" &amp; $BA$8 &amp; ":$DR$" &amp; $BA$9),
_xlpm.col, AL$72+$D82*10,
INDEX(_xlpm.rango,$BA$4-3,_xlpm.col) +
INDEX(_xlpm.rango,$BA$4-2,_xlpm.col) +
INDEX(_xlpm.rango,$BA$4-1,_xlpm.col) +
INDEX(_xlpm.rango,$BA$4, _xlpm.col)
)</f>
        <v>#VALUE!</v>
      </c>
      <c r="AM83" s="95" t="e" cm="1" vm="1">
        <f t="array" aca="1" ref="AM83" ca="1">_xlfn.LET(
_xlpm.rango, INDIRECT("E!$C$" &amp; $BA$8 &amp; ":$DR$" &amp; $BA$9),
_xlpm.col, AM$72+$D82*10,
INDEX(_xlpm.rango,$BA$4-3,_xlpm.col) +
INDEX(_xlpm.rango,$BA$4-2,_xlpm.col) +
INDEX(_xlpm.rango,$BA$4-1,_xlpm.col) +
INDEX(_xlpm.rango,$BA$4, _xlpm.col)
)</f>
        <v>#VALUE!</v>
      </c>
      <c r="AN83" s="95" t="e" cm="1" vm="1">
        <f t="array" aca="1" ref="AN83" ca="1">_xlfn.LET(
_xlpm.rango, INDIRECT("E!$C$" &amp; $BA$8 &amp; ":$DR$" &amp; $BA$9),
_xlpm.col, AN$72+$D82*10,
INDEX(_xlpm.rango,$BA$4-3,_xlpm.col) +
INDEX(_xlpm.rango,$BA$4-2,_xlpm.col) +
INDEX(_xlpm.rango,$BA$4-1,_xlpm.col) +
INDEX(_xlpm.rango,$BA$4, _xlpm.col)
)</f>
        <v>#VALUE!</v>
      </c>
      <c r="AO83" s="95" t="e" cm="1" vm="1">
        <f t="array" aca="1" ref="AO83" ca="1">_xlfn.LET(
_xlpm.rango, INDIRECT("E!$C$" &amp; $BA$8 &amp; ":$DR$" &amp; $BA$9),
_xlpm.col, AO$72+$D82*10,
INDEX(_xlpm.rango,$BA$4-3,_xlpm.col) +
INDEX(_xlpm.rango,$BA$4-2,_xlpm.col) +
INDEX(_xlpm.rango,$BA$4-1,_xlpm.col) +
INDEX(_xlpm.rango,$BA$4, _xlpm.col)
)</f>
        <v>#VALUE!</v>
      </c>
      <c r="AP83" s="95" t="e" cm="1" vm="1">
        <f t="array" aca="1" ref="AP83" ca="1">_xlfn.LET(
_xlpm.rango, INDIRECT("E!$C$" &amp; $BA$8 &amp; ":$DR$" &amp; $BA$9),
_xlpm.col, AP$72+$D82*10,
INDEX(_xlpm.rango,$BA$4-3,_xlpm.col) +
INDEX(_xlpm.rango,$BA$4-2,_xlpm.col) +
INDEX(_xlpm.rango,$BA$4-1,_xlpm.col) +
INDEX(_xlpm.rango,$BA$4, _xlpm.col)
)</f>
        <v>#VALUE!</v>
      </c>
      <c r="AQ83" s="95" t="e" cm="1" vm="1">
        <f t="array" aca="1" ref="AQ83" ca="1">_xlfn.LET(
_xlpm.rango, INDIRECT("E!$C$" &amp; $BA$8 &amp; ":$DR$" &amp; $BA$9),
_xlpm.col, AQ$72+$D82*10,
INDEX(_xlpm.rango,$BA$4-3,_xlpm.col) +
INDEX(_xlpm.rango,$BA$4-2,_xlpm.col) +
INDEX(_xlpm.rango,$BA$4-1,_xlpm.col) +
INDEX(_xlpm.rango,$BA$4, _xlpm.col)
)</f>
        <v>#VALUE!</v>
      </c>
      <c r="AR83" s="95" t="e" cm="1" vm="1">
        <f t="array" aca="1" ref="AR83" ca="1">_xlfn.LET(
_xlpm.rango, INDIRECT("E!$C$" &amp; $BA$8 &amp; ":$DR$" &amp; $BA$9),
_xlpm.col, AR$72+$D82*10,
INDEX(_xlpm.rango,$BA$4-3,_xlpm.col) +
INDEX(_xlpm.rango,$BA$4-2,_xlpm.col) +
INDEX(_xlpm.rango,$BA$4-1,_xlpm.col) +
INDEX(_xlpm.rango,$BA$4, _xlpm.col)
)</f>
        <v>#VALUE!</v>
      </c>
      <c r="AS83" s="112" t="e" cm="1" vm="1">
        <f t="array" aca="1" ref="AS83" ca="1">_xlfn.LET(
_xlpm.rango, INDIRECT("E!$C$" &amp; $BA$8 &amp; ":$DR$" &amp; $BA$9),
_xlpm.col, AS$72+$D82*10,
INDEX(_xlpm.rango,$BA$4-3,_xlpm.col) +
INDEX(_xlpm.rango,$BA$4-2,_xlpm.col) +
INDEX(_xlpm.rango,$BA$4-1,_xlpm.col) +
INDEX(_xlpm.rango,$BA$4, _xlpm.col)
)</f>
        <v>#VALUE!</v>
      </c>
      <c r="AT83" s="118" t="e" vm="2">
        <f t="shared" ca="1" si="0"/>
        <v>#VALUE!</v>
      </c>
      <c r="AU83" s="120" t="e" vm="2">
        <f t="shared" ca="1" si="1"/>
        <v>#VALUE!</v>
      </c>
    </row>
    <row r="84" spans="4:47" x14ac:dyDescent="0.25">
      <c r="D84">
        <v>9</v>
      </c>
      <c r="E84" s="106" t="str">
        <f>Inicio!V12</f>
        <v>Microbus</v>
      </c>
      <c r="F84" s="100" t="e" cm="1" vm="1">
        <f t="array" aca="1" ref="F84" ca="1">_xlfn.LET(
_xlpm.rango, INDIRECT("N!$C$" &amp; $BA$8 &amp; ":$DR$" &amp; $BA$9),
_xlpm.col, F$72+$D83*10,
INDEX(_xlpm.rango,$BA$4-3,_xlpm.col) +
INDEX(_xlpm.rango,$BA$4-2,_xlpm.col) +
INDEX(_xlpm.rango,$BA$4-1,_xlpm.col) +
INDEX(_xlpm.rango,$BA$4, _xlpm.col)
)</f>
        <v>#VALUE!</v>
      </c>
      <c r="G84" s="95" t="e" cm="1" vm="1">
        <f t="array" aca="1" ref="G84" ca="1">_xlfn.LET(
_xlpm.rango, INDIRECT("N!$C$" &amp; $BA$8 &amp; ":$DR$" &amp; $BA$9),
_xlpm.col, G$72+$D83*10,
INDEX(_xlpm.rango,$BA$4-3,_xlpm.col) +
INDEX(_xlpm.rango,$BA$4-2,_xlpm.col) +
INDEX(_xlpm.rango,$BA$4-1,_xlpm.col) +
INDEX(_xlpm.rango,$BA$4, _xlpm.col)
)</f>
        <v>#VALUE!</v>
      </c>
      <c r="H84" s="95" t="e" cm="1" vm="1">
        <f t="array" aca="1" ref="H84" ca="1">_xlfn.LET(
_xlpm.rango, INDIRECT("N!$C$" &amp; $BA$8 &amp; ":$DR$" &amp; $BA$9),
_xlpm.col, H$72+$D83*10,
INDEX(_xlpm.rango,$BA$4-3,_xlpm.col) +
INDEX(_xlpm.rango,$BA$4-2,_xlpm.col) +
INDEX(_xlpm.rango,$BA$4-1,_xlpm.col) +
INDEX(_xlpm.rango,$BA$4, _xlpm.col)
)</f>
        <v>#VALUE!</v>
      </c>
      <c r="I84" s="95" t="e" cm="1" vm="1">
        <f t="array" aca="1" ref="I84" ca="1">_xlfn.LET(
_xlpm.rango, INDIRECT("N!$C$" &amp; $BA$8 &amp; ":$DR$" &amp; $BA$9),
_xlpm.col, I$72+$D83*10,
INDEX(_xlpm.rango,$BA$4-3,_xlpm.col) +
INDEX(_xlpm.rango,$BA$4-2,_xlpm.col) +
INDEX(_xlpm.rango,$BA$4-1,_xlpm.col) +
INDEX(_xlpm.rango,$BA$4, _xlpm.col)
)</f>
        <v>#VALUE!</v>
      </c>
      <c r="J84" s="95" t="e" cm="1" vm="1">
        <f t="array" aca="1" ref="J84" ca="1">_xlfn.LET(
_xlpm.rango, INDIRECT("N!$C$" &amp; $BA$8 &amp; ":$DR$" &amp; $BA$9),
_xlpm.col, J$72+$D83*10,
INDEX(_xlpm.rango,$BA$4-3,_xlpm.col) +
INDEX(_xlpm.rango,$BA$4-2,_xlpm.col) +
INDEX(_xlpm.rango,$BA$4-1,_xlpm.col) +
INDEX(_xlpm.rango,$BA$4, _xlpm.col)
)</f>
        <v>#VALUE!</v>
      </c>
      <c r="K84" s="95" t="e" cm="1" vm="1">
        <f t="array" aca="1" ref="K84" ca="1">_xlfn.LET(
_xlpm.rango, INDIRECT("N!$C$" &amp; $BA$8 &amp; ":$DR$" &amp; $BA$9),
_xlpm.col, K$72+$D83*10,
INDEX(_xlpm.rango,$BA$4-3,_xlpm.col) +
INDEX(_xlpm.rango,$BA$4-2,_xlpm.col) +
INDEX(_xlpm.rango,$BA$4-1,_xlpm.col) +
INDEX(_xlpm.rango,$BA$4, _xlpm.col)
)</f>
        <v>#VALUE!</v>
      </c>
      <c r="L84" s="95" t="e" cm="1" vm="1">
        <f t="array" aca="1" ref="L84" ca="1">_xlfn.LET(
_xlpm.rango, INDIRECT("N!$C$" &amp; $BA$8 &amp; ":$DR$" &amp; $BA$9),
_xlpm.col, L$72+$D83*10,
INDEX(_xlpm.rango,$BA$4-3,_xlpm.col) +
INDEX(_xlpm.rango,$BA$4-2,_xlpm.col) +
INDEX(_xlpm.rango,$BA$4-1,_xlpm.col) +
INDEX(_xlpm.rango,$BA$4, _xlpm.col)
)</f>
        <v>#VALUE!</v>
      </c>
      <c r="M84" s="95" t="e" cm="1" vm="1">
        <f t="array" aca="1" ref="M84" ca="1">_xlfn.LET(
_xlpm.rango, INDIRECT("N!$C$" &amp; $BA$8 &amp; ":$DR$" &amp; $BA$9),
_xlpm.col, M$72+$D83*10,
INDEX(_xlpm.rango,$BA$4-3,_xlpm.col) +
INDEX(_xlpm.rango,$BA$4-2,_xlpm.col) +
INDEX(_xlpm.rango,$BA$4-1,_xlpm.col) +
INDEX(_xlpm.rango,$BA$4, _xlpm.col)
)</f>
        <v>#VALUE!</v>
      </c>
      <c r="N84" s="95" t="e" cm="1" vm="1">
        <f t="array" aca="1" ref="N84" ca="1">_xlfn.LET(
_xlpm.rango, INDIRECT("N!$C$" &amp; $BA$8 &amp; ":$DR$" &amp; $BA$9),
_xlpm.col, N$72+$D83*10,
INDEX(_xlpm.rango,$BA$4-3,_xlpm.col) +
INDEX(_xlpm.rango,$BA$4-2,_xlpm.col) +
INDEX(_xlpm.rango,$BA$4-1,_xlpm.col) +
INDEX(_xlpm.rango,$BA$4, _xlpm.col)
)</f>
        <v>#VALUE!</v>
      </c>
      <c r="O84" s="96" t="e" cm="1" vm="1">
        <f t="array" aca="1" ref="O84" ca="1">_xlfn.LET(
_xlpm.rango, INDIRECT("N!$C$" &amp; $BA$8 &amp; ":$DR$" &amp; $BA$9),
_xlpm.col, O$72+$D83*10,
INDEX(_xlpm.rango,$BA$4-3,_xlpm.col) +
INDEX(_xlpm.rango,$BA$4-2,_xlpm.col) +
INDEX(_xlpm.rango,$BA$4-1,_xlpm.col) +
INDEX(_xlpm.rango,$BA$4, _xlpm.col)
)</f>
        <v>#VALUE!</v>
      </c>
      <c r="P84" s="95" t="e" cm="1" vm="1">
        <f t="array" aca="1" ref="P84" ca="1">_xlfn.LET(
_xlpm.rango, INDIRECT("S!$C$" &amp; $BA$8 &amp; ":$DR$" &amp; $BA$9),
_xlpm.col, P$72+$D83*10,
INDEX(_xlpm.rango,$BA$4-3,_xlpm.col) +
INDEX(_xlpm.rango,$BA$4-2,_xlpm.col) +
INDEX(_xlpm.rango,$BA$4-1,_xlpm.col) +
INDEX(_xlpm.rango,$BA$4, _xlpm.col)
)</f>
        <v>#VALUE!</v>
      </c>
      <c r="Q84" s="95" t="e" cm="1" vm="1">
        <f t="array" aca="1" ref="Q84" ca="1">_xlfn.LET(
_xlpm.rango, INDIRECT("S!$C$" &amp; $BA$8 &amp; ":$DR$" &amp; $BA$9),
_xlpm.col, Q$72+$D83*10,
INDEX(_xlpm.rango,$BA$4-3,_xlpm.col) +
INDEX(_xlpm.rango,$BA$4-2,_xlpm.col) +
INDEX(_xlpm.rango,$BA$4-1,_xlpm.col) +
INDEX(_xlpm.rango,$BA$4, _xlpm.col)
)</f>
        <v>#VALUE!</v>
      </c>
      <c r="R84" s="95" t="e" cm="1" vm="1">
        <f t="array" aca="1" ref="R84" ca="1">_xlfn.LET(
_xlpm.rango, INDIRECT("S!$C$" &amp; $BA$8 &amp; ":$DR$" &amp; $BA$9),
_xlpm.col, R$72+$D83*10,
INDEX(_xlpm.rango,$BA$4-3,_xlpm.col) +
INDEX(_xlpm.rango,$BA$4-2,_xlpm.col) +
INDEX(_xlpm.rango,$BA$4-1,_xlpm.col) +
INDEX(_xlpm.rango,$BA$4, _xlpm.col)
)</f>
        <v>#VALUE!</v>
      </c>
      <c r="S84" s="95" t="e" cm="1" vm="1">
        <f t="array" aca="1" ref="S84" ca="1">_xlfn.LET(
_xlpm.rango, INDIRECT("S!$C$" &amp; $BA$8 &amp; ":$DR$" &amp; $BA$9),
_xlpm.col, S$72+$D83*10,
INDEX(_xlpm.rango,$BA$4-3,_xlpm.col) +
INDEX(_xlpm.rango,$BA$4-2,_xlpm.col) +
INDEX(_xlpm.rango,$BA$4-1,_xlpm.col) +
INDEX(_xlpm.rango,$BA$4, _xlpm.col)
)</f>
        <v>#VALUE!</v>
      </c>
      <c r="T84" s="95" t="e" cm="1" vm="1">
        <f t="array" aca="1" ref="T84" ca="1">_xlfn.LET(
_xlpm.rango, INDIRECT("S!$C$" &amp; $BA$8 &amp; ":$DR$" &amp; $BA$9),
_xlpm.col, T$72+$D83*10,
INDEX(_xlpm.rango,$BA$4-3,_xlpm.col) +
INDEX(_xlpm.rango,$BA$4-2,_xlpm.col) +
INDEX(_xlpm.rango,$BA$4-1,_xlpm.col) +
INDEX(_xlpm.rango,$BA$4, _xlpm.col)
)</f>
        <v>#VALUE!</v>
      </c>
      <c r="U84" s="95" t="e" cm="1" vm="1">
        <f t="array" aca="1" ref="U84" ca="1">_xlfn.LET(
_xlpm.rango, INDIRECT("S!$C$" &amp; $BA$8 &amp; ":$DR$" &amp; $BA$9),
_xlpm.col, U$72+$D83*10,
INDEX(_xlpm.rango,$BA$4-3,_xlpm.col) +
INDEX(_xlpm.rango,$BA$4-2,_xlpm.col) +
INDEX(_xlpm.rango,$BA$4-1,_xlpm.col) +
INDEX(_xlpm.rango,$BA$4, _xlpm.col)
)</f>
        <v>#VALUE!</v>
      </c>
      <c r="V84" s="95" t="e" cm="1" vm="1">
        <f t="array" aca="1" ref="V84" ca="1">_xlfn.LET(
_xlpm.rango, INDIRECT("S!$C$" &amp; $BA$8 &amp; ":$DR$" &amp; $BA$9),
_xlpm.col, V$72+$D83*10,
INDEX(_xlpm.rango,$BA$4-3,_xlpm.col) +
INDEX(_xlpm.rango,$BA$4-2,_xlpm.col) +
INDEX(_xlpm.rango,$BA$4-1,_xlpm.col) +
INDEX(_xlpm.rango,$BA$4, _xlpm.col)
)</f>
        <v>#VALUE!</v>
      </c>
      <c r="W84" s="95" t="e" cm="1" vm="1">
        <f t="array" aca="1" ref="W84" ca="1">_xlfn.LET(
_xlpm.rango, INDIRECT("S!$C$" &amp; $BA$8 &amp; ":$DR$" &amp; $BA$9),
_xlpm.col, W$72+$D83*10,
INDEX(_xlpm.rango,$BA$4-3,_xlpm.col) +
INDEX(_xlpm.rango,$BA$4-2,_xlpm.col) +
INDEX(_xlpm.rango,$BA$4-1,_xlpm.col) +
INDEX(_xlpm.rango,$BA$4, _xlpm.col)
)</f>
        <v>#VALUE!</v>
      </c>
      <c r="X84" s="95" t="e" cm="1" vm="1">
        <f t="array" aca="1" ref="X84" ca="1">_xlfn.LET(
_xlpm.rango, INDIRECT("S!$C$" &amp; $BA$8 &amp; ":$DR$" &amp; $BA$9),
_xlpm.col, X$72+$D83*10,
INDEX(_xlpm.rango,$BA$4-3,_xlpm.col) +
INDEX(_xlpm.rango,$BA$4-2,_xlpm.col) +
INDEX(_xlpm.rango,$BA$4-1,_xlpm.col) +
INDEX(_xlpm.rango,$BA$4, _xlpm.col)
)</f>
        <v>#VALUE!</v>
      </c>
      <c r="Y84" s="95" t="e" cm="1" vm="1">
        <f t="array" aca="1" ref="Y84" ca="1">_xlfn.LET(
_xlpm.rango, INDIRECT("S!$C$" &amp; $BA$8 &amp; ":$DR$" &amp; $BA$9),
_xlpm.col, Y$72+$D83*10,
INDEX(_xlpm.rango,$BA$4-3,_xlpm.col) +
INDEX(_xlpm.rango,$BA$4-2,_xlpm.col) +
INDEX(_xlpm.rango,$BA$4-1,_xlpm.col) +
INDEX(_xlpm.rango,$BA$4, _xlpm.col)
)</f>
        <v>#VALUE!</v>
      </c>
      <c r="Z84" s="100" t="e" cm="1" vm="1">
        <f t="array" aca="1" ref="Z84" ca="1">_xlfn.LET(
_xlpm.rango, INDIRECT("E!$C$" &amp; $BA$8 &amp; ":$DR$" &amp; $BA$9),
_xlpm.col, Z$72+$D83*10,
INDEX(_xlpm.rango,$BA$4-3,_xlpm.col) +
INDEX(_xlpm.rango,$BA$4-2,_xlpm.col) +
INDEX(_xlpm.rango,$BA$4-1,_xlpm.col) +
INDEX(_xlpm.rango,$BA$4, _xlpm.col)
)</f>
        <v>#VALUE!</v>
      </c>
      <c r="AA84" s="95" t="e" cm="1" vm="1">
        <f t="array" aca="1" ref="AA84" ca="1">_xlfn.LET(
_xlpm.rango, INDIRECT("E!$C$" &amp; $BA$8 &amp; ":$DR$" &amp; $BA$9),
_xlpm.col, AA$72+$D83*10,
INDEX(_xlpm.rango,$BA$4-3,_xlpm.col) +
INDEX(_xlpm.rango,$BA$4-2,_xlpm.col) +
INDEX(_xlpm.rango,$BA$4-1,_xlpm.col) +
INDEX(_xlpm.rango,$BA$4, _xlpm.col)
)</f>
        <v>#VALUE!</v>
      </c>
      <c r="AB84" s="95" t="e" cm="1" vm="1">
        <f t="array" aca="1" ref="AB84" ca="1">_xlfn.LET(
_xlpm.rango, INDIRECT("E!$C$" &amp; $BA$8 &amp; ":$DR$" &amp; $BA$9),
_xlpm.col, AB$72+$D83*10,
INDEX(_xlpm.rango,$BA$4-3,_xlpm.col) +
INDEX(_xlpm.rango,$BA$4-2,_xlpm.col) +
INDEX(_xlpm.rango,$BA$4-1,_xlpm.col) +
INDEX(_xlpm.rango,$BA$4, _xlpm.col)
)</f>
        <v>#VALUE!</v>
      </c>
      <c r="AC84" s="95" t="e" cm="1" vm="1">
        <f t="array" aca="1" ref="AC84" ca="1">_xlfn.LET(
_xlpm.rango, INDIRECT("E!$C$" &amp; $BA$8 &amp; ":$DR$" &amp; $BA$9),
_xlpm.col, AC$72+$D83*10,
INDEX(_xlpm.rango,$BA$4-3,_xlpm.col) +
INDEX(_xlpm.rango,$BA$4-2,_xlpm.col) +
INDEX(_xlpm.rango,$BA$4-1,_xlpm.col) +
INDEX(_xlpm.rango,$BA$4, _xlpm.col)
)</f>
        <v>#VALUE!</v>
      </c>
      <c r="AD84" s="95" t="e" cm="1" vm="1">
        <f t="array" aca="1" ref="AD84" ca="1">_xlfn.LET(
_xlpm.rango, INDIRECT("E!$C$" &amp; $BA$8 &amp; ":$DR$" &amp; $BA$9),
_xlpm.col, AD$72+$D83*10,
INDEX(_xlpm.rango,$BA$4-3,_xlpm.col) +
INDEX(_xlpm.rango,$BA$4-2,_xlpm.col) +
INDEX(_xlpm.rango,$BA$4-1,_xlpm.col) +
INDEX(_xlpm.rango,$BA$4, _xlpm.col)
)</f>
        <v>#VALUE!</v>
      </c>
      <c r="AE84" s="95" t="e" cm="1" vm="1">
        <f t="array" aca="1" ref="AE84" ca="1">_xlfn.LET(
_xlpm.rango, INDIRECT("E!$C$" &amp; $BA$8 &amp; ":$DR$" &amp; $BA$9),
_xlpm.col, AE$72+$D83*10,
INDEX(_xlpm.rango,$BA$4-3,_xlpm.col) +
INDEX(_xlpm.rango,$BA$4-2,_xlpm.col) +
INDEX(_xlpm.rango,$BA$4-1,_xlpm.col) +
INDEX(_xlpm.rango,$BA$4, _xlpm.col)
)</f>
        <v>#VALUE!</v>
      </c>
      <c r="AF84" s="95" t="e" cm="1" vm="1">
        <f t="array" aca="1" ref="AF84" ca="1">_xlfn.LET(
_xlpm.rango, INDIRECT("E!$C$" &amp; $BA$8 &amp; ":$DR$" &amp; $BA$9),
_xlpm.col, AF$72+$D83*10,
INDEX(_xlpm.rango,$BA$4-3,_xlpm.col) +
INDEX(_xlpm.rango,$BA$4-2,_xlpm.col) +
INDEX(_xlpm.rango,$BA$4-1,_xlpm.col) +
INDEX(_xlpm.rango,$BA$4, _xlpm.col)
)</f>
        <v>#VALUE!</v>
      </c>
      <c r="AG84" s="95" t="e" cm="1" vm="1">
        <f t="array" aca="1" ref="AG84" ca="1">_xlfn.LET(
_xlpm.rango, INDIRECT("E!$C$" &amp; $BA$8 &amp; ":$DR$" &amp; $BA$9),
_xlpm.col, AG$72+$D83*10,
INDEX(_xlpm.rango,$BA$4-3,_xlpm.col) +
INDEX(_xlpm.rango,$BA$4-2,_xlpm.col) +
INDEX(_xlpm.rango,$BA$4-1,_xlpm.col) +
INDEX(_xlpm.rango,$BA$4, _xlpm.col)
)</f>
        <v>#VALUE!</v>
      </c>
      <c r="AH84" s="95" t="e" cm="1" vm="1">
        <f t="array" aca="1" ref="AH84" ca="1">_xlfn.LET(
_xlpm.rango, INDIRECT("E!$C$" &amp; $BA$8 &amp; ":$DR$" &amp; $BA$9),
_xlpm.col, AH$72+$D83*10,
INDEX(_xlpm.rango,$BA$4-3,_xlpm.col) +
INDEX(_xlpm.rango,$BA$4-2,_xlpm.col) +
INDEX(_xlpm.rango,$BA$4-1,_xlpm.col) +
INDEX(_xlpm.rango,$BA$4, _xlpm.col)
)</f>
        <v>#VALUE!</v>
      </c>
      <c r="AI84" s="96" t="e" cm="1" vm="1">
        <f t="array" aca="1" ref="AI84" ca="1">_xlfn.LET(
_xlpm.rango, INDIRECT("E!$C$" &amp; $BA$8 &amp; ":$DR$" &amp; $BA$9),
_xlpm.col, AI$72+$D83*10,
INDEX(_xlpm.rango,$BA$4-3,_xlpm.col) +
INDEX(_xlpm.rango,$BA$4-2,_xlpm.col) +
INDEX(_xlpm.rango,$BA$4-1,_xlpm.col) +
INDEX(_xlpm.rango,$BA$4, _xlpm.col)
)</f>
        <v>#VALUE!</v>
      </c>
      <c r="AJ84" s="95" t="e" cm="1" vm="1">
        <f t="array" aca="1" ref="AJ84" ca="1">_xlfn.LET(
_xlpm.rango, INDIRECT("E!$C$" &amp; $BA$8 &amp; ":$DR$" &amp; $BA$9),
_xlpm.col, AJ$72+$D83*10,
INDEX(_xlpm.rango,$BA$4-3,_xlpm.col) +
INDEX(_xlpm.rango,$BA$4-2,_xlpm.col) +
INDEX(_xlpm.rango,$BA$4-1,_xlpm.col) +
INDEX(_xlpm.rango,$BA$4, _xlpm.col)
)</f>
        <v>#VALUE!</v>
      </c>
      <c r="AK84" s="95" t="e" cm="1" vm="1">
        <f t="array" aca="1" ref="AK84" ca="1">_xlfn.LET(
_xlpm.rango, INDIRECT("E!$C$" &amp; $BA$8 &amp; ":$DR$" &amp; $BA$9),
_xlpm.col, AK$72+$D83*10,
INDEX(_xlpm.rango,$BA$4-3,_xlpm.col) +
INDEX(_xlpm.rango,$BA$4-2,_xlpm.col) +
INDEX(_xlpm.rango,$BA$4-1,_xlpm.col) +
INDEX(_xlpm.rango,$BA$4, _xlpm.col)
)</f>
        <v>#VALUE!</v>
      </c>
      <c r="AL84" s="95" t="e" cm="1" vm="1">
        <f t="array" aca="1" ref="AL84" ca="1">_xlfn.LET(
_xlpm.rango, INDIRECT("E!$C$" &amp; $BA$8 &amp; ":$DR$" &amp; $BA$9),
_xlpm.col, AL$72+$D83*10,
INDEX(_xlpm.rango,$BA$4-3,_xlpm.col) +
INDEX(_xlpm.rango,$BA$4-2,_xlpm.col) +
INDEX(_xlpm.rango,$BA$4-1,_xlpm.col) +
INDEX(_xlpm.rango,$BA$4, _xlpm.col)
)</f>
        <v>#VALUE!</v>
      </c>
      <c r="AM84" s="95" t="e" cm="1" vm="1">
        <f t="array" aca="1" ref="AM84" ca="1">_xlfn.LET(
_xlpm.rango, INDIRECT("E!$C$" &amp; $BA$8 &amp; ":$DR$" &amp; $BA$9),
_xlpm.col, AM$72+$D83*10,
INDEX(_xlpm.rango,$BA$4-3,_xlpm.col) +
INDEX(_xlpm.rango,$BA$4-2,_xlpm.col) +
INDEX(_xlpm.rango,$BA$4-1,_xlpm.col) +
INDEX(_xlpm.rango,$BA$4, _xlpm.col)
)</f>
        <v>#VALUE!</v>
      </c>
      <c r="AN84" s="95" t="e" cm="1" vm="1">
        <f t="array" aca="1" ref="AN84" ca="1">_xlfn.LET(
_xlpm.rango, INDIRECT("E!$C$" &amp; $BA$8 &amp; ":$DR$" &amp; $BA$9),
_xlpm.col, AN$72+$D83*10,
INDEX(_xlpm.rango,$BA$4-3,_xlpm.col) +
INDEX(_xlpm.rango,$BA$4-2,_xlpm.col) +
INDEX(_xlpm.rango,$BA$4-1,_xlpm.col) +
INDEX(_xlpm.rango,$BA$4, _xlpm.col)
)</f>
        <v>#VALUE!</v>
      </c>
      <c r="AO84" s="95" t="e" cm="1" vm="1">
        <f t="array" aca="1" ref="AO84" ca="1">_xlfn.LET(
_xlpm.rango, INDIRECT("E!$C$" &amp; $BA$8 &amp; ":$DR$" &amp; $BA$9),
_xlpm.col, AO$72+$D83*10,
INDEX(_xlpm.rango,$BA$4-3,_xlpm.col) +
INDEX(_xlpm.rango,$BA$4-2,_xlpm.col) +
INDEX(_xlpm.rango,$BA$4-1,_xlpm.col) +
INDEX(_xlpm.rango,$BA$4, _xlpm.col)
)</f>
        <v>#VALUE!</v>
      </c>
      <c r="AP84" s="95" t="e" cm="1" vm="1">
        <f t="array" aca="1" ref="AP84" ca="1">_xlfn.LET(
_xlpm.rango, INDIRECT("E!$C$" &amp; $BA$8 &amp; ":$DR$" &amp; $BA$9),
_xlpm.col, AP$72+$D83*10,
INDEX(_xlpm.rango,$BA$4-3,_xlpm.col) +
INDEX(_xlpm.rango,$BA$4-2,_xlpm.col) +
INDEX(_xlpm.rango,$BA$4-1,_xlpm.col) +
INDEX(_xlpm.rango,$BA$4, _xlpm.col)
)</f>
        <v>#VALUE!</v>
      </c>
      <c r="AQ84" s="95" t="e" cm="1" vm="1">
        <f t="array" aca="1" ref="AQ84" ca="1">_xlfn.LET(
_xlpm.rango, INDIRECT("E!$C$" &amp; $BA$8 &amp; ":$DR$" &amp; $BA$9),
_xlpm.col, AQ$72+$D83*10,
INDEX(_xlpm.rango,$BA$4-3,_xlpm.col) +
INDEX(_xlpm.rango,$BA$4-2,_xlpm.col) +
INDEX(_xlpm.rango,$BA$4-1,_xlpm.col) +
INDEX(_xlpm.rango,$BA$4, _xlpm.col)
)</f>
        <v>#VALUE!</v>
      </c>
      <c r="AR84" s="95" t="e" cm="1" vm="1">
        <f t="array" aca="1" ref="AR84" ca="1">_xlfn.LET(
_xlpm.rango, INDIRECT("E!$C$" &amp; $BA$8 &amp; ":$DR$" &amp; $BA$9),
_xlpm.col, AR$72+$D83*10,
INDEX(_xlpm.rango,$BA$4-3,_xlpm.col) +
INDEX(_xlpm.rango,$BA$4-2,_xlpm.col) +
INDEX(_xlpm.rango,$BA$4-1,_xlpm.col) +
INDEX(_xlpm.rango,$BA$4, _xlpm.col)
)</f>
        <v>#VALUE!</v>
      </c>
      <c r="AS84" s="112" t="e" cm="1" vm="1">
        <f t="array" aca="1" ref="AS84" ca="1">_xlfn.LET(
_xlpm.rango, INDIRECT("E!$C$" &amp; $BA$8 &amp; ":$DR$" &amp; $BA$9),
_xlpm.col, AS$72+$D83*10,
INDEX(_xlpm.rango,$BA$4-3,_xlpm.col) +
INDEX(_xlpm.rango,$BA$4-2,_xlpm.col) +
INDEX(_xlpm.rango,$BA$4-1,_xlpm.col) +
INDEX(_xlpm.rango,$BA$4, _xlpm.col)
)</f>
        <v>#VALUE!</v>
      </c>
      <c r="AT84" s="118" t="e" vm="2">
        <f t="shared" ca="1" si="0"/>
        <v>#VALUE!</v>
      </c>
      <c r="AU84" s="120" t="e" vm="2">
        <f t="shared" ca="1" si="1"/>
        <v>#VALUE!</v>
      </c>
    </row>
    <row r="85" spans="4:47" x14ac:dyDescent="0.25">
      <c r="D85">
        <v>10</v>
      </c>
      <c r="E85" s="106" t="str">
        <f>Inicio!V13</f>
        <v>Mototaxi</v>
      </c>
      <c r="F85" s="100" t="e" cm="1" vm="1">
        <f t="array" aca="1" ref="F85" ca="1">_xlfn.LET(
_xlpm.rango, INDIRECT("N!$C$" &amp; $BA$8 &amp; ":$DR$" &amp; $BA$9),
_xlpm.col, F$72+$D84*10,
INDEX(_xlpm.rango,$BA$4-3,_xlpm.col) +
INDEX(_xlpm.rango,$BA$4-2,_xlpm.col) +
INDEX(_xlpm.rango,$BA$4-1,_xlpm.col) +
INDEX(_xlpm.rango,$BA$4, _xlpm.col)
)</f>
        <v>#VALUE!</v>
      </c>
      <c r="G85" s="95" t="e" cm="1" vm="1">
        <f t="array" aca="1" ref="G85" ca="1">_xlfn.LET(
_xlpm.rango, INDIRECT("N!$C$" &amp; $BA$8 &amp; ":$DR$" &amp; $BA$9),
_xlpm.col, G$72+$D84*10,
INDEX(_xlpm.rango,$BA$4-3,_xlpm.col) +
INDEX(_xlpm.rango,$BA$4-2,_xlpm.col) +
INDEX(_xlpm.rango,$BA$4-1,_xlpm.col) +
INDEX(_xlpm.rango,$BA$4, _xlpm.col)
)</f>
        <v>#VALUE!</v>
      </c>
      <c r="H85" s="95" t="e" cm="1" vm="1">
        <f t="array" aca="1" ref="H85" ca="1">_xlfn.LET(
_xlpm.rango, INDIRECT("N!$C$" &amp; $BA$8 &amp; ":$DR$" &amp; $BA$9),
_xlpm.col, H$72+$D84*10,
INDEX(_xlpm.rango,$BA$4-3,_xlpm.col) +
INDEX(_xlpm.rango,$BA$4-2,_xlpm.col) +
INDEX(_xlpm.rango,$BA$4-1,_xlpm.col) +
INDEX(_xlpm.rango,$BA$4, _xlpm.col)
)</f>
        <v>#VALUE!</v>
      </c>
      <c r="I85" s="95" t="e" cm="1" vm="1">
        <f t="array" aca="1" ref="I85" ca="1">_xlfn.LET(
_xlpm.rango, INDIRECT("N!$C$" &amp; $BA$8 &amp; ":$DR$" &amp; $BA$9),
_xlpm.col, I$72+$D84*10,
INDEX(_xlpm.rango,$BA$4-3,_xlpm.col) +
INDEX(_xlpm.rango,$BA$4-2,_xlpm.col) +
INDEX(_xlpm.rango,$BA$4-1,_xlpm.col) +
INDEX(_xlpm.rango,$BA$4, _xlpm.col)
)</f>
        <v>#VALUE!</v>
      </c>
      <c r="J85" s="95" t="e" cm="1" vm="1">
        <f t="array" aca="1" ref="J85" ca="1">_xlfn.LET(
_xlpm.rango, INDIRECT("N!$C$" &amp; $BA$8 &amp; ":$DR$" &amp; $BA$9),
_xlpm.col, J$72+$D84*10,
INDEX(_xlpm.rango,$BA$4-3,_xlpm.col) +
INDEX(_xlpm.rango,$BA$4-2,_xlpm.col) +
INDEX(_xlpm.rango,$BA$4-1,_xlpm.col) +
INDEX(_xlpm.rango,$BA$4, _xlpm.col)
)</f>
        <v>#VALUE!</v>
      </c>
      <c r="K85" s="95" t="e" cm="1" vm="1">
        <f t="array" aca="1" ref="K85" ca="1">_xlfn.LET(
_xlpm.rango, INDIRECT("N!$C$" &amp; $BA$8 &amp; ":$DR$" &amp; $BA$9),
_xlpm.col, K$72+$D84*10,
INDEX(_xlpm.rango,$BA$4-3,_xlpm.col) +
INDEX(_xlpm.rango,$BA$4-2,_xlpm.col) +
INDEX(_xlpm.rango,$BA$4-1,_xlpm.col) +
INDEX(_xlpm.rango,$BA$4, _xlpm.col)
)</f>
        <v>#VALUE!</v>
      </c>
      <c r="L85" s="95" t="e" cm="1" vm="1">
        <f t="array" aca="1" ref="L85" ca="1">_xlfn.LET(
_xlpm.rango, INDIRECT("N!$C$" &amp; $BA$8 &amp; ":$DR$" &amp; $BA$9),
_xlpm.col, L$72+$D84*10,
INDEX(_xlpm.rango,$BA$4-3,_xlpm.col) +
INDEX(_xlpm.rango,$BA$4-2,_xlpm.col) +
INDEX(_xlpm.rango,$BA$4-1,_xlpm.col) +
INDEX(_xlpm.rango,$BA$4, _xlpm.col)
)</f>
        <v>#VALUE!</v>
      </c>
      <c r="M85" s="95" t="e" cm="1" vm="1">
        <f t="array" aca="1" ref="M85" ca="1">_xlfn.LET(
_xlpm.rango, INDIRECT("N!$C$" &amp; $BA$8 &amp; ":$DR$" &amp; $BA$9),
_xlpm.col, M$72+$D84*10,
INDEX(_xlpm.rango,$BA$4-3,_xlpm.col) +
INDEX(_xlpm.rango,$BA$4-2,_xlpm.col) +
INDEX(_xlpm.rango,$BA$4-1,_xlpm.col) +
INDEX(_xlpm.rango,$BA$4, _xlpm.col)
)</f>
        <v>#VALUE!</v>
      </c>
      <c r="N85" s="95" t="e" cm="1" vm="1">
        <f t="array" aca="1" ref="N85" ca="1">_xlfn.LET(
_xlpm.rango, INDIRECT("N!$C$" &amp; $BA$8 &amp; ":$DR$" &amp; $BA$9),
_xlpm.col, N$72+$D84*10,
INDEX(_xlpm.rango,$BA$4-3,_xlpm.col) +
INDEX(_xlpm.rango,$BA$4-2,_xlpm.col) +
INDEX(_xlpm.rango,$BA$4-1,_xlpm.col) +
INDEX(_xlpm.rango,$BA$4, _xlpm.col)
)</f>
        <v>#VALUE!</v>
      </c>
      <c r="O85" s="96" t="e" cm="1" vm="1">
        <f t="array" aca="1" ref="O85" ca="1">_xlfn.LET(
_xlpm.rango, INDIRECT("N!$C$" &amp; $BA$8 &amp; ":$DR$" &amp; $BA$9),
_xlpm.col, O$72+$D84*10,
INDEX(_xlpm.rango,$BA$4-3,_xlpm.col) +
INDEX(_xlpm.rango,$BA$4-2,_xlpm.col) +
INDEX(_xlpm.rango,$BA$4-1,_xlpm.col) +
INDEX(_xlpm.rango,$BA$4, _xlpm.col)
)</f>
        <v>#VALUE!</v>
      </c>
      <c r="P85" s="95" t="e" cm="1" vm="1">
        <f t="array" aca="1" ref="P85" ca="1">_xlfn.LET(
_xlpm.rango, INDIRECT("S!$C$" &amp; $BA$8 &amp; ":$DR$" &amp; $BA$9),
_xlpm.col, P$72+$D84*10,
INDEX(_xlpm.rango,$BA$4-3,_xlpm.col) +
INDEX(_xlpm.rango,$BA$4-2,_xlpm.col) +
INDEX(_xlpm.rango,$BA$4-1,_xlpm.col) +
INDEX(_xlpm.rango,$BA$4, _xlpm.col)
)</f>
        <v>#VALUE!</v>
      </c>
      <c r="Q85" s="95" t="e" cm="1" vm="1">
        <f t="array" aca="1" ref="Q85" ca="1">_xlfn.LET(
_xlpm.rango, INDIRECT("S!$C$" &amp; $BA$8 &amp; ":$DR$" &amp; $BA$9),
_xlpm.col, Q$72+$D84*10,
INDEX(_xlpm.rango,$BA$4-3,_xlpm.col) +
INDEX(_xlpm.rango,$BA$4-2,_xlpm.col) +
INDEX(_xlpm.rango,$BA$4-1,_xlpm.col) +
INDEX(_xlpm.rango,$BA$4, _xlpm.col)
)</f>
        <v>#VALUE!</v>
      </c>
      <c r="R85" s="95" t="e" cm="1" vm="1">
        <f t="array" aca="1" ref="R85" ca="1">_xlfn.LET(
_xlpm.rango, INDIRECT("S!$C$" &amp; $BA$8 &amp; ":$DR$" &amp; $BA$9),
_xlpm.col, R$72+$D84*10,
INDEX(_xlpm.rango,$BA$4-3,_xlpm.col) +
INDEX(_xlpm.rango,$BA$4-2,_xlpm.col) +
INDEX(_xlpm.rango,$BA$4-1,_xlpm.col) +
INDEX(_xlpm.rango,$BA$4, _xlpm.col)
)</f>
        <v>#VALUE!</v>
      </c>
      <c r="S85" s="95" t="e" cm="1" vm="1">
        <f t="array" aca="1" ref="S85" ca="1">_xlfn.LET(
_xlpm.rango, INDIRECT("S!$C$" &amp; $BA$8 &amp; ":$DR$" &amp; $BA$9),
_xlpm.col, S$72+$D84*10,
INDEX(_xlpm.rango,$BA$4-3,_xlpm.col) +
INDEX(_xlpm.rango,$BA$4-2,_xlpm.col) +
INDEX(_xlpm.rango,$BA$4-1,_xlpm.col) +
INDEX(_xlpm.rango,$BA$4, _xlpm.col)
)</f>
        <v>#VALUE!</v>
      </c>
      <c r="T85" s="95" t="e" cm="1" vm="1">
        <f t="array" aca="1" ref="T85" ca="1">_xlfn.LET(
_xlpm.rango, INDIRECT("S!$C$" &amp; $BA$8 &amp; ":$DR$" &amp; $BA$9),
_xlpm.col, T$72+$D84*10,
INDEX(_xlpm.rango,$BA$4-3,_xlpm.col) +
INDEX(_xlpm.rango,$BA$4-2,_xlpm.col) +
INDEX(_xlpm.rango,$BA$4-1,_xlpm.col) +
INDEX(_xlpm.rango,$BA$4, _xlpm.col)
)</f>
        <v>#VALUE!</v>
      </c>
      <c r="U85" s="95" t="e" cm="1" vm="1">
        <f t="array" aca="1" ref="U85" ca="1">_xlfn.LET(
_xlpm.rango, INDIRECT("S!$C$" &amp; $BA$8 &amp; ":$DR$" &amp; $BA$9),
_xlpm.col, U$72+$D84*10,
INDEX(_xlpm.rango,$BA$4-3,_xlpm.col) +
INDEX(_xlpm.rango,$BA$4-2,_xlpm.col) +
INDEX(_xlpm.rango,$BA$4-1,_xlpm.col) +
INDEX(_xlpm.rango,$BA$4, _xlpm.col)
)</f>
        <v>#VALUE!</v>
      </c>
      <c r="V85" s="95" t="e" cm="1" vm="1">
        <f t="array" aca="1" ref="V85" ca="1">_xlfn.LET(
_xlpm.rango, INDIRECT("S!$C$" &amp; $BA$8 &amp; ":$DR$" &amp; $BA$9),
_xlpm.col, V$72+$D84*10,
INDEX(_xlpm.rango,$BA$4-3,_xlpm.col) +
INDEX(_xlpm.rango,$BA$4-2,_xlpm.col) +
INDEX(_xlpm.rango,$BA$4-1,_xlpm.col) +
INDEX(_xlpm.rango,$BA$4, _xlpm.col)
)</f>
        <v>#VALUE!</v>
      </c>
      <c r="W85" s="95" t="e" cm="1" vm="1">
        <f t="array" aca="1" ref="W85" ca="1">_xlfn.LET(
_xlpm.rango, INDIRECT("S!$C$" &amp; $BA$8 &amp; ":$DR$" &amp; $BA$9),
_xlpm.col, W$72+$D84*10,
INDEX(_xlpm.rango,$BA$4-3,_xlpm.col) +
INDEX(_xlpm.rango,$BA$4-2,_xlpm.col) +
INDEX(_xlpm.rango,$BA$4-1,_xlpm.col) +
INDEX(_xlpm.rango,$BA$4, _xlpm.col)
)</f>
        <v>#VALUE!</v>
      </c>
      <c r="X85" s="95" t="e" cm="1" vm="1">
        <f t="array" aca="1" ref="X85" ca="1">_xlfn.LET(
_xlpm.rango, INDIRECT("S!$C$" &amp; $BA$8 &amp; ":$DR$" &amp; $BA$9),
_xlpm.col, X$72+$D84*10,
INDEX(_xlpm.rango,$BA$4-3,_xlpm.col) +
INDEX(_xlpm.rango,$BA$4-2,_xlpm.col) +
INDEX(_xlpm.rango,$BA$4-1,_xlpm.col) +
INDEX(_xlpm.rango,$BA$4, _xlpm.col)
)</f>
        <v>#VALUE!</v>
      </c>
      <c r="Y85" s="95" t="e" cm="1" vm="1">
        <f t="array" aca="1" ref="Y85" ca="1">_xlfn.LET(
_xlpm.rango, INDIRECT("S!$C$" &amp; $BA$8 &amp; ":$DR$" &amp; $BA$9),
_xlpm.col, Y$72+$D84*10,
INDEX(_xlpm.rango,$BA$4-3,_xlpm.col) +
INDEX(_xlpm.rango,$BA$4-2,_xlpm.col) +
INDEX(_xlpm.rango,$BA$4-1,_xlpm.col) +
INDEX(_xlpm.rango,$BA$4, _xlpm.col)
)</f>
        <v>#VALUE!</v>
      </c>
      <c r="Z85" s="100" t="e" cm="1" vm="1">
        <f t="array" aca="1" ref="Z85" ca="1">_xlfn.LET(
_xlpm.rango, INDIRECT("E!$C$" &amp; $BA$8 &amp; ":$DR$" &amp; $BA$9),
_xlpm.col, Z$72+$D84*10,
INDEX(_xlpm.rango,$BA$4-3,_xlpm.col) +
INDEX(_xlpm.rango,$BA$4-2,_xlpm.col) +
INDEX(_xlpm.rango,$BA$4-1,_xlpm.col) +
INDEX(_xlpm.rango,$BA$4, _xlpm.col)
)</f>
        <v>#VALUE!</v>
      </c>
      <c r="AA85" s="95" t="e" cm="1" vm="1">
        <f t="array" aca="1" ref="AA85" ca="1">_xlfn.LET(
_xlpm.rango, INDIRECT("E!$C$" &amp; $BA$8 &amp; ":$DR$" &amp; $BA$9),
_xlpm.col, AA$72+$D84*10,
INDEX(_xlpm.rango,$BA$4-3,_xlpm.col) +
INDEX(_xlpm.rango,$BA$4-2,_xlpm.col) +
INDEX(_xlpm.rango,$BA$4-1,_xlpm.col) +
INDEX(_xlpm.rango,$BA$4, _xlpm.col)
)</f>
        <v>#VALUE!</v>
      </c>
      <c r="AB85" s="95" t="e" cm="1" vm="1">
        <f t="array" aca="1" ref="AB85" ca="1">_xlfn.LET(
_xlpm.rango, INDIRECT("E!$C$" &amp; $BA$8 &amp; ":$DR$" &amp; $BA$9),
_xlpm.col, AB$72+$D84*10,
INDEX(_xlpm.rango,$BA$4-3,_xlpm.col) +
INDEX(_xlpm.rango,$BA$4-2,_xlpm.col) +
INDEX(_xlpm.rango,$BA$4-1,_xlpm.col) +
INDEX(_xlpm.rango,$BA$4, _xlpm.col)
)</f>
        <v>#VALUE!</v>
      </c>
      <c r="AC85" s="95" t="e" cm="1" vm="1">
        <f t="array" aca="1" ref="AC85" ca="1">_xlfn.LET(
_xlpm.rango, INDIRECT("E!$C$" &amp; $BA$8 &amp; ":$DR$" &amp; $BA$9),
_xlpm.col, AC$72+$D84*10,
INDEX(_xlpm.rango,$BA$4-3,_xlpm.col) +
INDEX(_xlpm.rango,$BA$4-2,_xlpm.col) +
INDEX(_xlpm.rango,$BA$4-1,_xlpm.col) +
INDEX(_xlpm.rango,$BA$4, _xlpm.col)
)</f>
        <v>#VALUE!</v>
      </c>
      <c r="AD85" s="95" t="e" cm="1" vm="1">
        <f t="array" aca="1" ref="AD85" ca="1">_xlfn.LET(
_xlpm.rango, INDIRECT("E!$C$" &amp; $BA$8 &amp; ":$DR$" &amp; $BA$9),
_xlpm.col, AD$72+$D84*10,
INDEX(_xlpm.rango,$BA$4-3,_xlpm.col) +
INDEX(_xlpm.rango,$BA$4-2,_xlpm.col) +
INDEX(_xlpm.rango,$BA$4-1,_xlpm.col) +
INDEX(_xlpm.rango,$BA$4, _xlpm.col)
)</f>
        <v>#VALUE!</v>
      </c>
      <c r="AE85" s="95" t="e" cm="1" vm="1">
        <f t="array" aca="1" ref="AE85" ca="1">_xlfn.LET(
_xlpm.rango, INDIRECT("E!$C$" &amp; $BA$8 &amp; ":$DR$" &amp; $BA$9),
_xlpm.col, AE$72+$D84*10,
INDEX(_xlpm.rango,$BA$4-3,_xlpm.col) +
INDEX(_xlpm.rango,$BA$4-2,_xlpm.col) +
INDEX(_xlpm.rango,$BA$4-1,_xlpm.col) +
INDEX(_xlpm.rango,$BA$4, _xlpm.col)
)</f>
        <v>#VALUE!</v>
      </c>
      <c r="AF85" s="95" t="e" cm="1" vm="1">
        <f t="array" aca="1" ref="AF85" ca="1">_xlfn.LET(
_xlpm.rango, INDIRECT("E!$C$" &amp; $BA$8 &amp; ":$DR$" &amp; $BA$9),
_xlpm.col, AF$72+$D84*10,
INDEX(_xlpm.rango,$BA$4-3,_xlpm.col) +
INDEX(_xlpm.rango,$BA$4-2,_xlpm.col) +
INDEX(_xlpm.rango,$BA$4-1,_xlpm.col) +
INDEX(_xlpm.rango,$BA$4, _xlpm.col)
)</f>
        <v>#VALUE!</v>
      </c>
      <c r="AG85" s="95" t="e" cm="1" vm="1">
        <f t="array" aca="1" ref="AG85" ca="1">_xlfn.LET(
_xlpm.rango, INDIRECT("E!$C$" &amp; $BA$8 &amp; ":$DR$" &amp; $BA$9),
_xlpm.col, AG$72+$D84*10,
INDEX(_xlpm.rango,$BA$4-3,_xlpm.col) +
INDEX(_xlpm.rango,$BA$4-2,_xlpm.col) +
INDEX(_xlpm.rango,$BA$4-1,_xlpm.col) +
INDEX(_xlpm.rango,$BA$4, _xlpm.col)
)</f>
        <v>#VALUE!</v>
      </c>
      <c r="AH85" s="95" t="e" cm="1" vm="1">
        <f t="array" aca="1" ref="AH85" ca="1">_xlfn.LET(
_xlpm.rango, INDIRECT("E!$C$" &amp; $BA$8 &amp; ":$DR$" &amp; $BA$9),
_xlpm.col, AH$72+$D84*10,
INDEX(_xlpm.rango,$BA$4-3,_xlpm.col) +
INDEX(_xlpm.rango,$BA$4-2,_xlpm.col) +
INDEX(_xlpm.rango,$BA$4-1,_xlpm.col) +
INDEX(_xlpm.rango,$BA$4, _xlpm.col)
)</f>
        <v>#VALUE!</v>
      </c>
      <c r="AI85" s="96" t="e" cm="1" vm="1">
        <f t="array" aca="1" ref="AI85" ca="1">_xlfn.LET(
_xlpm.rango, INDIRECT("E!$C$" &amp; $BA$8 &amp; ":$DR$" &amp; $BA$9),
_xlpm.col, AI$72+$D84*10,
INDEX(_xlpm.rango,$BA$4-3,_xlpm.col) +
INDEX(_xlpm.rango,$BA$4-2,_xlpm.col) +
INDEX(_xlpm.rango,$BA$4-1,_xlpm.col) +
INDEX(_xlpm.rango,$BA$4, _xlpm.col)
)</f>
        <v>#VALUE!</v>
      </c>
      <c r="AJ85" s="95" t="e" cm="1" vm="1">
        <f t="array" aca="1" ref="AJ85" ca="1">_xlfn.LET(
_xlpm.rango, INDIRECT("E!$C$" &amp; $BA$8 &amp; ":$DR$" &amp; $BA$9),
_xlpm.col, AJ$72+$D84*10,
INDEX(_xlpm.rango,$BA$4-3,_xlpm.col) +
INDEX(_xlpm.rango,$BA$4-2,_xlpm.col) +
INDEX(_xlpm.rango,$BA$4-1,_xlpm.col) +
INDEX(_xlpm.rango,$BA$4, _xlpm.col)
)</f>
        <v>#VALUE!</v>
      </c>
      <c r="AK85" s="95" t="e" cm="1" vm="1">
        <f t="array" aca="1" ref="AK85" ca="1">_xlfn.LET(
_xlpm.rango, INDIRECT("E!$C$" &amp; $BA$8 &amp; ":$DR$" &amp; $BA$9),
_xlpm.col, AK$72+$D84*10,
INDEX(_xlpm.rango,$BA$4-3,_xlpm.col) +
INDEX(_xlpm.rango,$BA$4-2,_xlpm.col) +
INDEX(_xlpm.rango,$BA$4-1,_xlpm.col) +
INDEX(_xlpm.rango,$BA$4, _xlpm.col)
)</f>
        <v>#VALUE!</v>
      </c>
      <c r="AL85" s="95" t="e" cm="1" vm="1">
        <f t="array" aca="1" ref="AL85" ca="1">_xlfn.LET(
_xlpm.rango, INDIRECT("E!$C$" &amp; $BA$8 &amp; ":$DR$" &amp; $BA$9),
_xlpm.col, AL$72+$D84*10,
INDEX(_xlpm.rango,$BA$4-3,_xlpm.col) +
INDEX(_xlpm.rango,$BA$4-2,_xlpm.col) +
INDEX(_xlpm.rango,$BA$4-1,_xlpm.col) +
INDEX(_xlpm.rango,$BA$4, _xlpm.col)
)</f>
        <v>#VALUE!</v>
      </c>
      <c r="AM85" s="95" t="e" cm="1" vm="1">
        <f t="array" aca="1" ref="AM85" ca="1">_xlfn.LET(
_xlpm.rango, INDIRECT("E!$C$" &amp; $BA$8 &amp; ":$DR$" &amp; $BA$9),
_xlpm.col, AM$72+$D84*10,
INDEX(_xlpm.rango,$BA$4-3,_xlpm.col) +
INDEX(_xlpm.rango,$BA$4-2,_xlpm.col) +
INDEX(_xlpm.rango,$BA$4-1,_xlpm.col) +
INDEX(_xlpm.rango,$BA$4, _xlpm.col)
)</f>
        <v>#VALUE!</v>
      </c>
      <c r="AN85" s="95" t="e" cm="1" vm="1">
        <f t="array" aca="1" ref="AN85" ca="1">_xlfn.LET(
_xlpm.rango, INDIRECT("E!$C$" &amp; $BA$8 &amp; ":$DR$" &amp; $BA$9),
_xlpm.col, AN$72+$D84*10,
INDEX(_xlpm.rango,$BA$4-3,_xlpm.col) +
INDEX(_xlpm.rango,$BA$4-2,_xlpm.col) +
INDEX(_xlpm.rango,$BA$4-1,_xlpm.col) +
INDEX(_xlpm.rango,$BA$4, _xlpm.col)
)</f>
        <v>#VALUE!</v>
      </c>
      <c r="AO85" s="95" t="e" cm="1" vm="1">
        <f t="array" aca="1" ref="AO85" ca="1">_xlfn.LET(
_xlpm.rango, INDIRECT("E!$C$" &amp; $BA$8 &amp; ":$DR$" &amp; $BA$9),
_xlpm.col, AO$72+$D84*10,
INDEX(_xlpm.rango,$BA$4-3,_xlpm.col) +
INDEX(_xlpm.rango,$BA$4-2,_xlpm.col) +
INDEX(_xlpm.rango,$BA$4-1,_xlpm.col) +
INDEX(_xlpm.rango,$BA$4, _xlpm.col)
)</f>
        <v>#VALUE!</v>
      </c>
      <c r="AP85" s="95" t="e" cm="1" vm="1">
        <f t="array" aca="1" ref="AP85" ca="1">_xlfn.LET(
_xlpm.rango, INDIRECT("E!$C$" &amp; $BA$8 &amp; ":$DR$" &amp; $BA$9),
_xlpm.col, AP$72+$D84*10,
INDEX(_xlpm.rango,$BA$4-3,_xlpm.col) +
INDEX(_xlpm.rango,$BA$4-2,_xlpm.col) +
INDEX(_xlpm.rango,$BA$4-1,_xlpm.col) +
INDEX(_xlpm.rango,$BA$4, _xlpm.col)
)</f>
        <v>#VALUE!</v>
      </c>
      <c r="AQ85" s="95" t="e" cm="1" vm="1">
        <f t="array" aca="1" ref="AQ85" ca="1">_xlfn.LET(
_xlpm.rango, INDIRECT("E!$C$" &amp; $BA$8 &amp; ":$DR$" &amp; $BA$9),
_xlpm.col, AQ$72+$D84*10,
INDEX(_xlpm.rango,$BA$4-3,_xlpm.col) +
INDEX(_xlpm.rango,$BA$4-2,_xlpm.col) +
INDEX(_xlpm.rango,$BA$4-1,_xlpm.col) +
INDEX(_xlpm.rango,$BA$4, _xlpm.col)
)</f>
        <v>#VALUE!</v>
      </c>
      <c r="AR85" s="95" t="e" cm="1" vm="1">
        <f t="array" aca="1" ref="AR85" ca="1">_xlfn.LET(
_xlpm.rango, INDIRECT("E!$C$" &amp; $BA$8 &amp; ":$DR$" &amp; $BA$9),
_xlpm.col, AR$72+$D84*10,
INDEX(_xlpm.rango,$BA$4-3,_xlpm.col) +
INDEX(_xlpm.rango,$BA$4-2,_xlpm.col) +
INDEX(_xlpm.rango,$BA$4-1,_xlpm.col) +
INDEX(_xlpm.rango,$BA$4, _xlpm.col)
)</f>
        <v>#VALUE!</v>
      </c>
      <c r="AS85" s="112" t="e" cm="1" vm="1">
        <f t="array" aca="1" ref="AS85" ca="1">_xlfn.LET(
_xlpm.rango, INDIRECT("E!$C$" &amp; $BA$8 &amp; ":$DR$" &amp; $BA$9),
_xlpm.col, AS$72+$D84*10,
INDEX(_xlpm.rango,$BA$4-3,_xlpm.col) +
INDEX(_xlpm.rango,$BA$4-2,_xlpm.col) +
INDEX(_xlpm.rango,$BA$4-1,_xlpm.col) +
INDEX(_xlpm.rango,$BA$4, _xlpm.col)
)</f>
        <v>#VALUE!</v>
      </c>
      <c r="AT85" s="118" t="e" vm="2">
        <f t="shared" ca="1" si="0"/>
        <v>#VALUE!</v>
      </c>
      <c r="AU85" s="120" t="e" vm="2">
        <f t="shared" ca="1" si="1"/>
        <v>#VALUE!</v>
      </c>
    </row>
    <row r="86" spans="4:47" x14ac:dyDescent="0.25">
      <c r="D86">
        <v>11</v>
      </c>
      <c r="E86" s="106" t="str">
        <f>Inicio!V14</f>
        <v>Semi-trailer</v>
      </c>
      <c r="F86" s="100" t="e" cm="1" vm="1">
        <f t="array" aca="1" ref="F86" ca="1">_xlfn.LET(
_xlpm.rango, INDIRECT("N!$C$" &amp; $BA$8 &amp; ":$DR$" &amp; $BA$9),
_xlpm.col, F$72+$D85*10,
INDEX(_xlpm.rango,$BA$4-3,_xlpm.col) +
INDEX(_xlpm.rango,$BA$4-2,_xlpm.col) +
INDEX(_xlpm.rango,$BA$4-1,_xlpm.col) +
INDEX(_xlpm.rango,$BA$4, _xlpm.col)
)</f>
        <v>#VALUE!</v>
      </c>
      <c r="G86" s="95" t="e" cm="1" vm="1">
        <f t="array" aca="1" ref="G86" ca="1">_xlfn.LET(
_xlpm.rango, INDIRECT("N!$C$" &amp; $BA$8 &amp; ":$DR$" &amp; $BA$9),
_xlpm.col, G$72+$D85*10,
INDEX(_xlpm.rango,$BA$4-3,_xlpm.col) +
INDEX(_xlpm.rango,$BA$4-2,_xlpm.col) +
INDEX(_xlpm.rango,$BA$4-1,_xlpm.col) +
INDEX(_xlpm.rango,$BA$4, _xlpm.col)
)</f>
        <v>#VALUE!</v>
      </c>
      <c r="H86" s="95" t="e" cm="1" vm="1">
        <f t="array" aca="1" ref="H86" ca="1">_xlfn.LET(
_xlpm.rango, INDIRECT("N!$C$" &amp; $BA$8 &amp; ":$DR$" &amp; $BA$9),
_xlpm.col, H$72+$D85*10,
INDEX(_xlpm.rango,$BA$4-3,_xlpm.col) +
INDEX(_xlpm.rango,$BA$4-2,_xlpm.col) +
INDEX(_xlpm.rango,$BA$4-1,_xlpm.col) +
INDEX(_xlpm.rango,$BA$4, _xlpm.col)
)</f>
        <v>#VALUE!</v>
      </c>
      <c r="I86" s="95" t="e" cm="1" vm="1">
        <f t="array" aca="1" ref="I86" ca="1">_xlfn.LET(
_xlpm.rango, INDIRECT("N!$C$" &amp; $BA$8 &amp; ":$DR$" &amp; $BA$9),
_xlpm.col, I$72+$D85*10,
INDEX(_xlpm.rango,$BA$4-3,_xlpm.col) +
INDEX(_xlpm.rango,$BA$4-2,_xlpm.col) +
INDEX(_xlpm.rango,$BA$4-1,_xlpm.col) +
INDEX(_xlpm.rango,$BA$4, _xlpm.col)
)</f>
        <v>#VALUE!</v>
      </c>
      <c r="J86" s="95" t="e" cm="1" vm="1">
        <f t="array" aca="1" ref="J86" ca="1">_xlfn.LET(
_xlpm.rango, INDIRECT("N!$C$" &amp; $BA$8 &amp; ":$DR$" &amp; $BA$9),
_xlpm.col, J$72+$D85*10,
INDEX(_xlpm.rango,$BA$4-3,_xlpm.col) +
INDEX(_xlpm.rango,$BA$4-2,_xlpm.col) +
INDEX(_xlpm.rango,$BA$4-1,_xlpm.col) +
INDEX(_xlpm.rango,$BA$4, _xlpm.col)
)</f>
        <v>#VALUE!</v>
      </c>
      <c r="K86" s="95" t="e" cm="1" vm="1">
        <f t="array" aca="1" ref="K86" ca="1">_xlfn.LET(
_xlpm.rango, INDIRECT("N!$C$" &amp; $BA$8 &amp; ":$DR$" &amp; $BA$9),
_xlpm.col, K$72+$D85*10,
INDEX(_xlpm.rango,$BA$4-3,_xlpm.col) +
INDEX(_xlpm.rango,$BA$4-2,_xlpm.col) +
INDEX(_xlpm.rango,$BA$4-1,_xlpm.col) +
INDEX(_xlpm.rango,$BA$4, _xlpm.col)
)</f>
        <v>#VALUE!</v>
      </c>
      <c r="L86" s="95" t="e" cm="1" vm="1">
        <f t="array" aca="1" ref="L86" ca="1">_xlfn.LET(
_xlpm.rango, INDIRECT("N!$C$" &amp; $BA$8 &amp; ":$DR$" &amp; $BA$9),
_xlpm.col, L$72+$D85*10,
INDEX(_xlpm.rango,$BA$4-3,_xlpm.col) +
INDEX(_xlpm.rango,$BA$4-2,_xlpm.col) +
INDEX(_xlpm.rango,$BA$4-1,_xlpm.col) +
INDEX(_xlpm.rango,$BA$4, _xlpm.col)
)</f>
        <v>#VALUE!</v>
      </c>
      <c r="M86" s="95" t="e" cm="1" vm="1">
        <f t="array" aca="1" ref="M86" ca="1">_xlfn.LET(
_xlpm.rango, INDIRECT("N!$C$" &amp; $BA$8 &amp; ":$DR$" &amp; $BA$9),
_xlpm.col, M$72+$D85*10,
INDEX(_xlpm.rango,$BA$4-3,_xlpm.col) +
INDEX(_xlpm.rango,$BA$4-2,_xlpm.col) +
INDEX(_xlpm.rango,$BA$4-1,_xlpm.col) +
INDEX(_xlpm.rango,$BA$4, _xlpm.col)
)</f>
        <v>#VALUE!</v>
      </c>
      <c r="N86" s="95" t="e" cm="1" vm="1">
        <f t="array" aca="1" ref="N86" ca="1">_xlfn.LET(
_xlpm.rango, INDIRECT("N!$C$" &amp; $BA$8 &amp; ":$DR$" &amp; $BA$9),
_xlpm.col, N$72+$D85*10,
INDEX(_xlpm.rango,$BA$4-3,_xlpm.col) +
INDEX(_xlpm.rango,$BA$4-2,_xlpm.col) +
INDEX(_xlpm.rango,$BA$4-1,_xlpm.col) +
INDEX(_xlpm.rango,$BA$4, _xlpm.col)
)</f>
        <v>#VALUE!</v>
      </c>
      <c r="O86" s="96" t="e" cm="1" vm="1">
        <f t="array" aca="1" ref="O86" ca="1">_xlfn.LET(
_xlpm.rango, INDIRECT("N!$C$" &amp; $BA$8 &amp; ":$DR$" &amp; $BA$9),
_xlpm.col, O$72+$D85*10,
INDEX(_xlpm.rango,$BA$4-3,_xlpm.col) +
INDEX(_xlpm.rango,$BA$4-2,_xlpm.col) +
INDEX(_xlpm.rango,$BA$4-1,_xlpm.col) +
INDEX(_xlpm.rango,$BA$4, _xlpm.col)
)</f>
        <v>#VALUE!</v>
      </c>
      <c r="P86" s="95" t="e" cm="1" vm="1">
        <f t="array" aca="1" ref="P86" ca="1">_xlfn.LET(
_xlpm.rango, INDIRECT("S!$C$" &amp; $BA$8 &amp; ":$DR$" &amp; $BA$9),
_xlpm.col, P$72+$D85*10,
INDEX(_xlpm.rango,$BA$4-3,_xlpm.col) +
INDEX(_xlpm.rango,$BA$4-2,_xlpm.col) +
INDEX(_xlpm.rango,$BA$4-1,_xlpm.col) +
INDEX(_xlpm.rango,$BA$4, _xlpm.col)
)</f>
        <v>#VALUE!</v>
      </c>
      <c r="Q86" s="95" t="e" cm="1" vm="1">
        <f t="array" aca="1" ref="Q86" ca="1">_xlfn.LET(
_xlpm.rango, INDIRECT("S!$C$" &amp; $BA$8 &amp; ":$DR$" &amp; $BA$9),
_xlpm.col, Q$72+$D85*10,
INDEX(_xlpm.rango,$BA$4-3,_xlpm.col) +
INDEX(_xlpm.rango,$BA$4-2,_xlpm.col) +
INDEX(_xlpm.rango,$BA$4-1,_xlpm.col) +
INDEX(_xlpm.rango,$BA$4, _xlpm.col)
)</f>
        <v>#VALUE!</v>
      </c>
      <c r="R86" s="95" t="e" cm="1" vm="1">
        <f t="array" aca="1" ref="R86" ca="1">_xlfn.LET(
_xlpm.rango, INDIRECT("S!$C$" &amp; $BA$8 &amp; ":$DR$" &amp; $BA$9),
_xlpm.col, R$72+$D85*10,
INDEX(_xlpm.rango,$BA$4-3,_xlpm.col) +
INDEX(_xlpm.rango,$BA$4-2,_xlpm.col) +
INDEX(_xlpm.rango,$BA$4-1,_xlpm.col) +
INDEX(_xlpm.rango,$BA$4, _xlpm.col)
)</f>
        <v>#VALUE!</v>
      </c>
      <c r="S86" s="95" t="e" cm="1" vm="1">
        <f t="array" aca="1" ref="S86" ca="1">_xlfn.LET(
_xlpm.rango, INDIRECT("S!$C$" &amp; $BA$8 &amp; ":$DR$" &amp; $BA$9),
_xlpm.col, S$72+$D85*10,
INDEX(_xlpm.rango,$BA$4-3,_xlpm.col) +
INDEX(_xlpm.rango,$BA$4-2,_xlpm.col) +
INDEX(_xlpm.rango,$BA$4-1,_xlpm.col) +
INDEX(_xlpm.rango,$BA$4, _xlpm.col)
)</f>
        <v>#VALUE!</v>
      </c>
      <c r="T86" s="95" t="e" cm="1" vm="1">
        <f t="array" aca="1" ref="T86" ca="1">_xlfn.LET(
_xlpm.rango, INDIRECT("S!$C$" &amp; $BA$8 &amp; ":$DR$" &amp; $BA$9),
_xlpm.col, T$72+$D85*10,
INDEX(_xlpm.rango,$BA$4-3,_xlpm.col) +
INDEX(_xlpm.rango,$BA$4-2,_xlpm.col) +
INDEX(_xlpm.rango,$BA$4-1,_xlpm.col) +
INDEX(_xlpm.rango,$BA$4, _xlpm.col)
)</f>
        <v>#VALUE!</v>
      </c>
      <c r="U86" s="95" t="e" cm="1" vm="1">
        <f t="array" aca="1" ref="U86" ca="1">_xlfn.LET(
_xlpm.rango, INDIRECT("S!$C$" &amp; $BA$8 &amp; ":$DR$" &amp; $BA$9),
_xlpm.col, U$72+$D85*10,
INDEX(_xlpm.rango,$BA$4-3,_xlpm.col) +
INDEX(_xlpm.rango,$BA$4-2,_xlpm.col) +
INDEX(_xlpm.rango,$BA$4-1,_xlpm.col) +
INDEX(_xlpm.rango,$BA$4, _xlpm.col)
)</f>
        <v>#VALUE!</v>
      </c>
      <c r="V86" s="95" t="e" cm="1" vm="1">
        <f t="array" aca="1" ref="V86" ca="1">_xlfn.LET(
_xlpm.rango, INDIRECT("S!$C$" &amp; $BA$8 &amp; ":$DR$" &amp; $BA$9),
_xlpm.col, V$72+$D85*10,
INDEX(_xlpm.rango,$BA$4-3,_xlpm.col) +
INDEX(_xlpm.rango,$BA$4-2,_xlpm.col) +
INDEX(_xlpm.rango,$BA$4-1,_xlpm.col) +
INDEX(_xlpm.rango,$BA$4, _xlpm.col)
)</f>
        <v>#VALUE!</v>
      </c>
      <c r="W86" s="95" t="e" cm="1" vm="1">
        <f t="array" aca="1" ref="W86" ca="1">_xlfn.LET(
_xlpm.rango, INDIRECT("S!$C$" &amp; $BA$8 &amp; ":$DR$" &amp; $BA$9),
_xlpm.col, W$72+$D85*10,
INDEX(_xlpm.rango,$BA$4-3,_xlpm.col) +
INDEX(_xlpm.rango,$BA$4-2,_xlpm.col) +
INDEX(_xlpm.rango,$BA$4-1,_xlpm.col) +
INDEX(_xlpm.rango,$BA$4, _xlpm.col)
)</f>
        <v>#VALUE!</v>
      </c>
      <c r="X86" s="95" t="e" cm="1" vm="1">
        <f t="array" aca="1" ref="X86" ca="1">_xlfn.LET(
_xlpm.rango, INDIRECT("S!$C$" &amp; $BA$8 &amp; ":$DR$" &amp; $BA$9),
_xlpm.col, X$72+$D85*10,
INDEX(_xlpm.rango,$BA$4-3,_xlpm.col) +
INDEX(_xlpm.rango,$BA$4-2,_xlpm.col) +
INDEX(_xlpm.rango,$BA$4-1,_xlpm.col) +
INDEX(_xlpm.rango,$BA$4, _xlpm.col)
)</f>
        <v>#VALUE!</v>
      </c>
      <c r="Y86" s="95" t="e" cm="1" vm="1">
        <f t="array" aca="1" ref="Y86" ca="1">_xlfn.LET(
_xlpm.rango, INDIRECT("S!$C$" &amp; $BA$8 &amp; ":$DR$" &amp; $BA$9),
_xlpm.col, Y$72+$D85*10,
INDEX(_xlpm.rango,$BA$4-3,_xlpm.col) +
INDEX(_xlpm.rango,$BA$4-2,_xlpm.col) +
INDEX(_xlpm.rango,$BA$4-1,_xlpm.col) +
INDEX(_xlpm.rango,$BA$4, _xlpm.col)
)</f>
        <v>#VALUE!</v>
      </c>
      <c r="Z86" s="100" t="e" cm="1" vm="1">
        <f t="array" aca="1" ref="Z86" ca="1">_xlfn.LET(
_xlpm.rango, INDIRECT("E!$C$" &amp; $BA$8 &amp; ":$DR$" &amp; $BA$9),
_xlpm.col, Z$72+$D85*10,
INDEX(_xlpm.rango,$BA$4-3,_xlpm.col) +
INDEX(_xlpm.rango,$BA$4-2,_xlpm.col) +
INDEX(_xlpm.rango,$BA$4-1,_xlpm.col) +
INDEX(_xlpm.rango,$BA$4, _xlpm.col)
)</f>
        <v>#VALUE!</v>
      </c>
      <c r="AA86" s="95" t="e" cm="1" vm="1">
        <f t="array" aca="1" ref="AA86" ca="1">_xlfn.LET(
_xlpm.rango, INDIRECT("E!$C$" &amp; $BA$8 &amp; ":$DR$" &amp; $BA$9),
_xlpm.col, AA$72+$D85*10,
INDEX(_xlpm.rango,$BA$4-3,_xlpm.col) +
INDEX(_xlpm.rango,$BA$4-2,_xlpm.col) +
INDEX(_xlpm.rango,$BA$4-1,_xlpm.col) +
INDEX(_xlpm.rango,$BA$4, _xlpm.col)
)</f>
        <v>#VALUE!</v>
      </c>
      <c r="AB86" s="95" t="e" cm="1" vm="1">
        <f t="array" aca="1" ref="AB86" ca="1">_xlfn.LET(
_xlpm.rango, INDIRECT("E!$C$" &amp; $BA$8 &amp; ":$DR$" &amp; $BA$9),
_xlpm.col, AB$72+$D85*10,
INDEX(_xlpm.rango,$BA$4-3,_xlpm.col) +
INDEX(_xlpm.rango,$BA$4-2,_xlpm.col) +
INDEX(_xlpm.rango,$BA$4-1,_xlpm.col) +
INDEX(_xlpm.rango,$BA$4, _xlpm.col)
)</f>
        <v>#VALUE!</v>
      </c>
      <c r="AC86" s="95" t="e" cm="1" vm="1">
        <f t="array" aca="1" ref="AC86" ca="1">_xlfn.LET(
_xlpm.rango, INDIRECT("E!$C$" &amp; $BA$8 &amp; ":$DR$" &amp; $BA$9),
_xlpm.col, AC$72+$D85*10,
INDEX(_xlpm.rango,$BA$4-3,_xlpm.col) +
INDEX(_xlpm.rango,$BA$4-2,_xlpm.col) +
INDEX(_xlpm.rango,$BA$4-1,_xlpm.col) +
INDEX(_xlpm.rango,$BA$4, _xlpm.col)
)</f>
        <v>#VALUE!</v>
      </c>
      <c r="AD86" s="95" t="e" cm="1" vm="1">
        <f t="array" aca="1" ref="AD86" ca="1">_xlfn.LET(
_xlpm.rango, INDIRECT("E!$C$" &amp; $BA$8 &amp; ":$DR$" &amp; $BA$9),
_xlpm.col, AD$72+$D85*10,
INDEX(_xlpm.rango,$BA$4-3,_xlpm.col) +
INDEX(_xlpm.rango,$BA$4-2,_xlpm.col) +
INDEX(_xlpm.rango,$BA$4-1,_xlpm.col) +
INDEX(_xlpm.rango,$BA$4, _xlpm.col)
)</f>
        <v>#VALUE!</v>
      </c>
      <c r="AE86" s="95" t="e" cm="1" vm="1">
        <f t="array" aca="1" ref="AE86" ca="1">_xlfn.LET(
_xlpm.rango, INDIRECT("E!$C$" &amp; $BA$8 &amp; ":$DR$" &amp; $BA$9),
_xlpm.col, AE$72+$D85*10,
INDEX(_xlpm.rango,$BA$4-3,_xlpm.col) +
INDEX(_xlpm.rango,$BA$4-2,_xlpm.col) +
INDEX(_xlpm.rango,$BA$4-1,_xlpm.col) +
INDEX(_xlpm.rango,$BA$4, _xlpm.col)
)</f>
        <v>#VALUE!</v>
      </c>
      <c r="AF86" s="95" t="e" cm="1" vm="1">
        <f t="array" aca="1" ref="AF86" ca="1">_xlfn.LET(
_xlpm.rango, INDIRECT("E!$C$" &amp; $BA$8 &amp; ":$DR$" &amp; $BA$9),
_xlpm.col, AF$72+$D85*10,
INDEX(_xlpm.rango,$BA$4-3,_xlpm.col) +
INDEX(_xlpm.rango,$BA$4-2,_xlpm.col) +
INDEX(_xlpm.rango,$BA$4-1,_xlpm.col) +
INDEX(_xlpm.rango,$BA$4, _xlpm.col)
)</f>
        <v>#VALUE!</v>
      </c>
      <c r="AG86" s="95" t="e" cm="1" vm="1">
        <f t="array" aca="1" ref="AG86" ca="1">_xlfn.LET(
_xlpm.rango, INDIRECT("E!$C$" &amp; $BA$8 &amp; ":$DR$" &amp; $BA$9),
_xlpm.col, AG$72+$D85*10,
INDEX(_xlpm.rango,$BA$4-3,_xlpm.col) +
INDEX(_xlpm.rango,$BA$4-2,_xlpm.col) +
INDEX(_xlpm.rango,$BA$4-1,_xlpm.col) +
INDEX(_xlpm.rango,$BA$4, _xlpm.col)
)</f>
        <v>#VALUE!</v>
      </c>
      <c r="AH86" s="95" t="e" cm="1" vm="1">
        <f t="array" aca="1" ref="AH86" ca="1">_xlfn.LET(
_xlpm.rango, INDIRECT("E!$C$" &amp; $BA$8 &amp; ":$DR$" &amp; $BA$9),
_xlpm.col, AH$72+$D85*10,
INDEX(_xlpm.rango,$BA$4-3,_xlpm.col) +
INDEX(_xlpm.rango,$BA$4-2,_xlpm.col) +
INDEX(_xlpm.rango,$BA$4-1,_xlpm.col) +
INDEX(_xlpm.rango,$BA$4, _xlpm.col)
)</f>
        <v>#VALUE!</v>
      </c>
      <c r="AI86" s="96" t="e" cm="1" vm="1">
        <f t="array" aca="1" ref="AI86" ca="1">_xlfn.LET(
_xlpm.rango, INDIRECT("E!$C$" &amp; $BA$8 &amp; ":$DR$" &amp; $BA$9),
_xlpm.col, AI$72+$D85*10,
INDEX(_xlpm.rango,$BA$4-3,_xlpm.col) +
INDEX(_xlpm.rango,$BA$4-2,_xlpm.col) +
INDEX(_xlpm.rango,$BA$4-1,_xlpm.col) +
INDEX(_xlpm.rango,$BA$4, _xlpm.col)
)</f>
        <v>#VALUE!</v>
      </c>
      <c r="AJ86" s="95" t="e" cm="1" vm="1">
        <f t="array" aca="1" ref="AJ86" ca="1">_xlfn.LET(
_xlpm.rango, INDIRECT("E!$C$" &amp; $BA$8 &amp; ":$DR$" &amp; $BA$9),
_xlpm.col, AJ$72+$D85*10,
INDEX(_xlpm.rango,$BA$4-3,_xlpm.col) +
INDEX(_xlpm.rango,$BA$4-2,_xlpm.col) +
INDEX(_xlpm.rango,$BA$4-1,_xlpm.col) +
INDEX(_xlpm.rango,$BA$4, _xlpm.col)
)</f>
        <v>#VALUE!</v>
      </c>
      <c r="AK86" s="95" t="e" cm="1" vm="1">
        <f t="array" aca="1" ref="AK86" ca="1">_xlfn.LET(
_xlpm.rango, INDIRECT("E!$C$" &amp; $BA$8 &amp; ":$DR$" &amp; $BA$9),
_xlpm.col, AK$72+$D85*10,
INDEX(_xlpm.rango,$BA$4-3,_xlpm.col) +
INDEX(_xlpm.rango,$BA$4-2,_xlpm.col) +
INDEX(_xlpm.rango,$BA$4-1,_xlpm.col) +
INDEX(_xlpm.rango,$BA$4, _xlpm.col)
)</f>
        <v>#VALUE!</v>
      </c>
      <c r="AL86" s="95" t="e" cm="1" vm="1">
        <f t="array" aca="1" ref="AL86" ca="1">_xlfn.LET(
_xlpm.rango, INDIRECT("E!$C$" &amp; $BA$8 &amp; ":$DR$" &amp; $BA$9),
_xlpm.col, AL$72+$D85*10,
INDEX(_xlpm.rango,$BA$4-3,_xlpm.col) +
INDEX(_xlpm.rango,$BA$4-2,_xlpm.col) +
INDEX(_xlpm.rango,$BA$4-1,_xlpm.col) +
INDEX(_xlpm.rango,$BA$4, _xlpm.col)
)</f>
        <v>#VALUE!</v>
      </c>
      <c r="AM86" s="95" t="e" cm="1" vm="1">
        <f t="array" aca="1" ref="AM86" ca="1">_xlfn.LET(
_xlpm.rango, INDIRECT("E!$C$" &amp; $BA$8 &amp; ":$DR$" &amp; $BA$9),
_xlpm.col, AM$72+$D85*10,
INDEX(_xlpm.rango,$BA$4-3,_xlpm.col) +
INDEX(_xlpm.rango,$BA$4-2,_xlpm.col) +
INDEX(_xlpm.rango,$BA$4-1,_xlpm.col) +
INDEX(_xlpm.rango,$BA$4, _xlpm.col)
)</f>
        <v>#VALUE!</v>
      </c>
      <c r="AN86" s="95" t="e" cm="1" vm="1">
        <f t="array" aca="1" ref="AN86" ca="1">_xlfn.LET(
_xlpm.rango, INDIRECT("E!$C$" &amp; $BA$8 &amp; ":$DR$" &amp; $BA$9),
_xlpm.col, AN$72+$D85*10,
INDEX(_xlpm.rango,$BA$4-3,_xlpm.col) +
INDEX(_xlpm.rango,$BA$4-2,_xlpm.col) +
INDEX(_xlpm.rango,$BA$4-1,_xlpm.col) +
INDEX(_xlpm.rango,$BA$4, _xlpm.col)
)</f>
        <v>#VALUE!</v>
      </c>
      <c r="AO86" s="95" t="e" cm="1" vm="1">
        <f t="array" aca="1" ref="AO86" ca="1">_xlfn.LET(
_xlpm.rango, INDIRECT("E!$C$" &amp; $BA$8 &amp; ":$DR$" &amp; $BA$9),
_xlpm.col, AO$72+$D85*10,
INDEX(_xlpm.rango,$BA$4-3,_xlpm.col) +
INDEX(_xlpm.rango,$BA$4-2,_xlpm.col) +
INDEX(_xlpm.rango,$BA$4-1,_xlpm.col) +
INDEX(_xlpm.rango,$BA$4, _xlpm.col)
)</f>
        <v>#VALUE!</v>
      </c>
      <c r="AP86" s="95" t="e" cm="1" vm="1">
        <f t="array" aca="1" ref="AP86" ca="1">_xlfn.LET(
_xlpm.rango, INDIRECT("E!$C$" &amp; $BA$8 &amp; ":$DR$" &amp; $BA$9),
_xlpm.col, AP$72+$D85*10,
INDEX(_xlpm.rango,$BA$4-3,_xlpm.col) +
INDEX(_xlpm.rango,$BA$4-2,_xlpm.col) +
INDEX(_xlpm.rango,$BA$4-1,_xlpm.col) +
INDEX(_xlpm.rango,$BA$4, _xlpm.col)
)</f>
        <v>#VALUE!</v>
      </c>
      <c r="AQ86" s="95" t="e" cm="1" vm="1">
        <f t="array" aca="1" ref="AQ86" ca="1">_xlfn.LET(
_xlpm.rango, INDIRECT("E!$C$" &amp; $BA$8 &amp; ":$DR$" &amp; $BA$9),
_xlpm.col, AQ$72+$D85*10,
INDEX(_xlpm.rango,$BA$4-3,_xlpm.col) +
INDEX(_xlpm.rango,$BA$4-2,_xlpm.col) +
INDEX(_xlpm.rango,$BA$4-1,_xlpm.col) +
INDEX(_xlpm.rango,$BA$4, _xlpm.col)
)</f>
        <v>#VALUE!</v>
      </c>
      <c r="AR86" s="95" t="e" cm="1" vm="1">
        <f t="array" aca="1" ref="AR86" ca="1">_xlfn.LET(
_xlpm.rango, INDIRECT("E!$C$" &amp; $BA$8 &amp; ":$DR$" &amp; $BA$9),
_xlpm.col, AR$72+$D85*10,
INDEX(_xlpm.rango,$BA$4-3,_xlpm.col) +
INDEX(_xlpm.rango,$BA$4-2,_xlpm.col) +
INDEX(_xlpm.rango,$BA$4-1,_xlpm.col) +
INDEX(_xlpm.rango,$BA$4, _xlpm.col)
)</f>
        <v>#VALUE!</v>
      </c>
      <c r="AS86" s="112" t="e" cm="1" vm="1">
        <f t="array" aca="1" ref="AS86" ca="1">_xlfn.LET(
_xlpm.rango, INDIRECT("E!$C$" &amp; $BA$8 &amp; ":$DR$" &amp; $BA$9),
_xlpm.col, AS$72+$D85*10,
INDEX(_xlpm.rango,$BA$4-3,_xlpm.col) +
INDEX(_xlpm.rango,$BA$4-2,_xlpm.col) +
INDEX(_xlpm.rango,$BA$4-1,_xlpm.col) +
INDEX(_xlpm.rango,$BA$4, _xlpm.col)
)</f>
        <v>#VALUE!</v>
      </c>
      <c r="AT86" s="118" t="e" vm="2">
        <f t="shared" ca="1" si="0"/>
        <v>#VALUE!</v>
      </c>
      <c r="AU86" s="120" t="e" vm="2">
        <f t="shared" ca="1" si="1"/>
        <v>#VALUE!</v>
      </c>
    </row>
    <row r="87" spans="4:47" x14ac:dyDescent="0.25">
      <c r="D87">
        <v>12</v>
      </c>
      <c r="E87" s="113" t="str">
        <f>Inicio!V15</f>
        <v>Otros</v>
      </c>
      <c r="F87" s="101" t="e" cm="1" vm="1">
        <f t="array" aca="1" ref="F87" ca="1">_xlfn.LET(
_xlpm.rango, INDIRECT("N!$C$" &amp; $BA$8 &amp; ":$DR$" &amp; $BA$9),
_xlpm.col, F$72+$D86*10,
INDEX(_xlpm.rango,$BA$4-3,_xlpm.col) +
INDEX(_xlpm.rango,$BA$4-2,_xlpm.col) +
INDEX(_xlpm.rango,$BA$4-1,_xlpm.col) +
INDEX(_xlpm.rango,$BA$4, _xlpm.col)
)</f>
        <v>#VALUE!</v>
      </c>
      <c r="G87" s="97" t="e" cm="1" vm="1">
        <f t="array" aca="1" ref="G87" ca="1">_xlfn.LET(
_xlpm.rango, INDIRECT("N!$C$" &amp; $BA$8 &amp; ":$DR$" &amp; $BA$9),
_xlpm.col, G$72+$D86*10,
INDEX(_xlpm.rango,$BA$4-3,_xlpm.col) +
INDEX(_xlpm.rango,$BA$4-2,_xlpm.col) +
INDEX(_xlpm.rango,$BA$4-1,_xlpm.col) +
INDEX(_xlpm.rango,$BA$4, _xlpm.col)
)</f>
        <v>#VALUE!</v>
      </c>
      <c r="H87" s="97" t="e" cm="1" vm="1">
        <f t="array" aca="1" ref="H87" ca="1">_xlfn.LET(
_xlpm.rango, INDIRECT("N!$C$" &amp; $BA$8 &amp; ":$DR$" &amp; $BA$9),
_xlpm.col, H$72+$D86*10,
INDEX(_xlpm.rango,$BA$4-3,_xlpm.col) +
INDEX(_xlpm.rango,$BA$4-2,_xlpm.col) +
INDEX(_xlpm.rango,$BA$4-1,_xlpm.col) +
INDEX(_xlpm.rango,$BA$4, _xlpm.col)
)</f>
        <v>#VALUE!</v>
      </c>
      <c r="I87" s="97" t="e" cm="1" vm="1">
        <f t="array" aca="1" ref="I87" ca="1">_xlfn.LET(
_xlpm.rango, INDIRECT("N!$C$" &amp; $BA$8 &amp; ":$DR$" &amp; $BA$9),
_xlpm.col, I$72+$D86*10,
INDEX(_xlpm.rango,$BA$4-3,_xlpm.col) +
INDEX(_xlpm.rango,$BA$4-2,_xlpm.col) +
INDEX(_xlpm.rango,$BA$4-1,_xlpm.col) +
INDEX(_xlpm.rango,$BA$4, _xlpm.col)
)</f>
        <v>#VALUE!</v>
      </c>
      <c r="J87" s="97" t="e" cm="1" vm="1">
        <f t="array" aca="1" ref="J87" ca="1">_xlfn.LET(
_xlpm.rango, INDIRECT("N!$C$" &amp; $BA$8 &amp; ":$DR$" &amp; $BA$9),
_xlpm.col, J$72+$D86*10,
INDEX(_xlpm.rango,$BA$4-3,_xlpm.col) +
INDEX(_xlpm.rango,$BA$4-2,_xlpm.col) +
INDEX(_xlpm.rango,$BA$4-1,_xlpm.col) +
INDEX(_xlpm.rango,$BA$4, _xlpm.col)
)</f>
        <v>#VALUE!</v>
      </c>
      <c r="K87" s="97" t="e" cm="1" vm="1">
        <f t="array" aca="1" ref="K87" ca="1">_xlfn.LET(
_xlpm.rango, INDIRECT("N!$C$" &amp; $BA$8 &amp; ":$DR$" &amp; $BA$9),
_xlpm.col, K$72+$D86*10,
INDEX(_xlpm.rango,$BA$4-3,_xlpm.col) +
INDEX(_xlpm.rango,$BA$4-2,_xlpm.col) +
INDEX(_xlpm.rango,$BA$4-1,_xlpm.col) +
INDEX(_xlpm.rango,$BA$4, _xlpm.col)
)</f>
        <v>#VALUE!</v>
      </c>
      <c r="L87" s="97" t="e" cm="1" vm="1">
        <f t="array" aca="1" ref="L87" ca="1">_xlfn.LET(
_xlpm.rango, INDIRECT("N!$C$" &amp; $BA$8 &amp; ":$DR$" &amp; $BA$9),
_xlpm.col, L$72+$D86*10,
INDEX(_xlpm.rango,$BA$4-3,_xlpm.col) +
INDEX(_xlpm.rango,$BA$4-2,_xlpm.col) +
INDEX(_xlpm.rango,$BA$4-1,_xlpm.col) +
INDEX(_xlpm.rango,$BA$4, _xlpm.col)
)</f>
        <v>#VALUE!</v>
      </c>
      <c r="M87" s="97" t="e" cm="1" vm="1">
        <f t="array" aca="1" ref="M87" ca="1">_xlfn.LET(
_xlpm.rango, INDIRECT("N!$C$" &amp; $BA$8 &amp; ":$DR$" &amp; $BA$9),
_xlpm.col, M$72+$D86*10,
INDEX(_xlpm.rango,$BA$4-3,_xlpm.col) +
INDEX(_xlpm.rango,$BA$4-2,_xlpm.col) +
INDEX(_xlpm.rango,$BA$4-1,_xlpm.col) +
INDEX(_xlpm.rango,$BA$4, _xlpm.col)
)</f>
        <v>#VALUE!</v>
      </c>
      <c r="N87" s="97" t="e" cm="1" vm="1">
        <f t="array" aca="1" ref="N87" ca="1">_xlfn.LET(
_xlpm.rango, INDIRECT("N!$C$" &amp; $BA$8 &amp; ":$DR$" &amp; $BA$9),
_xlpm.col, N$72+$D86*10,
INDEX(_xlpm.rango,$BA$4-3,_xlpm.col) +
INDEX(_xlpm.rango,$BA$4-2,_xlpm.col) +
INDEX(_xlpm.rango,$BA$4-1,_xlpm.col) +
INDEX(_xlpm.rango,$BA$4, _xlpm.col)
)</f>
        <v>#VALUE!</v>
      </c>
      <c r="O87" s="98" t="e" cm="1" vm="1">
        <f t="array" aca="1" ref="O87" ca="1">_xlfn.LET(
_xlpm.rango, INDIRECT("N!$C$" &amp; $BA$8 &amp; ":$DR$" &amp; $BA$9),
_xlpm.col, O$72+$D86*10,
INDEX(_xlpm.rango,$BA$4-3,_xlpm.col) +
INDEX(_xlpm.rango,$BA$4-2,_xlpm.col) +
INDEX(_xlpm.rango,$BA$4-1,_xlpm.col) +
INDEX(_xlpm.rango,$BA$4, _xlpm.col)
)</f>
        <v>#VALUE!</v>
      </c>
      <c r="P87" s="97" t="e" cm="1" vm="1">
        <f t="array" aca="1" ref="P87" ca="1">_xlfn.LET(
_xlpm.rango, INDIRECT("S!$C$" &amp; $BA$8 &amp; ":$DR$" &amp; $BA$9),
_xlpm.col, P$72+$D86*10,
INDEX(_xlpm.rango,$BA$4-3,_xlpm.col) +
INDEX(_xlpm.rango,$BA$4-2,_xlpm.col) +
INDEX(_xlpm.rango,$BA$4-1,_xlpm.col) +
INDEX(_xlpm.rango,$BA$4, _xlpm.col)
)</f>
        <v>#VALUE!</v>
      </c>
      <c r="Q87" s="97" t="e" cm="1" vm="1">
        <f t="array" aca="1" ref="Q87" ca="1">_xlfn.LET(
_xlpm.rango, INDIRECT("S!$C$" &amp; $BA$8 &amp; ":$DR$" &amp; $BA$9),
_xlpm.col, Q$72+$D86*10,
INDEX(_xlpm.rango,$BA$4-3,_xlpm.col) +
INDEX(_xlpm.rango,$BA$4-2,_xlpm.col) +
INDEX(_xlpm.rango,$BA$4-1,_xlpm.col) +
INDEX(_xlpm.rango,$BA$4, _xlpm.col)
)</f>
        <v>#VALUE!</v>
      </c>
      <c r="R87" s="97" t="e" cm="1" vm="1">
        <f t="array" aca="1" ref="R87" ca="1">_xlfn.LET(
_xlpm.rango, INDIRECT("S!$C$" &amp; $BA$8 &amp; ":$DR$" &amp; $BA$9),
_xlpm.col, R$72+$D86*10,
INDEX(_xlpm.rango,$BA$4-3,_xlpm.col) +
INDEX(_xlpm.rango,$BA$4-2,_xlpm.col) +
INDEX(_xlpm.rango,$BA$4-1,_xlpm.col) +
INDEX(_xlpm.rango,$BA$4, _xlpm.col)
)</f>
        <v>#VALUE!</v>
      </c>
      <c r="S87" s="97" t="e" cm="1" vm="1">
        <f t="array" aca="1" ref="S87" ca="1">_xlfn.LET(
_xlpm.rango, INDIRECT("S!$C$" &amp; $BA$8 &amp; ":$DR$" &amp; $BA$9),
_xlpm.col, S$72+$D86*10,
INDEX(_xlpm.rango,$BA$4-3,_xlpm.col) +
INDEX(_xlpm.rango,$BA$4-2,_xlpm.col) +
INDEX(_xlpm.rango,$BA$4-1,_xlpm.col) +
INDEX(_xlpm.rango,$BA$4, _xlpm.col)
)</f>
        <v>#VALUE!</v>
      </c>
      <c r="T87" s="97" t="e" cm="1" vm="1">
        <f t="array" aca="1" ref="T87" ca="1">_xlfn.LET(
_xlpm.rango, INDIRECT("S!$C$" &amp; $BA$8 &amp; ":$DR$" &amp; $BA$9),
_xlpm.col, T$72+$D86*10,
INDEX(_xlpm.rango,$BA$4-3,_xlpm.col) +
INDEX(_xlpm.rango,$BA$4-2,_xlpm.col) +
INDEX(_xlpm.rango,$BA$4-1,_xlpm.col) +
INDEX(_xlpm.rango,$BA$4, _xlpm.col)
)</f>
        <v>#VALUE!</v>
      </c>
      <c r="U87" s="97" t="e" cm="1" vm="1">
        <f t="array" aca="1" ref="U87" ca="1">_xlfn.LET(
_xlpm.rango, INDIRECT("S!$C$" &amp; $BA$8 &amp; ":$DR$" &amp; $BA$9),
_xlpm.col, U$72+$D86*10,
INDEX(_xlpm.rango,$BA$4-3,_xlpm.col) +
INDEX(_xlpm.rango,$BA$4-2,_xlpm.col) +
INDEX(_xlpm.rango,$BA$4-1,_xlpm.col) +
INDEX(_xlpm.rango,$BA$4, _xlpm.col)
)</f>
        <v>#VALUE!</v>
      </c>
      <c r="V87" s="97" t="e" cm="1" vm="1">
        <f t="array" aca="1" ref="V87" ca="1">_xlfn.LET(
_xlpm.rango, INDIRECT("S!$C$" &amp; $BA$8 &amp; ":$DR$" &amp; $BA$9),
_xlpm.col, V$72+$D86*10,
INDEX(_xlpm.rango,$BA$4-3,_xlpm.col) +
INDEX(_xlpm.rango,$BA$4-2,_xlpm.col) +
INDEX(_xlpm.rango,$BA$4-1,_xlpm.col) +
INDEX(_xlpm.rango,$BA$4, _xlpm.col)
)</f>
        <v>#VALUE!</v>
      </c>
      <c r="W87" s="97" t="e" cm="1" vm="1">
        <f t="array" aca="1" ref="W87" ca="1">_xlfn.LET(
_xlpm.rango, INDIRECT("S!$C$" &amp; $BA$8 &amp; ":$DR$" &amp; $BA$9),
_xlpm.col, W$72+$D86*10,
INDEX(_xlpm.rango,$BA$4-3,_xlpm.col) +
INDEX(_xlpm.rango,$BA$4-2,_xlpm.col) +
INDEX(_xlpm.rango,$BA$4-1,_xlpm.col) +
INDEX(_xlpm.rango,$BA$4, _xlpm.col)
)</f>
        <v>#VALUE!</v>
      </c>
      <c r="X87" s="97" t="e" cm="1" vm="1">
        <f t="array" aca="1" ref="X87" ca="1">_xlfn.LET(
_xlpm.rango, INDIRECT("S!$C$" &amp; $BA$8 &amp; ":$DR$" &amp; $BA$9),
_xlpm.col, X$72+$D86*10,
INDEX(_xlpm.rango,$BA$4-3,_xlpm.col) +
INDEX(_xlpm.rango,$BA$4-2,_xlpm.col) +
INDEX(_xlpm.rango,$BA$4-1,_xlpm.col) +
INDEX(_xlpm.rango,$BA$4, _xlpm.col)
)</f>
        <v>#VALUE!</v>
      </c>
      <c r="Y87" s="97" t="e" cm="1" vm="1">
        <f t="array" aca="1" ref="Y87" ca="1">_xlfn.LET(
_xlpm.rango, INDIRECT("S!$C$" &amp; $BA$8 &amp; ":$DR$" &amp; $BA$9),
_xlpm.col, Y$72+$D86*10,
INDEX(_xlpm.rango,$BA$4-3,_xlpm.col) +
INDEX(_xlpm.rango,$BA$4-2,_xlpm.col) +
INDEX(_xlpm.rango,$BA$4-1,_xlpm.col) +
INDEX(_xlpm.rango,$BA$4, _xlpm.col)
)</f>
        <v>#VALUE!</v>
      </c>
      <c r="Z87" s="101" t="e" cm="1" vm="1">
        <f t="array" aca="1" ref="Z87" ca="1">_xlfn.LET(
_xlpm.rango, INDIRECT("E!$C$" &amp; $BA$8 &amp; ":$DR$" &amp; $BA$9),
_xlpm.col, Z$72+$D86*10,
INDEX(_xlpm.rango,$BA$4-3,_xlpm.col) +
INDEX(_xlpm.rango,$BA$4-2,_xlpm.col) +
INDEX(_xlpm.rango,$BA$4-1,_xlpm.col) +
INDEX(_xlpm.rango,$BA$4, _xlpm.col)
)</f>
        <v>#VALUE!</v>
      </c>
      <c r="AA87" s="97" t="e" cm="1" vm="1">
        <f t="array" aca="1" ref="AA87" ca="1">_xlfn.LET(
_xlpm.rango, INDIRECT("E!$C$" &amp; $BA$8 &amp; ":$DR$" &amp; $BA$9),
_xlpm.col, AA$72+$D86*10,
INDEX(_xlpm.rango,$BA$4-3,_xlpm.col) +
INDEX(_xlpm.rango,$BA$4-2,_xlpm.col) +
INDEX(_xlpm.rango,$BA$4-1,_xlpm.col) +
INDEX(_xlpm.rango,$BA$4, _xlpm.col)
)</f>
        <v>#VALUE!</v>
      </c>
      <c r="AB87" s="97" t="e" cm="1" vm="1">
        <f t="array" aca="1" ref="AB87" ca="1">_xlfn.LET(
_xlpm.rango, INDIRECT("E!$C$" &amp; $BA$8 &amp; ":$DR$" &amp; $BA$9),
_xlpm.col, AB$72+$D86*10,
INDEX(_xlpm.rango,$BA$4-3,_xlpm.col) +
INDEX(_xlpm.rango,$BA$4-2,_xlpm.col) +
INDEX(_xlpm.rango,$BA$4-1,_xlpm.col) +
INDEX(_xlpm.rango,$BA$4, _xlpm.col)
)</f>
        <v>#VALUE!</v>
      </c>
      <c r="AC87" s="97" t="e" cm="1" vm="1">
        <f t="array" aca="1" ref="AC87" ca="1">_xlfn.LET(
_xlpm.rango, INDIRECT("E!$C$" &amp; $BA$8 &amp; ":$DR$" &amp; $BA$9),
_xlpm.col, AC$72+$D86*10,
INDEX(_xlpm.rango,$BA$4-3,_xlpm.col) +
INDEX(_xlpm.rango,$BA$4-2,_xlpm.col) +
INDEX(_xlpm.rango,$BA$4-1,_xlpm.col) +
INDEX(_xlpm.rango,$BA$4, _xlpm.col)
)</f>
        <v>#VALUE!</v>
      </c>
      <c r="AD87" s="97" t="e" cm="1" vm="1">
        <f t="array" aca="1" ref="AD87" ca="1">_xlfn.LET(
_xlpm.rango, INDIRECT("E!$C$" &amp; $BA$8 &amp; ":$DR$" &amp; $BA$9),
_xlpm.col, AD$72+$D86*10,
INDEX(_xlpm.rango,$BA$4-3,_xlpm.col) +
INDEX(_xlpm.rango,$BA$4-2,_xlpm.col) +
INDEX(_xlpm.rango,$BA$4-1,_xlpm.col) +
INDEX(_xlpm.rango,$BA$4, _xlpm.col)
)</f>
        <v>#VALUE!</v>
      </c>
      <c r="AE87" s="97" t="e" cm="1" vm="1">
        <f t="array" aca="1" ref="AE87" ca="1">_xlfn.LET(
_xlpm.rango, INDIRECT("E!$C$" &amp; $BA$8 &amp; ":$DR$" &amp; $BA$9),
_xlpm.col, AE$72+$D86*10,
INDEX(_xlpm.rango,$BA$4-3,_xlpm.col) +
INDEX(_xlpm.rango,$BA$4-2,_xlpm.col) +
INDEX(_xlpm.rango,$BA$4-1,_xlpm.col) +
INDEX(_xlpm.rango,$BA$4, _xlpm.col)
)</f>
        <v>#VALUE!</v>
      </c>
      <c r="AF87" s="97" t="e" cm="1" vm="1">
        <f t="array" aca="1" ref="AF87" ca="1">_xlfn.LET(
_xlpm.rango, INDIRECT("E!$C$" &amp; $BA$8 &amp; ":$DR$" &amp; $BA$9),
_xlpm.col, AF$72+$D86*10,
INDEX(_xlpm.rango,$BA$4-3,_xlpm.col) +
INDEX(_xlpm.rango,$BA$4-2,_xlpm.col) +
INDEX(_xlpm.rango,$BA$4-1,_xlpm.col) +
INDEX(_xlpm.rango,$BA$4, _xlpm.col)
)</f>
        <v>#VALUE!</v>
      </c>
      <c r="AG87" s="97" t="e" cm="1" vm="1">
        <f t="array" aca="1" ref="AG87" ca="1">_xlfn.LET(
_xlpm.rango, INDIRECT("E!$C$" &amp; $BA$8 &amp; ":$DR$" &amp; $BA$9),
_xlpm.col, AG$72+$D86*10,
INDEX(_xlpm.rango,$BA$4-3,_xlpm.col) +
INDEX(_xlpm.rango,$BA$4-2,_xlpm.col) +
INDEX(_xlpm.rango,$BA$4-1,_xlpm.col) +
INDEX(_xlpm.rango,$BA$4, _xlpm.col)
)</f>
        <v>#VALUE!</v>
      </c>
      <c r="AH87" s="97" t="e" cm="1" vm="1">
        <f t="array" aca="1" ref="AH87" ca="1">_xlfn.LET(
_xlpm.rango, INDIRECT("E!$C$" &amp; $BA$8 &amp; ":$DR$" &amp; $BA$9),
_xlpm.col, AH$72+$D86*10,
INDEX(_xlpm.rango,$BA$4-3,_xlpm.col) +
INDEX(_xlpm.rango,$BA$4-2,_xlpm.col) +
INDEX(_xlpm.rango,$BA$4-1,_xlpm.col) +
INDEX(_xlpm.rango,$BA$4, _xlpm.col)
)</f>
        <v>#VALUE!</v>
      </c>
      <c r="AI87" s="98" t="e" cm="1" vm="1">
        <f t="array" aca="1" ref="AI87" ca="1">_xlfn.LET(
_xlpm.rango, INDIRECT("E!$C$" &amp; $BA$8 &amp; ":$DR$" &amp; $BA$9),
_xlpm.col, AI$72+$D86*10,
INDEX(_xlpm.rango,$BA$4-3,_xlpm.col) +
INDEX(_xlpm.rango,$BA$4-2,_xlpm.col) +
INDEX(_xlpm.rango,$BA$4-1,_xlpm.col) +
INDEX(_xlpm.rango,$BA$4, _xlpm.col)
)</f>
        <v>#VALUE!</v>
      </c>
      <c r="AJ87" s="97" t="e" cm="1" vm="1">
        <f t="array" aca="1" ref="AJ87" ca="1">_xlfn.LET(
_xlpm.rango, INDIRECT("E!$C$" &amp; $BA$8 &amp; ":$DR$" &amp; $BA$9),
_xlpm.col, AJ$72+$D86*10,
INDEX(_xlpm.rango,$BA$4-3,_xlpm.col) +
INDEX(_xlpm.rango,$BA$4-2,_xlpm.col) +
INDEX(_xlpm.rango,$BA$4-1,_xlpm.col) +
INDEX(_xlpm.rango,$BA$4, _xlpm.col)
)</f>
        <v>#VALUE!</v>
      </c>
      <c r="AK87" s="97" t="e" cm="1" vm="1">
        <f t="array" aca="1" ref="AK87" ca="1">_xlfn.LET(
_xlpm.rango, INDIRECT("E!$C$" &amp; $BA$8 &amp; ":$DR$" &amp; $BA$9),
_xlpm.col, AK$72+$D86*10,
INDEX(_xlpm.rango,$BA$4-3,_xlpm.col) +
INDEX(_xlpm.rango,$BA$4-2,_xlpm.col) +
INDEX(_xlpm.rango,$BA$4-1,_xlpm.col) +
INDEX(_xlpm.rango,$BA$4, _xlpm.col)
)</f>
        <v>#VALUE!</v>
      </c>
      <c r="AL87" s="97" t="e" cm="1" vm="1">
        <f t="array" aca="1" ref="AL87" ca="1">_xlfn.LET(
_xlpm.rango, INDIRECT("E!$C$" &amp; $BA$8 &amp; ":$DR$" &amp; $BA$9),
_xlpm.col, AL$72+$D86*10,
INDEX(_xlpm.rango,$BA$4-3,_xlpm.col) +
INDEX(_xlpm.rango,$BA$4-2,_xlpm.col) +
INDEX(_xlpm.rango,$BA$4-1,_xlpm.col) +
INDEX(_xlpm.rango,$BA$4, _xlpm.col)
)</f>
        <v>#VALUE!</v>
      </c>
      <c r="AM87" s="97" t="e" cm="1" vm="1">
        <f t="array" aca="1" ref="AM87" ca="1">_xlfn.LET(
_xlpm.rango, INDIRECT("E!$C$" &amp; $BA$8 &amp; ":$DR$" &amp; $BA$9),
_xlpm.col, AM$72+$D86*10,
INDEX(_xlpm.rango,$BA$4-3,_xlpm.col) +
INDEX(_xlpm.rango,$BA$4-2,_xlpm.col) +
INDEX(_xlpm.rango,$BA$4-1,_xlpm.col) +
INDEX(_xlpm.rango,$BA$4, _xlpm.col)
)</f>
        <v>#VALUE!</v>
      </c>
      <c r="AN87" s="97" t="e" cm="1" vm="1">
        <f t="array" aca="1" ref="AN87" ca="1">_xlfn.LET(
_xlpm.rango, INDIRECT("E!$C$" &amp; $BA$8 &amp; ":$DR$" &amp; $BA$9),
_xlpm.col, AN$72+$D86*10,
INDEX(_xlpm.rango,$BA$4-3,_xlpm.col) +
INDEX(_xlpm.rango,$BA$4-2,_xlpm.col) +
INDEX(_xlpm.rango,$BA$4-1,_xlpm.col) +
INDEX(_xlpm.rango,$BA$4, _xlpm.col)
)</f>
        <v>#VALUE!</v>
      </c>
      <c r="AO87" s="97" t="e" cm="1" vm="1">
        <f t="array" aca="1" ref="AO87" ca="1">_xlfn.LET(
_xlpm.rango, INDIRECT("E!$C$" &amp; $BA$8 &amp; ":$DR$" &amp; $BA$9),
_xlpm.col, AO$72+$D86*10,
INDEX(_xlpm.rango,$BA$4-3,_xlpm.col) +
INDEX(_xlpm.rango,$BA$4-2,_xlpm.col) +
INDEX(_xlpm.rango,$BA$4-1,_xlpm.col) +
INDEX(_xlpm.rango,$BA$4, _xlpm.col)
)</f>
        <v>#VALUE!</v>
      </c>
      <c r="AP87" s="97" t="e" cm="1" vm="1">
        <f t="array" aca="1" ref="AP87" ca="1">_xlfn.LET(
_xlpm.rango, INDIRECT("E!$C$" &amp; $BA$8 &amp; ":$DR$" &amp; $BA$9),
_xlpm.col, AP$72+$D86*10,
INDEX(_xlpm.rango,$BA$4-3,_xlpm.col) +
INDEX(_xlpm.rango,$BA$4-2,_xlpm.col) +
INDEX(_xlpm.rango,$BA$4-1,_xlpm.col) +
INDEX(_xlpm.rango,$BA$4, _xlpm.col)
)</f>
        <v>#VALUE!</v>
      </c>
      <c r="AQ87" s="97" t="e" cm="1" vm="1">
        <f t="array" aca="1" ref="AQ87" ca="1">_xlfn.LET(
_xlpm.rango, INDIRECT("E!$C$" &amp; $BA$8 &amp; ":$DR$" &amp; $BA$9),
_xlpm.col, AQ$72+$D86*10,
INDEX(_xlpm.rango,$BA$4-3,_xlpm.col) +
INDEX(_xlpm.rango,$BA$4-2,_xlpm.col) +
INDEX(_xlpm.rango,$BA$4-1,_xlpm.col) +
INDEX(_xlpm.rango,$BA$4, _xlpm.col)
)</f>
        <v>#VALUE!</v>
      </c>
      <c r="AR87" s="97" t="e" cm="1" vm="1">
        <f t="array" aca="1" ref="AR87" ca="1">_xlfn.LET(
_xlpm.rango, INDIRECT("E!$C$" &amp; $BA$8 &amp; ":$DR$" &amp; $BA$9),
_xlpm.col, AR$72+$D86*10,
INDEX(_xlpm.rango,$BA$4-3,_xlpm.col) +
INDEX(_xlpm.rango,$BA$4-2,_xlpm.col) +
INDEX(_xlpm.rango,$BA$4-1,_xlpm.col) +
INDEX(_xlpm.rango,$BA$4, _xlpm.col)
)</f>
        <v>#VALUE!</v>
      </c>
      <c r="AS87" s="114" t="e" cm="1" vm="1">
        <f t="array" aca="1" ref="AS87" ca="1">_xlfn.LET(
_xlpm.rango, INDIRECT("E!$C$" &amp; $BA$8 &amp; ":$DR$" &amp; $BA$9),
_xlpm.col, AS$72+$D86*10,
INDEX(_xlpm.rango,$BA$4-3,_xlpm.col) +
INDEX(_xlpm.rango,$BA$4-2,_xlpm.col) +
INDEX(_xlpm.rango,$BA$4-1,_xlpm.col) +
INDEX(_xlpm.rango,$BA$4, _xlpm.col)
)</f>
        <v>#VALUE!</v>
      </c>
      <c r="AT87" s="121" t="e" vm="2">
        <f t="shared" ca="1" si="0"/>
        <v>#VALUE!</v>
      </c>
      <c r="AU87" s="122" t="e" vm="2">
        <f t="shared" ca="1" si="1"/>
        <v>#VALUE!</v>
      </c>
    </row>
    <row r="88" spans="4:47" ht="15.75" thickBot="1" x14ac:dyDescent="0.3">
      <c r="E88" s="115" t="s">
        <v>153</v>
      </c>
      <c r="F88" s="92" t="e" vm="2">
        <f ca="1">SUM(F76:F87)</f>
        <v>#VALUE!</v>
      </c>
      <c r="G88" s="92" t="e" vm="2">
        <f t="shared" ref="G88:AT88" ca="1" si="2">SUM(G76:G87)</f>
        <v>#VALUE!</v>
      </c>
      <c r="H88" s="92" t="e" vm="2">
        <f t="shared" ca="1" si="2"/>
        <v>#VALUE!</v>
      </c>
      <c r="I88" s="92" t="e" vm="2">
        <f t="shared" ca="1" si="2"/>
        <v>#VALUE!</v>
      </c>
      <c r="J88" s="92" t="e" vm="2">
        <f t="shared" ca="1" si="2"/>
        <v>#VALUE!</v>
      </c>
      <c r="K88" s="92" t="e" vm="2">
        <f t="shared" ca="1" si="2"/>
        <v>#VALUE!</v>
      </c>
      <c r="L88" s="92" t="e" vm="2">
        <f t="shared" ca="1" si="2"/>
        <v>#VALUE!</v>
      </c>
      <c r="M88" s="92" t="e" vm="2">
        <f t="shared" ca="1" si="2"/>
        <v>#VALUE!</v>
      </c>
      <c r="N88" s="92" t="e" vm="2">
        <f t="shared" ca="1" si="2"/>
        <v>#VALUE!</v>
      </c>
      <c r="O88" s="92" t="e" vm="2">
        <f t="shared" ca="1" si="2"/>
        <v>#VALUE!</v>
      </c>
      <c r="P88" s="92" t="e" vm="2">
        <f t="shared" ca="1" si="2"/>
        <v>#VALUE!</v>
      </c>
      <c r="Q88" s="92" t="e" vm="2">
        <f t="shared" ca="1" si="2"/>
        <v>#VALUE!</v>
      </c>
      <c r="R88" s="92" t="e" vm="2">
        <f t="shared" ca="1" si="2"/>
        <v>#VALUE!</v>
      </c>
      <c r="S88" s="92" t="e" vm="2">
        <f t="shared" ca="1" si="2"/>
        <v>#VALUE!</v>
      </c>
      <c r="T88" s="92" t="e" vm="2">
        <f t="shared" ca="1" si="2"/>
        <v>#VALUE!</v>
      </c>
      <c r="U88" s="92" t="e" vm="2">
        <f t="shared" ca="1" si="2"/>
        <v>#VALUE!</v>
      </c>
      <c r="V88" s="92" t="e" vm="2">
        <f t="shared" ca="1" si="2"/>
        <v>#VALUE!</v>
      </c>
      <c r="W88" s="92" t="e" vm="2">
        <f t="shared" ca="1" si="2"/>
        <v>#VALUE!</v>
      </c>
      <c r="X88" s="92" t="e" vm="2">
        <f t="shared" ca="1" si="2"/>
        <v>#VALUE!</v>
      </c>
      <c r="Y88" s="92" t="e" vm="2">
        <f t="shared" ca="1" si="2"/>
        <v>#VALUE!</v>
      </c>
      <c r="Z88" s="92" t="e" vm="2">
        <f t="shared" ca="1" si="2"/>
        <v>#VALUE!</v>
      </c>
      <c r="AA88" s="92" t="e" vm="2">
        <f t="shared" ca="1" si="2"/>
        <v>#VALUE!</v>
      </c>
      <c r="AB88" s="92" t="e" vm="2">
        <f t="shared" ca="1" si="2"/>
        <v>#VALUE!</v>
      </c>
      <c r="AC88" s="92" t="e" vm="2">
        <f t="shared" ca="1" si="2"/>
        <v>#VALUE!</v>
      </c>
      <c r="AD88" s="92" t="e" vm="2">
        <f t="shared" ca="1" si="2"/>
        <v>#VALUE!</v>
      </c>
      <c r="AE88" s="92" t="e" vm="2">
        <f t="shared" ca="1" si="2"/>
        <v>#VALUE!</v>
      </c>
      <c r="AF88" s="92" t="e" vm="2">
        <f t="shared" ca="1" si="2"/>
        <v>#VALUE!</v>
      </c>
      <c r="AG88" s="92" t="e" vm="2">
        <f t="shared" ca="1" si="2"/>
        <v>#VALUE!</v>
      </c>
      <c r="AH88" s="92" t="e" vm="2">
        <f t="shared" ca="1" si="2"/>
        <v>#VALUE!</v>
      </c>
      <c r="AI88" s="92" t="e" vm="2">
        <f t="shared" ca="1" si="2"/>
        <v>#VALUE!</v>
      </c>
      <c r="AJ88" s="92" t="e" vm="2">
        <f t="shared" ca="1" si="2"/>
        <v>#VALUE!</v>
      </c>
      <c r="AK88" s="92" t="e" vm="2">
        <f t="shared" ca="1" si="2"/>
        <v>#VALUE!</v>
      </c>
      <c r="AL88" s="92" t="e" vm="2">
        <f t="shared" ca="1" si="2"/>
        <v>#VALUE!</v>
      </c>
      <c r="AM88" s="92" t="e" vm="2">
        <f t="shared" ca="1" si="2"/>
        <v>#VALUE!</v>
      </c>
      <c r="AN88" s="92" t="e" vm="2">
        <f t="shared" ca="1" si="2"/>
        <v>#VALUE!</v>
      </c>
      <c r="AO88" s="92" t="e" vm="2">
        <f t="shared" ca="1" si="2"/>
        <v>#VALUE!</v>
      </c>
      <c r="AP88" s="92" t="e" vm="2">
        <f t="shared" ca="1" si="2"/>
        <v>#VALUE!</v>
      </c>
      <c r="AQ88" s="92" t="e" vm="2">
        <f t="shared" ca="1" si="2"/>
        <v>#VALUE!</v>
      </c>
      <c r="AR88" s="92" t="e" vm="2">
        <f t="shared" ca="1" si="2"/>
        <v>#VALUE!</v>
      </c>
      <c r="AS88" s="116" t="e" vm="2">
        <f t="shared" ca="1" si="2"/>
        <v>#VALUE!</v>
      </c>
      <c r="AT88" s="123" t="e" vm="2">
        <f t="shared" ca="1" si="2"/>
        <v>#VALUE!</v>
      </c>
      <c r="AU88" s="124" t="e" vm="2">
        <f ca="1">SUM(AU76:AU87)</f>
        <v>#VALUE!</v>
      </c>
    </row>
    <row r="89" spans="4:47" ht="15.75" thickBot="1" x14ac:dyDescent="0.3">
      <c r="E89" s="117" t="s">
        <v>3</v>
      </c>
      <c r="F89" s="226" t="e" vm="2">
        <f ca="1">F76*Inicio!$W$4+F77*Inicio!$W$5+F78*Inicio!$W$6+F79*Inicio!$W$7+F80*Inicio!$W$8+F81*Inicio!$W$9+F82*Inicio!$W$10+F83*Inicio!$W$11+F84*Inicio!$W$12+F85*Inicio!$W$13+F86*Inicio!$W$14+F87*Inicio!$W$15</f>
        <v>#VALUE!</v>
      </c>
      <c r="G89" s="226" t="e" vm="2">
        <f ca="1">G76*Inicio!$W$4+G77*Inicio!$W$5+G78*Inicio!$W$6+G79*Inicio!$W$7+G80*Inicio!$W$8+G81*Inicio!$W$9+G82*Inicio!$W$10+G83*Inicio!$W$11+G84*Inicio!$W$12+G85*Inicio!$W$13+G86*Inicio!$W$14+G87*Inicio!$W$15</f>
        <v>#VALUE!</v>
      </c>
      <c r="H89" s="226" t="e" vm="2">
        <f ca="1">H76*Inicio!$W$4+H77*Inicio!$W$5+H78*Inicio!$W$6+H79*Inicio!$W$7+H80*Inicio!$W$8+H81*Inicio!$W$9+H82*Inicio!$W$10+H83*Inicio!$W$11+H84*Inicio!$W$12+H85*Inicio!$W$13+H86*Inicio!$W$14+H87*Inicio!$W$15</f>
        <v>#VALUE!</v>
      </c>
      <c r="I89" s="226" t="e" vm="2">
        <f ca="1">I76*Inicio!$W$4+I77*Inicio!$W$5+I78*Inicio!$W$6+I79*Inicio!$W$7+I80*Inicio!$W$8+I81*Inicio!$W$9+I82*Inicio!$W$10+I83*Inicio!$W$11+I84*Inicio!$W$12+I85*Inicio!$W$13+I86*Inicio!$W$14+I87*Inicio!$W$15</f>
        <v>#VALUE!</v>
      </c>
      <c r="J89" s="226" t="e" vm="2">
        <f ca="1">J76*Inicio!$W$4+J77*Inicio!$W$5+J78*Inicio!$W$6+J79*Inicio!$W$7+J80*Inicio!$W$8+J81*Inicio!$W$9+J82*Inicio!$W$10+J83*Inicio!$W$11+J84*Inicio!$W$12+J85*Inicio!$W$13+J86*Inicio!$W$14+J87*Inicio!$W$15</f>
        <v>#VALUE!</v>
      </c>
      <c r="K89" s="226" t="e" vm="2">
        <f ca="1">K76*Inicio!$W$4+K77*Inicio!$W$5+K78*Inicio!$W$6+K79*Inicio!$W$7+K80*Inicio!$W$8+K81*Inicio!$W$9+K82*Inicio!$W$10+K83*Inicio!$W$11+K84*Inicio!$W$12+K85*Inicio!$W$13+K86*Inicio!$W$14+K87*Inicio!$W$15</f>
        <v>#VALUE!</v>
      </c>
      <c r="L89" s="226" t="e" vm="2">
        <f ca="1">L76*Inicio!$W$4+L77*Inicio!$W$5+L78*Inicio!$W$6+L79*Inicio!$W$7+L80*Inicio!$W$8+L81*Inicio!$W$9+L82*Inicio!$W$10+L83*Inicio!$W$11+L84*Inicio!$W$12+L85*Inicio!$W$13+L86*Inicio!$W$14+L87*Inicio!$W$15</f>
        <v>#VALUE!</v>
      </c>
      <c r="M89" s="226" t="e" vm="2">
        <f ca="1">M76*Inicio!$W$4+M77*Inicio!$W$5+M78*Inicio!$W$6+M79*Inicio!$W$7+M80*Inicio!$W$8+M81*Inicio!$W$9+M82*Inicio!$W$10+M83*Inicio!$W$11+M84*Inicio!$W$12+M85*Inicio!$W$13+M86*Inicio!$W$14+M87*Inicio!$W$15</f>
        <v>#VALUE!</v>
      </c>
      <c r="N89" s="226" t="e" vm="2">
        <f ca="1">N76*Inicio!$W$4+N77*Inicio!$W$5+N78*Inicio!$W$6+N79*Inicio!$W$7+N80*Inicio!$W$8+N81*Inicio!$W$9+N82*Inicio!$W$10+N83*Inicio!$W$11+N84*Inicio!$W$12+N85*Inicio!$W$13+N86*Inicio!$W$14+N87*Inicio!$W$15</f>
        <v>#VALUE!</v>
      </c>
      <c r="O89" s="226" t="e" vm="2">
        <f ca="1">O76*Inicio!$W$4+O77*Inicio!$W$5+O78*Inicio!$W$6+O79*Inicio!$W$7+O80*Inicio!$W$8+O81*Inicio!$W$9+O82*Inicio!$W$10+O83*Inicio!$W$11+O84*Inicio!$W$12+O85*Inicio!$W$13+O86*Inicio!$W$14+O87*Inicio!$W$15</f>
        <v>#VALUE!</v>
      </c>
      <c r="P89" s="226" t="e" vm="2">
        <f ca="1">P76*Inicio!$W$4+P77*Inicio!$W$5+P78*Inicio!$W$6+P79*Inicio!$W$7+P80*Inicio!$W$8+P81*Inicio!$W$9+P82*Inicio!$W$10+P83*Inicio!$W$11+P84*Inicio!$W$12+P85*Inicio!$W$13+P86*Inicio!$W$14+P87*Inicio!$W$15</f>
        <v>#VALUE!</v>
      </c>
      <c r="Q89" s="226" t="e" vm="2">
        <f ca="1">Q76*Inicio!$W$4+Q77*Inicio!$W$5+Q78*Inicio!$W$6+Q79*Inicio!$W$7+Q80*Inicio!$W$8+Q81*Inicio!$W$9+Q82*Inicio!$W$10+Q83*Inicio!$W$11+Q84*Inicio!$W$12+Q85*Inicio!$W$13+Q86*Inicio!$W$14+Q87*Inicio!$W$15</f>
        <v>#VALUE!</v>
      </c>
      <c r="R89" s="226" t="e" vm="2">
        <f ca="1">R76*Inicio!$W$4+R77*Inicio!$W$5+R78*Inicio!$W$6+R79*Inicio!$W$7+R80*Inicio!$W$8+R81*Inicio!$W$9+R82*Inicio!$W$10+R83*Inicio!$W$11+R84*Inicio!$W$12+R85*Inicio!$W$13+R86*Inicio!$W$14+R87*Inicio!$W$15</f>
        <v>#VALUE!</v>
      </c>
      <c r="S89" s="226" t="e" vm="2">
        <f ca="1">S76*Inicio!$W$4+S77*Inicio!$W$5+S78*Inicio!$W$6+S79*Inicio!$W$7+S80*Inicio!$W$8+S81*Inicio!$W$9+S82*Inicio!$W$10+S83*Inicio!$W$11+S84*Inicio!$W$12+S85*Inicio!$W$13+S86*Inicio!$W$14+S87*Inicio!$W$15</f>
        <v>#VALUE!</v>
      </c>
      <c r="T89" s="226" t="e" vm="2">
        <f ca="1">T76*Inicio!$W$4+T77*Inicio!$W$5+T78*Inicio!$W$6+T79*Inicio!$W$7+T80*Inicio!$W$8+T81*Inicio!$W$9+T82*Inicio!$W$10+T83*Inicio!$W$11+T84*Inicio!$W$12+T85*Inicio!$W$13+T86*Inicio!$W$14+T87*Inicio!$W$15</f>
        <v>#VALUE!</v>
      </c>
      <c r="U89" s="226" t="e" vm="2">
        <f ca="1">U76*Inicio!$W$4+U77*Inicio!$W$5+U78*Inicio!$W$6+U79*Inicio!$W$7+U80*Inicio!$W$8+U81*Inicio!$W$9+U82*Inicio!$W$10+U83*Inicio!$W$11+U84*Inicio!$W$12+U85*Inicio!$W$13+U86*Inicio!$W$14+U87*Inicio!$W$15</f>
        <v>#VALUE!</v>
      </c>
      <c r="V89" s="226" t="e" vm="2">
        <f ca="1">V76*Inicio!$W$4+V77*Inicio!$W$5+V78*Inicio!$W$6+V79*Inicio!$W$7+V80*Inicio!$W$8+V81*Inicio!$W$9+V82*Inicio!$W$10+V83*Inicio!$W$11+V84*Inicio!$W$12+V85*Inicio!$W$13+V86*Inicio!$W$14+V87*Inicio!$W$15</f>
        <v>#VALUE!</v>
      </c>
      <c r="W89" s="226" t="e" vm="2">
        <f ca="1">W76*Inicio!$W$4+W77*Inicio!$W$5+W78*Inicio!$W$6+W79*Inicio!$W$7+W80*Inicio!$W$8+W81*Inicio!$W$9+W82*Inicio!$W$10+W83*Inicio!$W$11+W84*Inicio!$W$12+W85*Inicio!$W$13+W86*Inicio!$W$14+W87*Inicio!$W$15</f>
        <v>#VALUE!</v>
      </c>
      <c r="X89" s="226" t="e" vm="2">
        <f ca="1">X76*Inicio!$W$4+X77*Inicio!$W$5+X78*Inicio!$W$6+X79*Inicio!$W$7+X80*Inicio!$W$8+X81*Inicio!$W$9+X82*Inicio!$W$10+X83*Inicio!$W$11+X84*Inicio!$W$12+X85*Inicio!$W$13+X86*Inicio!$W$14+X87*Inicio!$W$15</f>
        <v>#VALUE!</v>
      </c>
      <c r="Y89" s="226" t="e" vm="2">
        <f ca="1">Y76*Inicio!$W$4+Y77*Inicio!$W$5+Y78*Inicio!$W$6+Y79*Inicio!$W$7+Y80*Inicio!$W$8+Y81*Inicio!$W$9+Y82*Inicio!$W$10+Y83*Inicio!$W$11+Y84*Inicio!$W$12+Y85*Inicio!$W$13+Y86*Inicio!$W$14+Y87*Inicio!$W$15</f>
        <v>#VALUE!</v>
      </c>
      <c r="Z89" s="226" t="e" vm="2">
        <f ca="1">Z76*Inicio!$W$4+Z77*Inicio!$W$5+Z78*Inicio!$W$6+Z79*Inicio!$W$7+Z80*Inicio!$W$8+Z81*Inicio!$W$9+Z82*Inicio!$W$10+Z83*Inicio!$W$11+Z84*Inicio!$W$12+Z85*Inicio!$W$13+Z86*Inicio!$W$14+Z87*Inicio!$W$15</f>
        <v>#VALUE!</v>
      </c>
      <c r="AA89" s="226" t="e" vm="2">
        <f ca="1">AA76*Inicio!$W$4+AA77*Inicio!$W$5+AA78*Inicio!$W$6+AA79*Inicio!$W$7+AA80*Inicio!$W$8+AA81*Inicio!$W$9+AA82*Inicio!$W$10+AA83*Inicio!$W$11+AA84*Inicio!$W$12+AA85*Inicio!$W$13+AA86*Inicio!$W$14+AA87*Inicio!$W$15</f>
        <v>#VALUE!</v>
      </c>
      <c r="AB89" s="226" t="e" vm="2">
        <f ca="1">AB76*Inicio!$W$4+AB77*Inicio!$W$5+AB78*Inicio!$W$6+AB79*Inicio!$W$7+AB80*Inicio!$W$8+AB81*Inicio!$W$9+AB82*Inicio!$W$10+AB83*Inicio!$W$11+AB84*Inicio!$W$12+AB85*Inicio!$W$13+AB86*Inicio!$W$14+AB87*Inicio!$W$15</f>
        <v>#VALUE!</v>
      </c>
      <c r="AC89" s="226" t="e" vm="2">
        <f ca="1">AC76*Inicio!$W$4+AC77*Inicio!$W$5+AC78*Inicio!$W$6+AC79*Inicio!$W$7+AC80*Inicio!$W$8+AC81*Inicio!$W$9+AC82*Inicio!$W$10+AC83*Inicio!$W$11+AC84*Inicio!$W$12+AC85*Inicio!$W$13+AC86*Inicio!$W$14+AC87*Inicio!$W$15</f>
        <v>#VALUE!</v>
      </c>
      <c r="AD89" s="226" t="e" vm="2">
        <f ca="1">AD76*Inicio!$W$4+AD77*Inicio!$W$5+AD78*Inicio!$W$6+AD79*Inicio!$W$7+AD80*Inicio!$W$8+AD81*Inicio!$W$9+AD82*Inicio!$W$10+AD83*Inicio!$W$11+AD84*Inicio!$W$12+AD85*Inicio!$W$13+AD86*Inicio!$W$14+AD87*Inicio!$W$15</f>
        <v>#VALUE!</v>
      </c>
      <c r="AE89" s="226" t="e" vm="2">
        <f ca="1">AE76*Inicio!$W$4+AE77*Inicio!$W$5+AE78*Inicio!$W$6+AE79*Inicio!$W$7+AE80*Inicio!$W$8+AE81*Inicio!$W$9+AE82*Inicio!$W$10+AE83*Inicio!$W$11+AE84*Inicio!$W$12+AE85*Inicio!$W$13+AE86*Inicio!$W$14+AE87*Inicio!$W$15</f>
        <v>#VALUE!</v>
      </c>
      <c r="AF89" s="226" t="e" vm="2">
        <f ca="1">AF76*Inicio!$W$4+AF77*Inicio!$W$5+AF78*Inicio!$W$6+AF79*Inicio!$W$7+AF80*Inicio!$W$8+AF81*Inicio!$W$9+AF82*Inicio!$W$10+AF83*Inicio!$W$11+AF84*Inicio!$W$12+AF85*Inicio!$W$13+AF86*Inicio!$W$14+AF87*Inicio!$W$15</f>
        <v>#VALUE!</v>
      </c>
      <c r="AG89" s="226" t="e" vm="2">
        <f ca="1">AG76*Inicio!$W$4+AG77*Inicio!$W$5+AG78*Inicio!$W$6+AG79*Inicio!$W$7+AG80*Inicio!$W$8+AG81*Inicio!$W$9+AG82*Inicio!$W$10+AG83*Inicio!$W$11+AG84*Inicio!$W$12+AG85*Inicio!$W$13+AG86*Inicio!$W$14+AG87*Inicio!$W$15</f>
        <v>#VALUE!</v>
      </c>
      <c r="AH89" s="226" t="e" vm="2">
        <f ca="1">AH76*Inicio!$W$4+AH77*Inicio!$W$5+AH78*Inicio!$W$6+AH79*Inicio!$W$7+AH80*Inicio!$W$8+AH81*Inicio!$W$9+AH82*Inicio!$W$10+AH83*Inicio!$W$11+AH84*Inicio!$W$12+AH85*Inicio!$W$13+AH86*Inicio!$W$14+AH87*Inicio!$W$15</f>
        <v>#VALUE!</v>
      </c>
      <c r="AI89" s="226" t="e" vm="2">
        <f ca="1">AI76*Inicio!$W$4+AI77*Inicio!$W$5+AI78*Inicio!$W$6+AI79*Inicio!$W$7+AI80*Inicio!$W$8+AI81*Inicio!$W$9+AI82*Inicio!$W$10+AI83*Inicio!$W$11+AI84*Inicio!$W$12+AI85*Inicio!$W$13+AI86*Inicio!$W$14+AI87*Inicio!$W$15</f>
        <v>#VALUE!</v>
      </c>
      <c r="AJ89" s="226" t="e" vm="2">
        <f ca="1">AJ76*Inicio!$W$4+AJ77*Inicio!$W$5+AJ78*Inicio!$W$6+AJ79*Inicio!$W$7+AJ80*Inicio!$W$8+AJ81*Inicio!$W$9+AJ82*Inicio!$W$10+AJ83*Inicio!$W$11+AJ84*Inicio!$W$12+AJ85*Inicio!$W$13+AJ86*Inicio!$W$14+AJ87*Inicio!$W$15</f>
        <v>#VALUE!</v>
      </c>
      <c r="AK89" s="226" t="e" vm="2">
        <f ca="1">AK76*Inicio!$W$4+AK77*Inicio!$W$5+AK78*Inicio!$W$6+AK79*Inicio!$W$7+AK80*Inicio!$W$8+AK81*Inicio!$W$9+AK82*Inicio!$W$10+AK83*Inicio!$W$11+AK84*Inicio!$W$12+AK85*Inicio!$W$13+AK86*Inicio!$W$14+AK87*Inicio!$W$15</f>
        <v>#VALUE!</v>
      </c>
      <c r="AL89" s="226" t="e" vm="2">
        <f ca="1">AL76*Inicio!$W$4+AL77*Inicio!$W$5+AL78*Inicio!$W$6+AL79*Inicio!$W$7+AL80*Inicio!$W$8+AL81*Inicio!$W$9+AL82*Inicio!$W$10+AL83*Inicio!$W$11+AL84*Inicio!$W$12+AL85*Inicio!$W$13+AL86*Inicio!$W$14+AL87*Inicio!$W$15</f>
        <v>#VALUE!</v>
      </c>
      <c r="AM89" s="226" t="e" vm="2">
        <f ca="1">AM76*Inicio!$W$4+AM77*Inicio!$W$5+AM78*Inicio!$W$6+AM79*Inicio!$W$7+AM80*Inicio!$W$8+AM81*Inicio!$W$9+AM82*Inicio!$W$10+AM83*Inicio!$W$11+AM84*Inicio!$W$12+AM85*Inicio!$W$13+AM86*Inicio!$W$14+AM87*Inicio!$W$15</f>
        <v>#VALUE!</v>
      </c>
      <c r="AN89" s="226" t="e" vm="2">
        <f ca="1">AN76*Inicio!$W$4+AN77*Inicio!$W$5+AN78*Inicio!$W$6+AN79*Inicio!$W$7+AN80*Inicio!$W$8+AN81*Inicio!$W$9+AN82*Inicio!$W$10+AN83*Inicio!$W$11+AN84*Inicio!$W$12+AN85*Inicio!$W$13+AN86*Inicio!$W$14+AN87*Inicio!$W$15</f>
        <v>#VALUE!</v>
      </c>
      <c r="AO89" s="226" t="e" vm="2">
        <f ca="1">AO76*Inicio!$W$4+AO77*Inicio!$W$5+AO78*Inicio!$W$6+AO79*Inicio!$W$7+AO80*Inicio!$W$8+AO81*Inicio!$W$9+AO82*Inicio!$W$10+AO83*Inicio!$W$11+AO84*Inicio!$W$12+AO85*Inicio!$W$13+AO86*Inicio!$W$14+AO87*Inicio!$W$15</f>
        <v>#VALUE!</v>
      </c>
      <c r="AP89" s="226" t="e" vm="2">
        <f ca="1">AP76*Inicio!$W$4+AP77*Inicio!$W$5+AP78*Inicio!$W$6+AP79*Inicio!$W$7+AP80*Inicio!$W$8+AP81*Inicio!$W$9+AP82*Inicio!$W$10+AP83*Inicio!$W$11+AP84*Inicio!$W$12+AP85*Inicio!$W$13+AP86*Inicio!$W$14+AP87*Inicio!$W$15</f>
        <v>#VALUE!</v>
      </c>
      <c r="AQ89" s="226" t="e" vm="2">
        <f ca="1">AQ76*Inicio!$W$4+AQ77*Inicio!$W$5+AQ78*Inicio!$W$6+AQ79*Inicio!$W$7+AQ80*Inicio!$W$8+AQ81*Inicio!$W$9+AQ82*Inicio!$W$10+AQ83*Inicio!$W$11+AQ84*Inicio!$W$12+AQ85*Inicio!$W$13+AQ86*Inicio!$W$14+AQ87*Inicio!$W$15</f>
        <v>#VALUE!</v>
      </c>
      <c r="AR89" s="226" t="e" vm="2">
        <f ca="1">AR76*Inicio!$W$4+AR77*Inicio!$W$5+AR78*Inicio!$W$6+AR79*Inicio!$W$7+AR80*Inicio!$W$8+AR81*Inicio!$W$9+AR82*Inicio!$W$10+AR83*Inicio!$W$11+AR84*Inicio!$W$12+AR85*Inicio!$W$13+AR86*Inicio!$W$14+AR87*Inicio!$W$15</f>
        <v>#VALUE!</v>
      </c>
      <c r="AS89" s="227" t="e" vm="2">
        <f ca="1">AS76*Inicio!$W$4+AS77*Inicio!$W$5+AS78*Inicio!$W$6+AS79*Inicio!$W$7+AS80*Inicio!$W$8+AS81*Inicio!$W$9+AS82*Inicio!$W$10+AS83*Inicio!$W$11+AS84*Inicio!$W$12+AS85*Inicio!$W$13+AS86*Inicio!$W$14+AS87*Inicio!$W$15</f>
        <v>#VALUE!</v>
      </c>
    </row>
  </sheetData>
  <mergeCells count="26">
    <mergeCell ref="E70:AU70"/>
    <mergeCell ref="AQ7:AR7"/>
    <mergeCell ref="AQ6:AR6"/>
    <mergeCell ref="AQ5:AR5"/>
    <mergeCell ref="AQ4:AR4"/>
    <mergeCell ref="AS4:AU4"/>
    <mergeCell ref="AS5:AU5"/>
    <mergeCell ref="AS6:AU6"/>
    <mergeCell ref="AS7:AU7"/>
    <mergeCell ref="F4:J4"/>
    <mergeCell ref="F5:J5"/>
    <mergeCell ref="F6:J6"/>
    <mergeCell ref="E2:AU2"/>
    <mergeCell ref="E9:AU68"/>
    <mergeCell ref="F7:J7"/>
    <mergeCell ref="AT73:AT75"/>
    <mergeCell ref="AU73:AU75"/>
    <mergeCell ref="E73:E75"/>
    <mergeCell ref="F73:O73"/>
    <mergeCell ref="F74:O74"/>
    <mergeCell ref="P73:Y73"/>
    <mergeCell ref="P74:Y74"/>
    <mergeCell ref="Z73:AI73"/>
    <mergeCell ref="Z74:AI74"/>
    <mergeCell ref="AJ73:AS73"/>
    <mergeCell ref="AJ74:AS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DC90-7B4E-4366-AAA6-3E573A0DECAC}">
  <dimension ref="A1:BA89"/>
  <sheetViews>
    <sheetView topLeftCell="C44" zoomScale="70" zoomScaleNormal="70" workbookViewId="0">
      <selection activeCell="C1" sqref="C1"/>
    </sheetView>
  </sheetViews>
  <sheetFormatPr baseColWidth="10" defaultRowHeight="15" x14ac:dyDescent="0.25"/>
  <cols>
    <col min="1" max="1" width="11.42578125" style="47" customWidth="1"/>
    <col min="2" max="3" width="11.42578125" style="47"/>
    <col min="4" max="4" width="4.140625" hidden="1" customWidth="1"/>
    <col min="5" max="5" width="14.85546875" customWidth="1"/>
    <col min="6" max="45" width="6.7109375" customWidth="1"/>
    <col min="46" max="47" width="7.28515625" style="47" customWidth="1"/>
    <col min="48" max="49" width="14.85546875" customWidth="1"/>
    <col min="53" max="53" width="14.42578125" bestFit="1" customWidth="1"/>
  </cols>
  <sheetData>
    <row r="1" spans="5:53" s="47" customFormat="1" ht="15.75" thickBot="1" x14ac:dyDescent="0.3"/>
    <row r="2" spans="5:53" s="47" customFormat="1" ht="36.75" thickBot="1" x14ac:dyDescent="0.6">
      <c r="E2" s="183" t="s">
        <v>154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</row>
    <row r="3" spans="5:53" s="47" customFormat="1" ht="15.75" thickBot="1" x14ac:dyDescent="0.3">
      <c r="AZ3" s="126" t="s">
        <v>163</v>
      </c>
    </row>
    <row r="4" spans="5:53" s="47" customFormat="1" x14ac:dyDescent="0.25">
      <c r="E4" s="104" t="s">
        <v>158</v>
      </c>
      <c r="F4" s="186" t="str">
        <f>Inicio!G5</f>
        <v/>
      </c>
      <c r="G4" s="186"/>
      <c r="H4" s="186"/>
      <c r="I4" s="186"/>
      <c r="J4" s="186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87" t="s">
        <v>159</v>
      </c>
      <c r="AR4" s="187"/>
      <c r="AS4" s="186" t="str">
        <f>Inicio!G9</f>
        <v/>
      </c>
      <c r="AT4" s="186"/>
      <c r="AU4" s="188"/>
      <c r="AZ4" s="47" t="s">
        <v>164</v>
      </c>
      <c r="BA4" s="47">
        <f ca="1">_xlfn.LET(
_xlpm.rango, INDIRECT("N!EJ" &amp; $BA$8 &amp; ":EJ" &amp; BA9),
MATCH(MAX(_xlpm.rango),_xlpm.rango,0)
)</f>
        <v>1</v>
      </c>
    </row>
    <row r="5" spans="5:53" s="47" customFormat="1" x14ac:dyDescent="0.25">
      <c r="E5" s="106" t="s">
        <v>157</v>
      </c>
      <c r="F5" s="189">
        <f>Inicio!G6</f>
        <v>45658</v>
      </c>
      <c r="G5" s="177"/>
      <c r="H5" s="177"/>
      <c r="I5" s="177"/>
      <c r="J5" s="177"/>
      <c r="AQ5" s="178" t="s">
        <v>160</v>
      </c>
      <c r="AR5" s="178"/>
      <c r="AS5" s="177" t="s">
        <v>123</v>
      </c>
      <c r="AT5" s="177"/>
      <c r="AU5" s="179"/>
      <c r="AZ5" s="47" t="s">
        <v>165</v>
      </c>
      <c r="BA5" s="90">
        <f ca="1">TIME(0,15,0)*BA4+TIME((BA8-9)/4,0,0)</f>
        <v>0.51041666666666663</v>
      </c>
    </row>
    <row r="6" spans="5:53" s="47" customFormat="1" x14ac:dyDescent="0.25">
      <c r="E6" s="106" t="s">
        <v>156</v>
      </c>
      <c r="F6" s="177" t="str">
        <f>Inicio!G8</f>
        <v>MIÉRCOLES</v>
      </c>
      <c r="G6" s="177"/>
      <c r="H6" s="177"/>
      <c r="I6" s="177"/>
      <c r="J6" s="177"/>
      <c r="AQ6" s="178" t="s">
        <v>161</v>
      </c>
      <c r="AR6" s="178"/>
      <c r="AS6" s="177" t="str">
        <f ca="1">BA7</f>
        <v>11:15 - 12:15</v>
      </c>
      <c r="AT6" s="177"/>
      <c r="AU6" s="179"/>
      <c r="AZ6" s="47" t="s">
        <v>167</v>
      </c>
      <c r="BA6" s="90">
        <f ca="1">TIME(0,15,0)*(BA4-4)+TIME((BA8-9)/4,0,0)</f>
        <v>0.46875</v>
      </c>
    </row>
    <row r="7" spans="5:53" s="47" customFormat="1" ht="15.75" thickBot="1" x14ac:dyDescent="0.3">
      <c r="E7" s="107" t="s">
        <v>155</v>
      </c>
      <c r="F7" s="180"/>
      <c r="G7" s="180"/>
      <c r="H7" s="180"/>
      <c r="I7" s="180"/>
      <c r="J7" s="18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81" t="s">
        <v>162</v>
      </c>
      <c r="AR7" s="181"/>
      <c r="AS7" s="180"/>
      <c r="AT7" s="180"/>
      <c r="AU7" s="182"/>
      <c r="AZ7" s="47" t="s">
        <v>166</v>
      </c>
      <c r="BA7" s="103" t="str">
        <f ca="1">TEXT(BA6, "[hh]:mm") &amp; " - " &amp; TEXT(BA5, "[hh]:mm")</f>
        <v>11:15 - 12:15</v>
      </c>
    </row>
    <row r="8" spans="5:53" s="47" customFormat="1" ht="15.75" thickBot="1" x14ac:dyDescent="0.3">
      <c r="AV8" s="89"/>
      <c r="AZ8" s="47" t="s">
        <v>170</v>
      </c>
      <c r="BA8" s="47">
        <v>57</v>
      </c>
    </row>
    <row r="9" spans="5:53" s="47" customFormat="1" x14ac:dyDescent="0.25">
      <c r="E9" s="155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7"/>
      <c r="AV9" s="89"/>
      <c r="AZ9" s="47" t="s">
        <v>171</v>
      </c>
      <c r="BA9" s="47">
        <v>80</v>
      </c>
    </row>
    <row r="10" spans="5:53" s="47" customFormat="1" x14ac:dyDescent="0.25"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60"/>
      <c r="AV10" s="89"/>
    </row>
    <row r="11" spans="5:53" s="47" customFormat="1" x14ac:dyDescent="0.25">
      <c r="E11" s="158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60"/>
      <c r="AV11" s="89"/>
    </row>
    <row r="12" spans="5:53" s="47" customFormat="1" x14ac:dyDescent="0.25">
      <c r="E12" s="158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60"/>
      <c r="AV12" s="89"/>
    </row>
    <row r="13" spans="5:53" s="47" customFormat="1" x14ac:dyDescent="0.25">
      <c r="E13" s="158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60"/>
      <c r="AV13" s="89"/>
    </row>
    <row r="14" spans="5:53" s="47" customFormat="1" x14ac:dyDescent="0.25">
      <c r="E14" s="158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60"/>
      <c r="AV14" s="89"/>
    </row>
    <row r="15" spans="5:53" s="47" customFormat="1" x14ac:dyDescent="0.25">
      <c r="E15" s="158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60"/>
      <c r="AV15" s="89"/>
    </row>
    <row r="16" spans="5:53" s="47" customFormat="1" x14ac:dyDescent="0.25">
      <c r="E16" s="158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60"/>
      <c r="AV16" s="89"/>
    </row>
    <row r="17" spans="5:48" s="47" customFormat="1" x14ac:dyDescent="0.25">
      <c r="E17" s="158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60"/>
      <c r="AV17" s="89"/>
    </row>
    <row r="18" spans="5:48" s="47" customFormat="1" x14ac:dyDescent="0.25">
      <c r="E18" s="158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60"/>
      <c r="AV18" s="89"/>
    </row>
    <row r="19" spans="5:48" s="47" customFormat="1" x14ac:dyDescent="0.25">
      <c r="E19" s="158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60"/>
      <c r="AV19" s="89"/>
    </row>
    <row r="20" spans="5:48" s="47" customFormat="1" x14ac:dyDescent="0.25">
      <c r="E20" s="158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60"/>
      <c r="AV20" s="89"/>
    </row>
    <row r="21" spans="5:48" s="47" customFormat="1" x14ac:dyDescent="0.25">
      <c r="E21" s="158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60"/>
      <c r="AV21" s="89"/>
    </row>
    <row r="22" spans="5:48" s="47" customFormat="1" x14ac:dyDescent="0.25">
      <c r="E22" s="158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60"/>
      <c r="AV22" s="89"/>
    </row>
    <row r="23" spans="5:48" s="47" customFormat="1" x14ac:dyDescent="0.25">
      <c r="E23" s="158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60"/>
      <c r="AV23" s="89"/>
    </row>
    <row r="24" spans="5:48" s="47" customFormat="1" x14ac:dyDescent="0.25"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60"/>
      <c r="AV24" s="89"/>
    </row>
    <row r="25" spans="5:48" s="47" customFormat="1" x14ac:dyDescent="0.25"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60"/>
      <c r="AV25" s="89"/>
    </row>
    <row r="26" spans="5:48" s="47" customFormat="1" x14ac:dyDescent="0.25"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60"/>
      <c r="AV26" s="89"/>
    </row>
    <row r="27" spans="5:48" s="47" customFormat="1" x14ac:dyDescent="0.25"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60"/>
      <c r="AV27" s="89"/>
    </row>
    <row r="28" spans="5:48" s="47" customFormat="1" x14ac:dyDescent="0.25"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60"/>
      <c r="AV28" s="89"/>
    </row>
    <row r="29" spans="5:48" s="47" customFormat="1" x14ac:dyDescent="0.25"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60"/>
      <c r="AV29" s="89"/>
    </row>
    <row r="30" spans="5:48" s="47" customFormat="1" x14ac:dyDescent="0.25"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60"/>
      <c r="AV30" s="89"/>
    </row>
    <row r="31" spans="5:48" s="47" customFormat="1" x14ac:dyDescent="0.25"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60"/>
      <c r="AV31" s="89"/>
    </row>
    <row r="32" spans="5:48" s="47" customFormat="1" x14ac:dyDescent="0.25">
      <c r="E32" s="158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60"/>
      <c r="AV32" s="89"/>
    </row>
    <row r="33" spans="5:48" s="47" customFormat="1" x14ac:dyDescent="0.25">
      <c r="E33" s="158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60"/>
      <c r="AV33" s="89"/>
    </row>
    <row r="34" spans="5:48" s="47" customFormat="1" x14ac:dyDescent="0.25">
      <c r="E34" s="158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60"/>
      <c r="AV34" s="89"/>
    </row>
    <row r="35" spans="5:48" s="47" customFormat="1" x14ac:dyDescent="0.25">
      <c r="E35" s="158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60"/>
      <c r="AV35" s="89"/>
    </row>
    <row r="36" spans="5:48" s="47" customFormat="1" x14ac:dyDescent="0.25">
      <c r="E36" s="158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60"/>
      <c r="AV36" s="89"/>
    </row>
    <row r="37" spans="5:48" s="47" customFormat="1" x14ac:dyDescent="0.25">
      <c r="E37" s="158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60"/>
      <c r="AV37" s="89"/>
    </row>
    <row r="38" spans="5:48" s="47" customFormat="1" x14ac:dyDescent="0.25">
      <c r="E38" s="158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60"/>
      <c r="AV38" s="89"/>
    </row>
    <row r="39" spans="5:48" s="47" customFormat="1" x14ac:dyDescent="0.25">
      <c r="E39" s="158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60"/>
      <c r="AV39" s="89"/>
    </row>
    <row r="40" spans="5:48" s="47" customFormat="1" x14ac:dyDescent="0.25">
      <c r="E40" s="158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60"/>
      <c r="AV40" s="89"/>
    </row>
    <row r="41" spans="5:48" s="47" customFormat="1" x14ac:dyDescent="0.25">
      <c r="E41" s="158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60"/>
      <c r="AV41" s="89"/>
    </row>
    <row r="42" spans="5:48" s="47" customFormat="1" x14ac:dyDescent="0.25">
      <c r="E42" s="158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60"/>
      <c r="AV42" s="89"/>
    </row>
    <row r="43" spans="5:48" s="47" customFormat="1" x14ac:dyDescent="0.25">
      <c r="E43" s="158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60"/>
      <c r="AV43" s="89"/>
    </row>
    <row r="44" spans="5:48" s="47" customFormat="1" x14ac:dyDescent="0.25">
      <c r="E44" s="158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60"/>
      <c r="AV44" s="89"/>
    </row>
    <row r="45" spans="5:48" s="47" customFormat="1" x14ac:dyDescent="0.25">
      <c r="E45" s="158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60"/>
      <c r="AV45" s="89"/>
    </row>
    <row r="46" spans="5:48" s="47" customFormat="1" x14ac:dyDescent="0.25">
      <c r="E46" s="158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60"/>
      <c r="AV46" s="89"/>
    </row>
    <row r="47" spans="5:48" s="47" customFormat="1" x14ac:dyDescent="0.25">
      <c r="E47" s="158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60"/>
      <c r="AV47" s="89"/>
    </row>
    <row r="48" spans="5:48" s="47" customFormat="1" x14ac:dyDescent="0.25">
      <c r="E48" s="158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60"/>
      <c r="AV48" s="89"/>
    </row>
    <row r="49" spans="5:48" s="47" customFormat="1" x14ac:dyDescent="0.25">
      <c r="E49" s="158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60"/>
      <c r="AV49" s="89"/>
    </row>
    <row r="50" spans="5:48" s="47" customFormat="1" x14ac:dyDescent="0.25">
      <c r="E50" s="158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60"/>
      <c r="AV50" s="89"/>
    </row>
    <row r="51" spans="5:48" s="47" customFormat="1" x14ac:dyDescent="0.25">
      <c r="E51" s="158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60"/>
      <c r="AV51" s="89"/>
    </row>
    <row r="52" spans="5:48" s="47" customFormat="1" x14ac:dyDescent="0.25">
      <c r="E52" s="158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60"/>
      <c r="AV52" s="89"/>
    </row>
    <row r="53" spans="5:48" s="47" customFormat="1" x14ac:dyDescent="0.25">
      <c r="E53" s="158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60"/>
      <c r="AV53" s="89"/>
    </row>
    <row r="54" spans="5:48" s="47" customFormat="1" x14ac:dyDescent="0.25">
      <c r="E54" s="158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60"/>
      <c r="AV54" s="89"/>
    </row>
    <row r="55" spans="5:48" s="47" customFormat="1" x14ac:dyDescent="0.25">
      <c r="E55" s="158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60"/>
      <c r="AV55" s="89"/>
    </row>
    <row r="56" spans="5:48" s="47" customFormat="1" x14ac:dyDescent="0.25">
      <c r="E56" s="158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60"/>
      <c r="AV56" s="89"/>
    </row>
    <row r="57" spans="5:48" s="47" customFormat="1" x14ac:dyDescent="0.25">
      <c r="E57" s="158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60"/>
      <c r="AV57" s="89"/>
    </row>
    <row r="58" spans="5:48" s="47" customFormat="1" x14ac:dyDescent="0.25">
      <c r="E58" s="158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60"/>
    </row>
    <row r="59" spans="5:48" s="47" customFormat="1" x14ac:dyDescent="0.25">
      <c r="E59" s="158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60"/>
    </row>
    <row r="60" spans="5:48" s="47" customFormat="1" x14ac:dyDescent="0.25">
      <c r="E60" s="158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60"/>
    </row>
    <row r="61" spans="5:48" s="47" customFormat="1" x14ac:dyDescent="0.25">
      <c r="E61" s="158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60"/>
    </row>
    <row r="62" spans="5:48" s="47" customFormat="1" x14ac:dyDescent="0.25">
      <c r="E62" s="158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60"/>
    </row>
    <row r="63" spans="5:48" s="47" customFormat="1" x14ac:dyDescent="0.25">
      <c r="E63" s="158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60"/>
    </row>
    <row r="64" spans="5:48" s="47" customFormat="1" x14ac:dyDescent="0.25">
      <c r="E64" s="158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60"/>
    </row>
    <row r="65" spans="4:47" s="47" customFormat="1" x14ac:dyDescent="0.25">
      <c r="E65" s="158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60"/>
    </row>
    <row r="66" spans="4:47" x14ac:dyDescent="0.25">
      <c r="E66" s="158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60"/>
    </row>
    <row r="67" spans="4:47" x14ac:dyDescent="0.25">
      <c r="E67" s="158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60"/>
    </row>
    <row r="68" spans="4:47" ht="15.75" thickBot="1" x14ac:dyDescent="0.3">
      <c r="E68" s="161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3"/>
    </row>
    <row r="69" spans="4:47" s="47" customFormat="1" ht="15.75" thickBot="1" x14ac:dyDescent="0.3"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</row>
    <row r="70" spans="4:47" s="47" customFormat="1" ht="30" customHeight="1" thickBot="1" x14ac:dyDescent="0.3">
      <c r="E70" s="164" t="s">
        <v>169</v>
      </c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6"/>
    </row>
    <row r="71" spans="4:47" ht="15.75" thickBot="1" x14ac:dyDescent="0.3"/>
    <row r="72" spans="4:47" ht="15.75" hidden="1" thickBot="1" x14ac:dyDescent="0.3">
      <c r="F72" s="17">
        <v>1</v>
      </c>
      <c r="G72" s="17">
        <v>2</v>
      </c>
      <c r="H72" s="17">
        <v>3</v>
      </c>
      <c r="I72" s="17">
        <v>4</v>
      </c>
      <c r="J72" s="17">
        <v>5</v>
      </c>
      <c r="K72" s="17">
        <v>6</v>
      </c>
      <c r="L72" s="17">
        <v>7</v>
      </c>
      <c r="M72" s="17">
        <v>8</v>
      </c>
      <c r="N72" s="17">
        <v>9</v>
      </c>
      <c r="O72" s="17">
        <v>10</v>
      </c>
      <c r="P72" s="17">
        <v>1</v>
      </c>
      <c r="Q72" s="17">
        <v>2</v>
      </c>
      <c r="R72" s="17">
        <v>3</v>
      </c>
      <c r="S72" s="17">
        <v>4</v>
      </c>
      <c r="T72" s="17">
        <v>5</v>
      </c>
      <c r="U72" s="17">
        <v>6</v>
      </c>
      <c r="V72" s="17">
        <v>7</v>
      </c>
      <c r="W72" s="17">
        <v>8</v>
      </c>
      <c r="X72" s="17">
        <v>9</v>
      </c>
      <c r="Y72" s="17">
        <v>10</v>
      </c>
      <c r="Z72" s="17">
        <v>1</v>
      </c>
      <c r="AA72" s="17">
        <v>2</v>
      </c>
      <c r="AB72" s="17">
        <v>3</v>
      </c>
      <c r="AC72" s="17">
        <v>4</v>
      </c>
      <c r="AD72" s="17">
        <v>5</v>
      </c>
      <c r="AE72" s="17">
        <v>6</v>
      </c>
      <c r="AF72" s="17">
        <v>7</v>
      </c>
      <c r="AG72" s="17">
        <v>8</v>
      </c>
      <c r="AH72" s="17">
        <v>9</v>
      </c>
      <c r="AI72" s="17">
        <v>10</v>
      </c>
      <c r="AJ72" s="17">
        <v>1</v>
      </c>
      <c r="AK72" s="17">
        <v>2</v>
      </c>
      <c r="AL72" s="17">
        <v>3</v>
      </c>
      <c r="AM72" s="17">
        <v>4</v>
      </c>
      <c r="AN72" s="17">
        <v>5</v>
      </c>
      <c r="AO72" s="17">
        <v>6</v>
      </c>
      <c r="AP72" s="17">
        <v>7</v>
      </c>
      <c r="AQ72" s="17">
        <v>8</v>
      </c>
      <c r="AR72" s="17">
        <v>9</v>
      </c>
      <c r="AS72" s="17">
        <v>10</v>
      </c>
      <c r="AT72" s="88"/>
      <c r="AU72" s="88"/>
    </row>
    <row r="73" spans="4:47" ht="21.75" customHeight="1" x14ac:dyDescent="0.25">
      <c r="E73" s="167" t="s">
        <v>152</v>
      </c>
      <c r="F73" s="169">
        <f>Inicio!$H$12</f>
        <v>0</v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>
        <f>Inicio!$H$12</f>
        <v>0</v>
      </c>
      <c r="Q73" s="169"/>
      <c r="R73" s="169"/>
      <c r="S73" s="169"/>
      <c r="T73" s="169"/>
      <c r="U73" s="169"/>
      <c r="V73" s="169"/>
      <c r="W73" s="169"/>
      <c r="X73" s="169"/>
      <c r="Y73" s="169"/>
      <c r="Z73" s="169">
        <f>Inicio!$H$12</f>
        <v>0</v>
      </c>
      <c r="AA73" s="169"/>
      <c r="AB73" s="169"/>
      <c r="AC73" s="169"/>
      <c r="AD73" s="169"/>
      <c r="AE73" s="169"/>
      <c r="AF73" s="169"/>
      <c r="AG73" s="169"/>
      <c r="AH73" s="169"/>
      <c r="AI73" s="169"/>
      <c r="AJ73" s="169">
        <f>Inicio!$H$12</f>
        <v>0</v>
      </c>
      <c r="AK73" s="169"/>
      <c r="AL73" s="169"/>
      <c r="AM73" s="169"/>
      <c r="AN73" s="169"/>
      <c r="AO73" s="169"/>
      <c r="AP73" s="169"/>
      <c r="AQ73" s="169"/>
      <c r="AR73" s="169"/>
      <c r="AS73" s="170"/>
      <c r="AT73" s="171" t="s">
        <v>153</v>
      </c>
      <c r="AU73" s="174" t="s">
        <v>168</v>
      </c>
    </row>
    <row r="74" spans="4:47" ht="15" customHeight="1" x14ac:dyDescent="0.25">
      <c r="E74" s="168"/>
      <c r="F74" s="153" t="s">
        <v>18</v>
      </c>
      <c r="G74" s="153"/>
      <c r="H74" s="153"/>
      <c r="I74" s="153"/>
      <c r="J74" s="153"/>
      <c r="K74" s="153"/>
      <c r="L74" s="153"/>
      <c r="M74" s="153"/>
      <c r="N74" s="153"/>
      <c r="O74" s="153"/>
      <c r="P74" s="152" t="s">
        <v>19</v>
      </c>
      <c r="Q74" s="152"/>
      <c r="R74" s="152"/>
      <c r="S74" s="152"/>
      <c r="T74" s="152"/>
      <c r="U74" s="152"/>
      <c r="V74" s="152"/>
      <c r="W74" s="152"/>
      <c r="X74" s="152"/>
      <c r="Y74" s="152"/>
      <c r="Z74" s="153" t="s">
        <v>20</v>
      </c>
      <c r="AA74" s="153"/>
      <c r="AB74" s="153"/>
      <c r="AC74" s="153"/>
      <c r="AD74" s="153"/>
      <c r="AE74" s="153"/>
      <c r="AF74" s="153"/>
      <c r="AG74" s="153"/>
      <c r="AH74" s="153"/>
      <c r="AI74" s="153"/>
      <c r="AJ74" s="152" t="s">
        <v>21</v>
      </c>
      <c r="AK74" s="152"/>
      <c r="AL74" s="152"/>
      <c r="AM74" s="152"/>
      <c r="AN74" s="152"/>
      <c r="AO74" s="152"/>
      <c r="AP74" s="152"/>
      <c r="AQ74" s="152"/>
      <c r="AR74" s="152"/>
      <c r="AS74" s="154"/>
      <c r="AT74" s="172"/>
      <c r="AU74" s="175"/>
    </row>
    <row r="75" spans="4:47" x14ac:dyDescent="0.25">
      <c r="D75">
        <v>0</v>
      </c>
      <c r="E75" s="168"/>
      <c r="F75" s="127">
        <f>Inicio!$G$12</f>
        <v>0</v>
      </c>
      <c r="G75" s="127">
        <f>Inicio!$G$13</f>
        <v>0</v>
      </c>
      <c r="H75" s="127">
        <f>Inicio!$G$14</f>
        <v>0</v>
      </c>
      <c r="I75" s="127">
        <f>Inicio!$G$15</f>
        <v>0</v>
      </c>
      <c r="J75" s="127">
        <f>Inicio!$G$16</f>
        <v>0</v>
      </c>
      <c r="K75" s="127">
        <f>Inicio!$G$17</f>
        <v>0</v>
      </c>
      <c r="L75" s="127">
        <f>Inicio!$G$18</f>
        <v>0</v>
      </c>
      <c r="M75" s="127">
        <f>Inicio!$G$19</f>
        <v>0</v>
      </c>
      <c r="N75" s="127">
        <f>Inicio!$G$20</f>
        <v>0</v>
      </c>
      <c r="O75" s="127">
        <f>Inicio!$G$21</f>
        <v>0</v>
      </c>
      <c r="P75" s="91">
        <f>Inicio!$M$12</f>
        <v>0</v>
      </c>
      <c r="Q75" s="91">
        <f>Inicio!$M$13</f>
        <v>0</v>
      </c>
      <c r="R75" s="91">
        <f>Inicio!$M$14</f>
        <v>0</v>
      </c>
      <c r="S75" s="91">
        <f>Inicio!$M$15</f>
        <v>0</v>
      </c>
      <c r="T75" s="91">
        <f>Inicio!$M$16</f>
        <v>0</v>
      </c>
      <c r="U75" s="91">
        <f>Inicio!$M$17</f>
        <v>0</v>
      </c>
      <c r="V75" s="91">
        <f>Inicio!$M$18</f>
        <v>0</v>
      </c>
      <c r="W75" s="91">
        <f>Inicio!$M$19</f>
        <v>0</v>
      </c>
      <c r="X75" s="91">
        <f>Inicio!$M$20</f>
        <v>0</v>
      </c>
      <c r="Y75" s="91">
        <f>Inicio!$M$21</f>
        <v>0</v>
      </c>
      <c r="Z75" s="102">
        <f>Inicio!$G$24</f>
        <v>0</v>
      </c>
      <c r="AA75" s="102">
        <f>Inicio!$G$25</f>
        <v>0</v>
      </c>
      <c r="AB75" s="102">
        <f>Inicio!$G$26</f>
        <v>0</v>
      </c>
      <c r="AC75" s="102">
        <f>Inicio!$G$27</f>
        <v>0</v>
      </c>
      <c r="AD75" s="102">
        <f>Inicio!$G$28</f>
        <v>0</v>
      </c>
      <c r="AE75" s="102">
        <f>Inicio!$G$29</f>
        <v>0</v>
      </c>
      <c r="AF75" s="102">
        <f>Inicio!$G$30</f>
        <v>0</v>
      </c>
      <c r="AG75" s="102">
        <f>Inicio!$G$31</f>
        <v>0</v>
      </c>
      <c r="AH75" s="102">
        <f>Inicio!$G$32</f>
        <v>0</v>
      </c>
      <c r="AI75" s="102">
        <f>Inicio!$G$33</f>
        <v>0</v>
      </c>
      <c r="AJ75" s="91">
        <f>Inicio!$M$24</f>
        <v>0</v>
      </c>
      <c r="AK75" s="91">
        <f>Inicio!$M$25</f>
        <v>0</v>
      </c>
      <c r="AL75" s="91">
        <f>Inicio!$M$26</f>
        <v>0</v>
      </c>
      <c r="AM75" s="91">
        <f>Inicio!$M$27</f>
        <v>0</v>
      </c>
      <c r="AN75" s="91">
        <f>Inicio!$M$28</f>
        <v>0</v>
      </c>
      <c r="AO75" s="91">
        <f>Inicio!$M$29</f>
        <v>0</v>
      </c>
      <c r="AP75" s="91">
        <f>Inicio!$M$30</f>
        <v>0</v>
      </c>
      <c r="AQ75" s="91">
        <f>Inicio!$M$31</f>
        <v>0</v>
      </c>
      <c r="AR75" s="91">
        <f>Inicio!$M$32</f>
        <v>0</v>
      </c>
      <c r="AS75" s="109">
        <f>Inicio!$M$33</f>
        <v>0</v>
      </c>
      <c r="AT75" s="173"/>
      <c r="AU75" s="176"/>
    </row>
    <row r="76" spans="4:47" x14ac:dyDescent="0.25">
      <c r="D76">
        <v>1</v>
      </c>
      <c r="E76" s="110" t="str">
        <f>Inicio!V4</f>
        <v>Auto</v>
      </c>
      <c r="F76" s="99" t="e" cm="1" vm="1">
        <f t="array" aca="1" ref="F76" ca="1">_xlfn.LET(
_xlpm.rango, INDIRECT("N!$C$" &amp; $BA$8 &amp; ":$DR$" &amp; $BA$9),
_xlpm.col, F$72+$D75*10,
INDEX(_xlpm.rango,$BA$4-3,_xlpm.col) +
INDEX(_xlpm.rango,$BA$4-2,_xlpm.col) +
INDEX(_xlpm.rango,$BA$4-1,_xlpm.col) +
INDEX(_xlpm.rango,$BA$4, _xlpm.col)
)</f>
        <v>#VALUE!</v>
      </c>
      <c r="G76" s="93" t="e" cm="1" vm="1">
        <f t="array" aca="1" ref="G76" ca="1">_xlfn.LET(
_xlpm.rango, INDIRECT("N!$C$" &amp; $BA$8 &amp; ":$DR$" &amp; $BA$9),
_xlpm.col, G$72+$D75*10,
INDEX(_xlpm.rango,$BA$4-3,_xlpm.col) +
INDEX(_xlpm.rango,$BA$4-2,_xlpm.col) +
INDEX(_xlpm.rango,$BA$4-1,_xlpm.col) +
INDEX(_xlpm.rango,$BA$4, _xlpm.col)
)</f>
        <v>#VALUE!</v>
      </c>
      <c r="H76" s="93" t="e" cm="1" vm="1">
        <f t="array" aca="1" ref="H76" ca="1">_xlfn.LET(
_xlpm.rango, INDIRECT("N!$C$" &amp; $BA$8 &amp; ":$DR$" &amp; $BA$9),
_xlpm.col, H$72+$D75*10,
INDEX(_xlpm.rango,$BA$4-3,_xlpm.col) +
INDEX(_xlpm.rango,$BA$4-2,_xlpm.col) +
INDEX(_xlpm.rango,$BA$4-1,_xlpm.col) +
INDEX(_xlpm.rango,$BA$4, _xlpm.col)
)</f>
        <v>#VALUE!</v>
      </c>
      <c r="I76" s="93" t="e" cm="1" vm="1">
        <f t="array" aca="1" ref="I76" ca="1">_xlfn.LET(
_xlpm.rango, INDIRECT("N!$C$" &amp; $BA$8 &amp; ":$DR$" &amp; $BA$9),
_xlpm.col, I$72+$D75*10,
INDEX(_xlpm.rango,$BA$4-3,_xlpm.col) +
INDEX(_xlpm.rango,$BA$4-2,_xlpm.col) +
INDEX(_xlpm.rango,$BA$4-1,_xlpm.col) +
INDEX(_xlpm.rango,$BA$4, _xlpm.col)
)</f>
        <v>#VALUE!</v>
      </c>
      <c r="J76" s="93" t="e" cm="1" vm="1">
        <f t="array" aca="1" ref="J76" ca="1">_xlfn.LET(
_xlpm.rango, INDIRECT("N!$C$" &amp; $BA$8 &amp; ":$DR$" &amp; $BA$9),
_xlpm.col, J$72+$D75*10,
INDEX(_xlpm.rango,$BA$4-3,_xlpm.col) +
INDEX(_xlpm.rango,$BA$4-2,_xlpm.col) +
INDEX(_xlpm.rango,$BA$4-1,_xlpm.col) +
INDEX(_xlpm.rango,$BA$4, _xlpm.col)
)</f>
        <v>#VALUE!</v>
      </c>
      <c r="K76" s="93" t="e" cm="1" vm="1">
        <f t="array" aca="1" ref="K76" ca="1">_xlfn.LET(
_xlpm.rango, INDIRECT("N!$C$" &amp; $BA$8 &amp; ":$DR$" &amp; $BA$9),
_xlpm.col, K$72+$D75*10,
INDEX(_xlpm.rango,$BA$4-3,_xlpm.col) +
INDEX(_xlpm.rango,$BA$4-2,_xlpm.col) +
INDEX(_xlpm.rango,$BA$4-1,_xlpm.col) +
INDEX(_xlpm.rango,$BA$4, _xlpm.col)
)</f>
        <v>#VALUE!</v>
      </c>
      <c r="L76" s="93" t="e" cm="1" vm="1">
        <f t="array" aca="1" ref="L76" ca="1">_xlfn.LET(
_xlpm.rango, INDIRECT("N!$C$" &amp; $BA$8 &amp; ":$DR$" &amp; $BA$9),
_xlpm.col, L$72+$D75*10,
INDEX(_xlpm.rango,$BA$4-3,_xlpm.col) +
INDEX(_xlpm.rango,$BA$4-2,_xlpm.col) +
INDEX(_xlpm.rango,$BA$4-1,_xlpm.col) +
INDEX(_xlpm.rango,$BA$4, _xlpm.col)
)</f>
        <v>#VALUE!</v>
      </c>
      <c r="M76" s="93" t="e" cm="1" vm="1">
        <f t="array" aca="1" ref="M76" ca="1">_xlfn.LET(
_xlpm.rango, INDIRECT("N!$C$" &amp; $BA$8 &amp; ":$DR$" &amp; $BA$9),
_xlpm.col, M$72+$D75*10,
INDEX(_xlpm.rango,$BA$4-3,_xlpm.col) +
INDEX(_xlpm.rango,$BA$4-2,_xlpm.col) +
INDEX(_xlpm.rango,$BA$4-1,_xlpm.col) +
INDEX(_xlpm.rango,$BA$4, _xlpm.col)
)</f>
        <v>#VALUE!</v>
      </c>
      <c r="N76" s="93" t="e" cm="1" vm="1">
        <f t="array" aca="1" ref="N76" ca="1">_xlfn.LET(
_xlpm.rango, INDIRECT("N!$C$" &amp; $BA$8 &amp; ":$DR$" &amp; $BA$9),
_xlpm.col, N$72+$D75*10,
INDEX(_xlpm.rango,$BA$4-3,_xlpm.col) +
INDEX(_xlpm.rango,$BA$4-2,_xlpm.col) +
INDEX(_xlpm.rango,$BA$4-1,_xlpm.col) +
INDEX(_xlpm.rango,$BA$4, _xlpm.col)
)</f>
        <v>#VALUE!</v>
      </c>
      <c r="O76" s="94" t="e" cm="1" vm="1">
        <f t="array" aca="1" ref="O76" ca="1">_xlfn.LET(
_xlpm.rango, INDIRECT("N!$C$" &amp; $BA$8 &amp; ":$DR$" &amp; $BA$9),
_xlpm.col, O$72+$D75*10,
INDEX(_xlpm.rango,$BA$4-3,_xlpm.col) +
INDEX(_xlpm.rango,$BA$4-2,_xlpm.col) +
INDEX(_xlpm.rango,$BA$4-1,_xlpm.col) +
INDEX(_xlpm.rango,$BA$4, _xlpm.col)
)</f>
        <v>#VALUE!</v>
      </c>
      <c r="P76" s="93" t="e" cm="1" vm="1">
        <f t="array" aca="1" ref="P76" ca="1">_xlfn.LET(
_xlpm.rango, INDIRECT("S!$C$" &amp; $BA$8 &amp; ":$DR$" &amp; $BA$9),
_xlpm.col, P$72+$D75*10,
INDEX(_xlpm.rango,$BA$4-3,_xlpm.col) +
INDEX(_xlpm.rango,$BA$4-2,_xlpm.col) +
INDEX(_xlpm.rango,$BA$4-1,_xlpm.col) +
INDEX(_xlpm.rango,$BA$4, _xlpm.col)
)</f>
        <v>#VALUE!</v>
      </c>
      <c r="Q76" s="93" t="e" cm="1" vm="1">
        <f t="array" aca="1" ref="Q76" ca="1">_xlfn.LET(
_xlpm.rango, INDIRECT("S!$C$" &amp; $BA$8 &amp; ":$DR$" &amp; $BA$9),
_xlpm.col, Q$72+$D75*10,
INDEX(_xlpm.rango,$BA$4-3,_xlpm.col) +
INDEX(_xlpm.rango,$BA$4-2,_xlpm.col) +
INDEX(_xlpm.rango,$BA$4-1,_xlpm.col) +
INDEX(_xlpm.rango,$BA$4, _xlpm.col)
)</f>
        <v>#VALUE!</v>
      </c>
      <c r="R76" s="93" t="e" cm="1" vm="1">
        <f t="array" aca="1" ref="R76" ca="1">_xlfn.LET(
_xlpm.rango, INDIRECT("S!$C$" &amp; $BA$8 &amp; ":$DR$" &amp; $BA$9),
_xlpm.col, R$72+$D75*10,
INDEX(_xlpm.rango,$BA$4-3,_xlpm.col) +
INDEX(_xlpm.rango,$BA$4-2,_xlpm.col) +
INDEX(_xlpm.rango,$BA$4-1,_xlpm.col) +
INDEX(_xlpm.rango,$BA$4, _xlpm.col)
)</f>
        <v>#VALUE!</v>
      </c>
      <c r="S76" s="93" t="e" cm="1" vm="1">
        <f t="array" aca="1" ref="S76" ca="1">_xlfn.LET(
_xlpm.rango, INDIRECT("S!$C$" &amp; $BA$8 &amp; ":$DR$" &amp; $BA$9),
_xlpm.col, S$72+$D75*10,
INDEX(_xlpm.rango,$BA$4-3,_xlpm.col) +
INDEX(_xlpm.rango,$BA$4-2,_xlpm.col) +
INDEX(_xlpm.rango,$BA$4-1,_xlpm.col) +
INDEX(_xlpm.rango,$BA$4, _xlpm.col)
)</f>
        <v>#VALUE!</v>
      </c>
      <c r="T76" s="93" t="e" cm="1" vm="1">
        <f t="array" aca="1" ref="T76" ca="1">_xlfn.LET(
_xlpm.rango, INDIRECT("S!$C$" &amp; $BA$8 &amp; ":$DR$" &amp; $BA$9),
_xlpm.col, T$72+$D75*10,
INDEX(_xlpm.rango,$BA$4-3,_xlpm.col) +
INDEX(_xlpm.rango,$BA$4-2,_xlpm.col) +
INDEX(_xlpm.rango,$BA$4-1,_xlpm.col) +
INDEX(_xlpm.rango,$BA$4, _xlpm.col)
)</f>
        <v>#VALUE!</v>
      </c>
      <c r="U76" s="93" t="e" cm="1" vm="1">
        <f t="array" aca="1" ref="U76" ca="1">_xlfn.LET(
_xlpm.rango, INDIRECT("S!$C$" &amp; $BA$8 &amp; ":$DR$" &amp; $BA$9),
_xlpm.col, U$72+$D75*10,
INDEX(_xlpm.rango,$BA$4-3,_xlpm.col) +
INDEX(_xlpm.rango,$BA$4-2,_xlpm.col) +
INDEX(_xlpm.rango,$BA$4-1,_xlpm.col) +
INDEX(_xlpm.rango,$BA$4, _xlpm.col)
)</f>
        <v>#VALUE!</v>
      </c>
      <c r="V76" s="93" t="e" cm="1" vm="1">
        <f t="array" aca="1" ref="V76" ca="1">_xlfn.LET(
_xlpm.rango, INDIRECT("S!$C$" &amp; $BA$8 &amp; ":$DR$" &amp; $BA$9),
_xlpm.col, V$72+$D75*10,
INDEX(_xlpm.rango,$BA$4-3,_xlpm.col) +
INDEX(_xlpm.rango,$BA$4-2,_xlpm.col) +
INDEX(_xlpm.rango,$BA$4-1,_xlpm.col) +
INDEX(_xlpm.rango,$BA$4, _xlpm.col)
)</f>
        <v>#VALUE!</v>
      </c>
      <c r="W76" s="93" t="e" cm="1" vm="1">
        <f t="array" aca="1" ref="W76" ca="1">_xlfn.LET(
_xlpm.rango, INDIRECT("S!$C$" &amp; $BA$8 &amp; ":$DR$" &amp; $BA$9),
_xlpm.col, W$72+$D75*10,
INDEX(_xlpm.rango,$BA$4-3,_xlpm.col) +
INDEX(_xlpm.rango,$BA$4-2,_xlpm.col) +
INDEX(_xlpm.rango,$BA$4-1,_xlpm.col) +
INDEX(_xlpm.rango,$BA$4, _xlpm.col)
)</f>
        <v>#VALUE!</v>
      </c>
      <c r="X76" s="93" t="e" cm="1" vm="1">
        <f t="array" aca="1" ref="X76" ca="1">_xlfn.LET(
_xlpm.rango, INDIRECT("S!$C$" &amp; $BA$8 &amp; ":$DR$" &amp; $BA$9),
_xlpm.col, X$72+$D75*10,
INDEX(_xlpm.rango,$BA$4-3,_xlpm.col) +
INDEX(_xlpm.rango,$BA$4-2,_xlpm.col) +
INDEX(_xlpm.rango,$BA$4-1,_xlpm.col) +
INDEX(_xlpm.rango,$BA$4, _xlpm.col)
)</f>
        <v>#VALUE!</v>
      </c>
      <c r="Y76" s="93" t="e" cm="1" vm="1">
        <f t="array" aca="1" ref="Y76" ca="1">_xlfn.LET(
_xlpm.rango, INDIRECT("S!$C$" &amp; $BA$8 &amp; ":$DR$" &amp; $BA$9),
_xlpm.col, Y$72+$D75*10,
INDEX(_xlpm.rango,$BA$4-3,_xlpm.col) +
INDEX(_xlpm.rango,$BA$4-2,_xlpm.col) +
INDEX(_xlpm.rango,$BA$4-1,_xlpm.col) +
INDEX(_xlpm.rango,$BA$4, _xlpm.col)
)</f>
        <v>#VALUE!</v>
      </c>
      <c r="Z76" s="99" t="e" cm="1" vm="1">
        <f t="array" aca="1" ref="Z76" ca="1">_xlfn.LET(
_xlpm.rango, INDIRECT("E!$C$" &amp; $BA$8 &amp; ":$DR$" &amp; $BA$9),
_xlpm.col, Z$72+$D75*10,
INDEX(_xlpm.rango,$BA$4-3,_xlpm.col) +
INDEX(_xlpm.rango,$BA$4-2,_xlpm.col) +
INDEX(_xlpm.rango,$BA$4-1,_xlpm.col) +
INDEX(_xlpm.rango,$BA$4, _xlpm.col)
)</f>
        <v>#VALUE!</v>
      </c>
      <c r="AA76" s="93" t="e" cm="1" vm="1">
        <f t="array" aca="1" ref="AA76" ca="1">_xlfn.LET(
_xlpm.rango, INDIRECT("E!$C$" &amp; $BA$8 &amp; ":$DR$" &amp; $BA$9),
_xlpm.col, AA$72+$D75*10,
INDEX(_xlpm.rango,$BA$4-3,_xlpm.col) +
INDEX(_xlpm.rango,$BA$4-2,_xlpm.col) +
INDEX(_xlpm.rango,$BA$4-1,_xlpm.col) +
INDEX(_xlpm.rango,$BA$4, _xlpm.col)
)</f>
        <v>#VALUE!</v>
      </c>
      <c r="AB76" s="93" t="e" cm="1" vm="1">
        <f t="array" aca="1" ref="AB76" ca="1">_xlfn.LET(
_xlpm.rango, INDIRECT("E!$C$" &amp; $BA$8 &amp; ":$DR$" &amp; $BA$9),
_xlpm.col, AB$72+$D75*10,
INDEX(_xlpm.rango,$BA$4-3,_xlpm.col) +
INDEX(_xlpm.rango,$BA$4-2,_xlpm.col) +
INDEX(_xlpm.rango,$BA$4-1,_xlpm.col) +
INDEX(_xlpm.rango,$BA$4, _xlpm.col)
)</f>
        <v>#VALUE!</v>
      </c>
      <c r="AC76" s="93" t="e" cm="1" vm="1">
        <f t="array" aca="1" ref="AC76" ca="1">_xlfn.LET(
_xlpm.rango, INDIRECT("E!$C$" &amp; $BA$8 &amp; ":$DR$" &amp; $BA$9),
_xlpm.col, AC$72+$D75*10,
INDEX(_xlpm.rango,$BA$4-3,_xlpm.col) +
INDEX(_xlpm.rango,$BA$4-2,_xlpm.col) +
INDEX(_xlpm.rango,$BA$4-1,_xlpm.col) +
INDEX(_xlpm.rango,$BA$4, _xlpm.col)
)</f>
        <v>#VALUE!</v>
      </c>
      <c r="AD76" s="93" t="e" cm="1" vm="1">
        <f t="array" aca="1" ref="AD76" ca="1">_xlfn.LET(
_xlpm.rango, INDIRECT("E!$C$" &amp; $BA$8 &amp; ":$DR$" &amp; $BA$9),
_xlpm.col, AD$72+$D75*10,
INDEX(_xlpm.rango,$BA$4-3,_xlpm.col) +
INDEX(_xlpm.rango,$BA$4-2,_xlpm.col) +
INDEX(_xlpm.rango,$BA$4-1,_xlpm.col) +
INDEX(_xlpm.rango,$BA$4, _xlpm.col)
)</f>
        <v>#VALUE!</v>
      </c>
      <c r="AE76" s="93" t="e" cm="1" vm="1">
        <f t="array" aca="1" ref="AE76" ca="1">_xlfn.LET(
_xlpm.rango, INDIRECT("E!$C$" &amp; $BA$8 &amp; ":$DR$" &amp; $BA$9),
_xlpm.col, AE$72+$D75*10,
INDEX(_xlpm.rango,$BA$4-3,_xlpm.col) +
INDEX(_xlpm.rango,$BA$4-2,_xlpm.col) +
INDEX(_xlpm.rango,$BA$4-1,_xlpm.col) +
INDEX(_xlpm.rango,$BA$4, _xlpm.col)
)</f>
        <v>#VALUE!</v>
      </c>
      <c r="AF76" s="93" t="e" cm="1" vm="1">
        <f t="array" aca="1" ref="AF76" ca="1">_xlfn.LET(
_xlpm.rango, INDIRECT("E!$C$" &amp; $BA$8 &amp; ":$DR$" &amp; $BA$9),
_xlpm.col, AF$72+$D75*10,
INDEX(_xlpm.rango,$BA$4-3,_xlpm.col) +
INDEX(_xlpm.rango,$BA$4-2,_xlpm.col) +
INDEX(_xlpm.rango,$BA$4-1,_xlpm.col) +
INDEX(_xlpm.rango,$BA$4, _xlpm.col)
)</f>
        <v>#VALUE!</v>
      </c>
      <c r="AG76" s="93" t="e" cm="1" vm="1">
        <f t="array" aca="1" ref="AG76" ca="1">_xlfn.LET(
_xlpm.rango, INDIRECT("E!$C$" &amp; $BA$8 &amp; ":$DR$" &amp; $BA$9),
_xlpm.col, AG$72+$D75*10,
INDEX(_xlpm.rango,$BA$4-3,_xlpm.col) +
INDEX(_xlpm.rango,$BA$4-2,_xlpm.col) +
INDEX(_xlpm.rango,$BA$4-1,_xlpm.col) +
INDEX(_xlpm.rango,$BA$4, _xlpm.col)
)</f>
        <v>#VALUE!</v>
      </c>
      <c r="AH76" s="93" t="e" cm="1" vm="1">
        <f t="array" aca="1" ref="AH76" ca="1">_xlfn.LET(
_xlpm.rango, INDIRECT("E!$C$" &amp; $BA$8 &amp; ":$DR$" &amp; $BA$9),
_xlpm.col, AH$72+$D75*10,
INDEX(_xlpm.rango,$BA$4-3,_xlpm.col) +
INDEX(_xlpm.rango,$BA$4-2,_xlpm.col) +
INDEX(_xlpm.rango,$BA$4-1,_xlpm.col) +
INDEX(_xlpm.rango,$BA$4, _xlpm.col)
)</f>
        <v>#VALUE!</v>
      </c>
      <c r="AI76" s="94" t="e" cm="1" vm="1">
        <f t="array" aca="1" ref="AI76" ca="1">_xlfn.LET(
_xlpm.rango, INDIRECT("E!$C$" &amp; $BA$8 &amp; ":$DR$" &amp; $BA$9),
_xlpm.col, AI$72+$D75*10,
INDEX(_xlpm.rango,$BA$4-3,_xlpm.col) +
INDEX(_xlpm.rango,$BA$4-2,_xlpm.col) +
INDEX(_xlpm.rango,$BA$4-1,_xlpm.col) +
INDEX(_xlpm.rango,$BA$4, _xlpm.col)
)</f>
        <v>#VALUE!</v>
      </c>
      <c r="AJ76" s="99" t="e" cm="1" vm="1">
        <f t="array" aca="1" ref="AJ76" ca="1">_xlfn.LET(
_xlpm.rango, INDIRECT("E!$C$" &amp; $BA$8 &amp; ":$DR$" &amp; $BA$9),
_xlpm.col, AJ$72+$D75*10,
INDEX(_xlpm.rango,$BA$4-3,_xlpm.col) +
INDEX(_xlpm.rango,$BA$4-2,_xlpm.col) +
INDEX(_xlpm.rango,$BA$4-1,_xlpm.col) +
INDEX(_xlpm.rango,$BA$4, _xlpm.col)
)</f>
        <v>#VALUE!</v>
      </c>
      <c r="AK76" s="93" t="e" cm="1" vm="1">
        <f t="array" aca="1" ref="AK76" ca="1">_xlfn.LET(
_xlpm.rango, INDIRECT("E!$C$" &amp; $BA$8 &amp; ":$DR$" &amp; $BA$9),
_xlpm.col, AK$72+$D75*10,
INDEX(_xlpm.rango,$BA$4-3,_xlpm.col) +
INDEX(_xlpm.rango,$BA$4-2,_xlpm.col) +
INDEX(_xlpm.rango,$BA$4-1,_xlpm.col) +
INDEX(_xlpm.rango,$BA$4, _xlpm.col)
)</f>
        <v>#VALUE!</v>
      </c>
      <c r="AL76" s="93" t="e" cm="1" vm="1">
        <f t="array" aca="1" ref="AL76" ca="1">_xlfn.LET(
_xlpm.rango, INDIRECT("E!$C$" &amp; $BA$8 &amp; ":$DR$" &amp; $BA$9),
_xlpm.col, AL$72+$D75*10,
INDEX(_xlpm.rango,$BA$4-3,_xlpm.col) +
INDEX(_xlpm.rango,$BA$4-2,_xlpm.col) +
INDEX(_xlpm.rango,$BA$4-1,_xlpm.col) +
INDEX(_xlpm.rango,$BA$4, _xlpm.col)
)</f>
        <v>#VALUE!</v>
      </c>
      <c r="AM76" s="93" t="e" cm="1" vm="1">
        <f t="array" aca="1" ref="AM76" ca="1">_xlfn.LET(
_xlpm.rango, INDIRECT("E!$C$" &amp; $BA$8 &amp; ":$DR$" &amp; $BA$9),
_xlpm.col, AM$72+$D75*10,
INDEX(_xlpm.rango,$BA$4-3,_xlpm.col) +
INDEX(_xlpm.rango,$BA$4-2,_xlpm.col) +
INDEX(_xlpm.rango,$BA$4-1,_xlpm.col) +
INDEX(_xlpm.rango,$BA$4, _xlpm.col)
)</f>
        <v>#VALUE!</v>
      </c>
      <c r="AN76" s="93" t="e" cm="1" vm="1">
        <f t="array" aca="1" ref="AN76" ca="1">_xlfn.LET(
_xlpm.rango, INDIRECT("E!$C$" &amp; $BA$8 &amp; ":$DR$" &amp; $BA$9),
_xlpm.col, AN$72+$D75*10,
INDEX(_xlpm.rango,$BA$4-3,_xlpm.col) +
INDEX(_xlpm.rango,$BA$4-2,_xlpm.col) +
INDEX(_xlpm.rango,$BA$4-1,_xlpm.col) +
INDEX(_xlpm.rango,$BA$4, _xlpm.col)
)</f>
        <v>#VALUE!</v>
      </c>
      <c r="AO76" s="93" t="e" cm="1" vm="1">
        <f t="array" aca="1" ref="AO76" ca="1">_xlfn.LET(
_xlpm.rango, INDIRECT("E!$C$" &amp; $BA$8 &amp; ":$DR$" &amp; $BA$9),
_xlpm.col, AO$72+$D75*10,
INDEX(_xlpm.rango,$BA$4-3,_xlpm.col) +
INDEX(_xlpm.rango,$BA$4-2,_xlpm.col) +
INDEX(_xlpm.rango,$BA$4-1,_xlpm.col) +
INDEX(_xlpm.rango,$BA$4, _xlpm.col)
)</f>
        <v>#VALUE!</v>
      </c>
      <c r="AP76" s="93" t="e" cm="1" vm="1">
        <f t="array" aca="1" ref="AP76" ca="1">_xlfn.LET(
_xlpm.rango, INDIRECT("E!$C$" &amp; $BA$8 &amp; ":$DR$" &amp; $BA$9),
_xlpm.col, AP$72+$D75*10,
INDEX(_xlpm.rango,$BA$4-3,_xlpm.col) +
INDEX(_xlpm.rango,$BA$4-2,_xlpm.col) +
INDEX(_xlpm.rango,$BA$4-1,_xlpm.col) +
INDEX(_xlpm.rango,$BA$4, _xlpm.col)
)</f>
        <v>#VALUE!</v>
      </c>
      <c r="AQ76" s="93" t="e" cm="1" vm="1">
        <f t="array" aca="1" ref="AQ76" ca="1">_xlfn.LET(
_xlpm.rango, INDIRECT("E!$C$" &amp; $BA$8 &amp; ":$DR$" &amp; $BA$9),
_xlpm.col, AQ$72+$D75*10,
INDEX(_xlpm.rango,$BA$4-3,_xlpm.col) +
INDEX(_xlpm.rango,$BA$4-2,_xlpm.col) +
INDEX(_xlpm.rango,$BA$4-1,_xlpm.col) +
INDEX(_xlpm.rango,$BA$4, _xlpm.col)
)</f>
        <v>#VALUE!</v>
      </c>
      <c r="AR76" s="93" t="e" cm="1" vm="1">
        <f t="array" aca="1" ref="AR76" ca="1">_xlfn.LET(
_xlpm.rango, INDIRECT("E!$C$" &amp; $BA$8 &amp; ":$DR$" &amp; $BA$9),
_xlpm.col, AR$72+$D75*10,
INDEX(_xlpm.rango,$BA$4-3,_xlpm.col) +
INDEX(_xlpm.rango,$BA$4-2,_xlpm.col) +
INDEX(_xlpm.rango,$BA$4-1,_xlpm.col) +
INDEX(_xlpm.rango,$BA$4, _xlpm.col)
)</f>
        <v>#VALUE!</v>
      </c>
      <c r="AS76" s="111" t="e" cm="1" vm="1">
        <f t="array" aca="1" ref="AS76" ca="1">_xlfn.LET(
_xlpm.rango, INDIRECT("E!$C$" &amp; $BA$8 &amp; ":$DR$" &amp; $BA$9),
_xlpm.col, AS$72+$D75*10,
INDEX(_xlpm.rango,$BA$4-3,_xlpm.col) +
INDEX(_xlpm.rango,$BA$4-2,_xlpm.col) +
INDEX(_xlpm.rango,$BA$4-1,_xlpm.col) +
INDEX(_xlpm.rango,$BA$4, _xlpm.col)
)</f>
        <v>#VALUE!</v>
      </c>
      <c r="AT76" s="118" t="e" vm="2">
        <f ca="1">SUM(F76:AS76)</f>
        <v>#VALUE!</v>
      </c>
      <c r="AU76" s="119" t="e" vm="2">
        <f ca="1">AT76/$AT$88</f>
        <v>#VALUE!</v>
      </c>
    </row>
    <row r="77" spans="4:47" x14ac:dyDescent="0.25">
      <c r="D77">
        <v>2</v>
      </c>
      <c r="E77" s="106" t="str">
        <f>Inicio!V5</f>
        <v>Moto</v>
      </c>
      <c r="F77" s="100" t="e" cm="1" vm="1">
        <f t="array" aca="1" ref="F77" ca="1">_xlfn.LET(
_xlpm.rango, INDIRECT("N!$C$" &amp; $BA$8 &amp; ":$DR$" &amp; $BA$9),
_xlpm.col, F$72+$D76*10,
INDEX(_xlpm.rango,$BA$4-3,_xlpm.col) +
INDEX(_xlpm.rango,$BA$4-2,_xlpm.col) +
INDEX(_xlpm.rango,$BA$4-1,_xlpm.col) +
INDEX(_xlpm.rango,$BA$4, _xlpm.col)
)</f>
        <v>#VALUE!</v>
      </c>
      <c r="G77" s="95" t="e" cm="1" vm="1">
        <f t="array" aca="1" ref="G77" ca="1">_xlfn.LET(
_xlpm.rango, INDIRECT("N!$C$" &amp; $BA$8 &amp; ":$DR$" &amp; $BA$9),
_xlpm.col, G$72+$D76*10,
INDEX(_xlpm.rango,$BA$4-3,_xlpm.col) +
INDEX(_xlpm.rango,$BA$4-2,_xlpm.col) +
INDEX(_xlpm.rango,$BA$4-1,_xlpm.col) +
INDEX(_xlpm.rango,$BA$4, _xlpm.col)
)</f>
        <v>#VALUE!</v>
      </c>
      <c r="H77" s="95" t="e" cm="1" vm="1">
        <f t="array" aca="1" ref="H77" ca="1">_xlfn.LET(
_xlpm.rango, INDIRECT("N!$C$" &amp; $BA$8 &amp; ":$DR$" &amp; $BA$9),
_xlpm.col, H$72+$D76*10,
INDEX(_xlpm.rango,$BA$4-3,_xlpm.col) +
INDEX(_xlpm.rango,$BA$4-2,_xlpm.col) +
INDEX(_xlpm.rango,$BA$4-1,_xlpm.col) +
INDEX(_xlpm.rango,$BA$4, _xlpm.col)
)</f>
        <v>#VALUE!</v>
      </c>
      <c r="I77" s="95" t="e" cm="1" vm="1">
        <f t="array" aca="1" ref="I77" ca="1">_xlfn.LET(
_xlpm.rango, INDIRECT("N!$C$" &amp; $BA$8 &amp; ":$DR$" &amp; $BA$9),
_xlpm.col, I$72+$D76*10,
INDEX(_xlpm.rango,$BA$4-3,_xlpm.col) +
INDEX(_xlpm.rango,$BA$4-2,_xlpm.col) +
INDEX(_xlpm.rango,$BA$4-1,_xlpm.col) +
INDEX(_xlpm.rango,$BA$4, _xlpm.col)
)</f>
        <v>#VALUE!</v>
      </c>
      <c r="J77" s="95" t="e" cm="1" vm="1">
        <f t="array" aca="1" ref="J77" ca="1">_xlfn.LET(
_xlpm.rango, INDIRECT("N!$C$" &amp; $BA$8 &amp; ":$DR$" &amp; $BA$9),
_xlpm.col, J$72+$D76*10,
INDEX(_xlpm.rango,$BA$4-3,_xlpm.col) +
INDEX(_xlpm.rango,$BA$4-2,_xlpm.col) +
INDEX(_xlpm.rango,$BA$4-1,_xlpm.col) +
INDEX(_xlpm.rango,$BA$4, _xlpm.col)
)</f>
        <v>#VALUE!</v>
      </c>
      <c r="K77" s="95" t="e" cm="1" vm="1">
        <f t="array" aca="1" ref="K77" ca="1">_xlfn.LET(
_xlpm.rango, INDIRECT("N!$C$" &amp; $BA$8 &amp; ":$DR$" &amp; $BA$9),
_xlpm.col, K$72+$D76*10,
INDEX(_xlpm.rango,$BA$4-3,_xlpm.col) +
INDEX(_xlpm.rango,$BA$4-2,_xlpm.col) +
INDEX(_xlpm.rango,$BA$4-1,_xlpm.col) +
INDEX(_xlpm.rango,$BA$4, _xlpm.col)
)</f>
        <v>#VALUE!</v>
      </c>
      <c r="L77" s="95" t="e" cm="1" vm="1">
        <f t="array" aca="1" ref="L77" ca="1">_xlfn.LET(
_xlpm.rango, INDIRECT("N!$C$" &amp; $BA$8 &amp; ":$DR$" &amp; $BA$9),
_xlpm.col, L$72+$D76*10,
INDEX(_xlpm.rango,$BA$4-3,_xlpm.col) +
INDEX(_xlpm.rango,$BA$4-2,_xlpm.col) +
INDEX(_xlpm.rango,$BA$4-1,_xlpm.col) +
INDEX(_xlpm.rango,$BA$4, _xlpm.col)
)</f>
        <v>#VALUE!</v>
      </c>
      <c r="M77" s="95" t="e" cm="1" vm="1">
        <f t="array" aca="1" ref="M77" ca="1">_xlfn.LET(
_xlpm.rango, INDIRECT("N!$C$" &amp; $BA$8 &amp; ":$DR$" &amp; $BA$9),
_xlpm.col, M$72+$D76*10,
INDEX(_xlpm.rango,$BA$4-3,_xlpm.col) +
INDEX(_xlpm.rango,$BA$4-2,_xlpm.col) +
INDEX(_xlpm.rango,$BA$4-1,_xlpm.col) +
INDEX(_xlpm.rango,$BA$4, _xlpm.col)
)</f>
        <v>#VALUE!</v>
      </c>
      <c r="N77" s="95" t="e" cm="1" vm="1">
        <f t="array" aca="1" ref="N77" ca="1">_xlfn.LET(
_xlpm.rango, INDIRECT("N!$C$" &amp; $BA$8 &amp; ":$DR$" &amp; $BA$9),
_xlpm.col, N$72+$D76*10,
INDEX(_xlpm.rango,$BA$4-3,_xlpm.col) +
INDEX(_xlpm.rango,$BA$4-2,_xlpm.col) +
INDEX(_xlpm.rango,$BA$4-1,_xlpm.col) +
INDEX(_xlpm.rango,$BA$4, _xlpm.col)
)</f>
        <v>#VALUE!</v>
      </c>
      <c r="O77" s="96" t="e" cm="1" vm="1">
        <f t="array" aca="1" ref="O77" ca="1">_xlfn.LET(
_xlpm.rango, INDIRECT("N!$C$" &amp; $BA$8 &amp; ":$DR$" &amp; $BA$9),
_xlpm.col, O$72+$D76*10,
INDEX(_xlpm.rango,$BA$4-3,_xlpm.col) +
INDEX(_xlpm.rango,$BA$4-2,_xlpm.col) +
INDEX(_xlpm.rango,$BA$4-1,_xlpm.col) +
INDEX(_xlpm.rango,$BA$4, _xlpm.col)
)</f>
        <v>#VALUE!</v>
      </c>
      <c r="P77" s="95" t="e" cm="1" vm="1">
        <f t="array" aca="1" ref="P77" ca="1">_xlfn.LET(
_xlpm.rango, INDIRECT("S!$C$" &amp; $BA$8 &amp; ":$DR$" &amp; $BA$9),
_xlpm.col, P$72+$D76*10,
INDEX(_xlpm.rango,$BA$4-3,_xlpm.col) +
INDEX(_xlpm.rango,$BA$4-2,_xlpm.col) +
INDEX(_xlpm.rango,$BA$4-1,_xlpm.col) +
INDEX(_xlpm.rango,$BA$4, _xlpm.col)
)</f>
        <v>#VALUE!</v>
      </c>
      <c r="Q77" s="95" t="e" cm="1" vm="1">
        <f t="array" aca="1" ref="Q77" ca="1">_xlfn.LET(
_xlpm.rango, INDIRECT("S!$C$" &amp; $BA$8 &amp; ":$DR$" &amp; $BA$9),
_xlpm.col, Q$72+$D76*10,
INDEX(_xlpm.rango,$BA$4-3,_xlpm.col) +
INDEX(_xlpm.rango,$BA$4-2,_xlpm.col) +
INDEX(_xlpm.rango,$BA$4-1,_xlpm.col) +
INDEX(_xlpm.rango,$BA$4, _xlpm.col)
)</f>
        <v>#VALUE!</v>
      </c>
      <c r="R77" s="95" t="e" cm="1" vm="1">
        <f t="array" aca="1" ref="R77" ca="1">_xlfn.LET(
_xlpm.rango, INDIRECT("S!$C$" &amp; $BA$8 &amp; ":$DR$" &amp; $BA$9),
_xlpm.col, R$72+$D76*10,
INDEX(_xlpm.rango,$BA$4-3,_xlpm.col) +
INDEX(_xlpm.rango,$BA$4-2,_xlpm.col) +
INDEX(_xlpm.rango,$BA$4-1,_xlpm.col) +
INDEX(_xlpm.rango,$BA$4, _xlpm.col)
)</f>
        <v>#VALUE!</v>
      </c>
      <c r="S77" s="95" t="e" cm="1" vm="1">
        <f t="array" aca="1" ref="S77" ca="1">_xlfn.LET(
_xlpm.rango, INDIRECT("S!$C$" &amp; $BA$8 &amp; ":$DR$" &amp; $BA$9),
_xlpm.col, S$72+$D76*10,
INDEX(_xlpm.rango,$BA$4-3,_xlpm.col) +
INDEX(_xlpm.rango,$BA$4-2,_xlpm.col) +
INDEX(_xlpm.rango,$BA$4-1,_xlpm.col) +
INDEX(_xlpm.rango,$BA$4, _xlpm.col)
)</f>
        <v>#VALUE!</v>
      </c>
      <c r="T77" s="95" t="e" cm="1" vm="1">
        <f t="array" aca="1" ref="T77" ca="1">_xlfn.LET(
_xlpm.rango, INDIRECT("S!$C$" &amp; $BA$8 &amp; ":$DR$" &amp; $BA$9),
_xlpm.col, T$72+$D76*10,
INDEX(_xlpm.rango,$BA$4-3,_xlpm.col) +
INDEX(_xlpm.rango,$BA$4-2,_xlpm.col) +
INDEX(_xlpm.rango,$BA$4-1,_xlpm.col) +
INDEX(_xlpm.rango,$BA$4, _xlpm.col)
)</f>
        <v>#VALUE!</v>
      </c>
      <c r="U77" s="95" t="e" cm="1" vm="1">
        <f t="array" aca="1" ref="U77" ca="1">_xlfn.LET(
_xlpm.rango, INDIRECT("S!$C$" &amp; $BA$8 &amp; ":$DR$" &amp; $BA$9),
_xlpm.col, U$72+$D76*10,
INDEX(_xlpm.rango,$BA$4-3,_xlpm.col) +
INDEX(_xlpm.rango,$BA$4-2,_xlpm.col) +
INDEX(_xlpm.rango,$BA$4-1,_xlpm.col) +
INDEX(_xlpm.rango,$BA$4, _xlpm.col)
)</f>
        <v>#VALUE!</v>
      </c>
      <c r="V77" s="95" t="e" cm="1" vm="1">
        <f t="array" aca="1" ref="V77" ca="1">_xlfn.LET(
_xlpm.rango, INDIRECT("S!$C$" &amp; $BA$8 &amp; ":$DR$" &amp; $BA$9),
_xlpm.col, V$72+$D76*10,
INDEX(_xlpm.rango,$BA$4-3,_xlpm.col) +
INDEX(_xlpm.rango,$BA$4-2,_xlpm.col) +
INDEX(_xlpm.rango,$BA$4-1,_xlpm.col) +
INDEX(_xlpm.rango,$BA$4, _xlpm.col)
)</f>
        <v>#VALUE!</v>
      </c>
      <c r="W77" s="95" t="e" cm="1" vm="1">
        <f t="array" aca="1" ref="W77" ca="1">_xlfn.LET(
_xlpm.rango, INDIRECT("S!$C$" &amp; $BA$8 &amp; ":$DR$" &amp; $BA$9),
_xlpm.col, W$72+$D76*10,
INDEX(_xlpm.rango,$BA$4-3,_xlpm.col) +
INDEX(_xlpm.rango,$BA$4-2,_xlpm.col) +
INDEX(_xlpm.rango,$BA$4-1,_xlpm.col) +
INDEX(_xlpm.rango,$BA$4, _xlpm.col)
)</f>
        <v>#VALUE!</v>
      </c>
      <c r="X77" s="95" t="e" cm="1" vm="1">
        <f t="array" aca="1" ref="X77" ca="1">_xlfn.LET(
_xlpm.rango, INDIRECT("S!$C$" &amp; $BA$8 &amp; ":$DR$" &amp; $BA$9),
_xlpm.col, X$72+$D76*10,
INDEX(_xlpm.rango,$BA$4-3,_xlpm.col) +
INDEX(_xlpm.rango,$BA$4-2,_xlpm.col) +
INDEX(_xlpm.rango,$BA$4-1,_xlpm.col) +
INDEX(_xlpm.rango,$BA$4, _xlpm.col)
)</f>
        <v>#VALUE!</v>
      </c>
      <c r="Y77" s="95" t="e" cm="1" vm="1">
        <f t="array" aca="1" ref="Y77" ca="1">_xlfn.LET(
_xlpm.rango, INDIRECT("S!$C$" &amp; $BA$8 &amp; ":$DR$" &amp; $BA$9),
_xlpm.col, Y$72+$D76*10,
INDEX(_xlpm.rango,$BA$4-3,_xlpm.col) +
INDEX(_xlpm.rango,$BA$4-2,_xlpm.col) +
INDEX(_xlpm.rango,$BA$4-1,_xlpm.col) +
INDEX(_xlpm.rango,$BA$4, _xlpm.col)
)</f>
        <v>#VALUE!</v>
      </c>
      <c r="Z77" s="100" t="e" cm="1" vm="1">
        <f t="array" aca="1" ref="Z77" ca="1">_xlfn.LET(
_xlpm.rango, INDIRECT("E!$C$" &amp; $BA$8 &amp; ":$DR$" &amp; $BA$9),
_xlpm.col, Z$72+$D76*10,
INDEX(_xlpm.rango,$BA$4-3,_xlpm.col) +
INDEX(_xlpm.rango,$BA$4-2,_xlpm.col) +
INDEX(_xlpm.rango,$BA$4-1,_xlpm.col) +
INDEX(_xlpm.rango,$BA$4, _xlpm.col)
)</f>
        <v>#VALUE!</v>
      </c>
      <c r="AA77" s="95" t="e" cm="1" vm="1">
        <f t="array" aca="1" ref="AA77" ca="1">_xlfn.LET(
_xlpm.rango, INDIRECT("E!$C$" &amp; $BA$8 &amp; ":$DR$" &amp; $BA$9),
_xlpm.col, AA$72+$D76*10,
INDEX(_xlpm.rango,$BA$4-3,_xlpm.col) +
INDEX(_xlpm.rango,$BA$4-2,_xlpm.col) +
INDEX(_xlpm.rango,$BA$4-1,_xlpm.col) +
INDEX(_xlpm.rango,$BA$4, _xlpm.col)
)</f>
        <v>#VALUE!</v>
      </c>
      <c r="AB77" s="95" t="e" cm="1" vm="1">
        <f t="array" aca="1" ref="AB77" ca="1">_xlfn.LET(
_xlpm.rango, INDIRECT("E!$C$" &amp; $BA$8 &amp; ":$DR$" &amp; $BA$9),
_xlpm.col, AB$72+$D76*10,
INDEX(_xlpm.rango,$BA$4-3,_xlpm.col) +
INDEX(_xlpm.rango,$BA$4-2,_xlpm.col) +
INDEX(_xlpm.rango,$BA$4-1,_xlpm.col) +
INDEX(_xlpm.rango,$BA$4, _xlpm.col)
)</f>
        <v>#VALUE!</v>
      </c>
      <c r="AC77" s="95" t="e" cm="1" vm="1">
        <f t="array" aca="1" ref="AC77" ca="1">_xlfn.LET(
_xlpm.rango, INDIRECT("E!$C$" &amp; $BA$8 &amp; ":$DR$" &amp; $BA$9),
_xlpm.col, AC$72+$D76*10,
INDEX(_xlpm.rango,$BA$4-3,_xlpm.col) +
INDEX(_xlpm.rango,$BA$4-2,_xlpm.col) +
INDEX(_xlpm.rango,$BA$4-1,_xlpm.col) +
INDEX(_xlpm.rango,$BA$4, _xlpm.col)
)</f>
        <v>#VALUE!</v>
      </c>
      <c r="AD77" s="95" t="e" cm="1" vm="1">
        <f t="array" aca="1" ref="AD77" ca="1">_xlfn.LET(
_xlpm.rango, INDIRECT("E!$C$" &amp; $BA$8 &amp; ":$DR$" &amp; $BA$9),
_xlpm.col, AD$72+$D76*10,
INDEX(_xlpm.rango,$BA$4-3,_xlpm.col) +
INDEX(_xlpm.rango,$BA$4-2,_xlpm.col) +
INDEX(_xlpm.rango,$BA$4-1,_xlpm.col) +
INDEX(_xlpm.rango,$BA$4, _xlpm.col)
)</f>
        <v>#VALUE!</v>
      </c>
      <c r="AE77" s="95" t="e" cm="1" vm="1">
        <f t="array" aca="1" ref="AE77" ca="1">_xlfn.LET(
_xlpm.rango, INDIRECT("E!$C$" &amp; $BA$8 &amp; ":$DR$" &amp; $BA$9),
_xlpm.col, AE$72+$D76*10,
INDEX(_xlpm.rango,$BA$4-3,_xlpm.col) +
INDEX(_xlpm.rango,$BA$4-2,_xlpm.col) +
INDEX(_xlpm.rango,$BA$4-1,_xlpm.col) +
INDEX(_xlpm.rango,$BA$4, _xlpm.col)
)</f>
        <v>#VALUE!</v>
      </c>
      <c r="AF77" s="95" t="e" cm="1" vm="1">
        <f t="array" aca="1" ref="AF77" ca="1">_xlfn.LET(
_xlpm.rango, INDIRECT("E!$C$" &amp; $BA$8 &amp; ":$DR$" &amp; $BA$9),
_xlpm.col, AF$72+$D76*10,
INDEX(_xlpm.rango,$BA$4-3,_xlpm.col) +
INDEX(_xlpm.rango,$BA$4-2,_xlpm.col) +
INDEX(_xlpm.rango,$BA$4-1,_xlpm.col) +
INDEX(_xlpm.rango,$BA$4, _xlpm.col)
)</f>
        <v>#VALUE!</v>
      </c>
      <c r="AG77" s="95" t="e" cm="1" vm="1">
        <f t="array" aca="1" ref="AG77" ca="1">_xlfn.LET(
_xlpm.rango, INDIRECT("E!$C$" &amp; $BA$8 &amp; ":$DR$" &amp; $BA$9),
_xlpm.col, AG$72+$D76*10,
INDEX(_xlpm.rango,$BA$4-3,_xlpm.col) +
INDEX(_xlpm.rango,$BA$4-2,_xlpm.col) +
INDEX(_xlpm.rango,$BA$4-1,_xlpm.col) +
INDEX(_xlpm.rango,$BA$4, _xlpm.col)
)</f>
        <v>#VALUE!</v>
      </c>
      <c r="AH77" s="95" t="e" cm="1" vm="1">
        <f t="array" aca="1" ref="AH77" ca="1">_xlfn.LET(
_xlpm.rango, INDIRECT("E!$C$" &amp; $BA$8 &amp; ":$DR$" &amp; $BA$9),
_xlpm.col, AH$72+$D76*10,
INDEX(_xlpm.rango,$BA$4-3,_xlpm.col) +
INDEX(_xlpm.rango,$BA$4-2,_xlpm.col) +
INDEX(_xlpm.rango,$BA$4-1,_xlpm.col) +
INDEX(_xlpm.rango,$BA$4, _xlpm.col)
)</f>
        <v>#VALUE!</v>
      </c>
      <c r="AI77" s="96" t="e" cm="1" vm="1">
        <f t="array" aca="1" ref="AI77" ca="1">_xlfn.LET(
_xlpm.rango, INDIRECT("E!$C$" &amp; $BA$8 &amp; ":$DR$" &amp; $BA$9),
_xlpm.col, AI$72+$D76*10,
INDEX(_xlpm.rango,$BA$4-3,_xlpm.col) +
INDEX(_xlpm.rango,$BA$4-2,_xlpm.col) +
INDEX(_xlpm.rango,$BA$4-1,_xlpm.col) +
INDEX(_xlpm.rango,$BA$4, _xlpm.col)
)</f>
        <v>#VALUE!</v>
      </c>
      <c r="AJ77" s="95" t="e" cm="1" vm="1">
        <f t="array" aca="1" ref="AJ77" ca="1">_xlfn.LET(
_xlpm.rango, INDIRECT("E!$C$" &amp; $BA$8 &amp; ":$DR$" &amp; $BA$9),
_xlpm.col, AJ$72+$D76*10,
INDEX(_xlpm.rango,$BA$4-3,_xlpm.col) +
INDEX(_xlpm.rango,$BA$4-2,_xlpm.col) +
INDEX(_xlpm.rango,$BA$4-1,_xlpm.col) +
INDEX(_xlpm.rango,$BA$4, _xlpm.col)
)</f>
        <v>#VALUE!</v>
      </c>
      <c r="AK77" s="95" t="e" cm="1" vm="1">
        <f t="array" aca="1" ref="AK77" ca="1">_xlfn.LET(
_xlpm.rango, INDIRECT("E!$C$" &amp; $BA$8 &amp; ":$DR$" &amp; $BA$9),
_xlpm.col, AK$72+$D76*10,
INDEX(_xlpm.rango,$BA$4-3,_xlpm.col) +
INDEX(_xlpm.rango,$BA$4-2,_xlpm.col) +
INDEX(_xlpm.rango,$BA$4-1,_xlpm.col) +
INDEX(_xlpm.rango,$BA$4, _xlpm.col)
)</f>
        <v>#VALUE!</v>
      </c>
      <c r="AL77" s="95" t="e" cm="1" vm="1">
        <f t="array" aca="1" ref="AL77" ca="1">_xlfn.LET(
_xlpm.rango, INDIRECT("E!$C$" &amp; $BA$8 &amp; ":$DR$" &amp; $BA$9),
_xlpm.col, AL$72+$D76*10,
INDEX(_xlpm.rango,$BA$4-3,_xlpm.col) +
INDEX(_xlpm.rango,$BA$4-2,_xlpm.col) +
INDEX(_xlpm.rango,$BA$4-1,_xlpm.col) +
INDEX(_xlpm.rango,$BA$4, _xlpm.col)
)</f>
        <v>#VALUE!</v>
      </c>
      <c r="AM77" s="95" t="e" cm="1" vm="1">
        <f t="array" aca="1" ref="AM77" ca="1">_xlfn.LET(
_xlpm.rango, INDIRECT("E!$C$" &amp; $BA$8 &amp; ":$DR$" &amp; $BA$9),
_xlpm.col, AM$72+$D76*10,
INDEX(_xlpm.rango,$BA$4-3,_xlpm.col) +
INDEX(_xlpm.rango,$BA$4-2,_xlpm.col) +
INDEX(_xlpm.rango,$BA$4-1,_xlpm.col) +
INDEX(_xlpm.rango,$BA$4, _xlpm.col)
)</f>
        <v>#VALUE!</v>
      </c>
      <c r="AN77" s="95" t="e" cm="1" vm="1">
        <f t="array" aca="1" ref="AN77" ca="1">_xlfn.LET(
_xlpm.rango, INDIRECT("E!$C$" &amp; $BA$8 &amp; ":$DR$" &amp; $BA$9),
_xlpm.col, AN$72+$D76*10,
INDEX(_xlpm.rango,$BA$4-3,_xlpm.col) +
INDEX(_xlpm.rango,$BA$4-2,_xlpm.col) +
INDEX(_xlpm.rango,$BA$4-1,_xlpm.col) +
INDEX(_xlpm.rango,$BA$4, _xlpm.col)
)</f>
        <v>#VALUE!</v>
      </c>
      <c r="AO77" s="95" t="e" cm="1" vm="1">
        <f t="array" aca="1" ref="AO77" ca="1">_xlfn.LET(
_xlpm.rango, INDIRECT("E!$C$" &amp; $BA$8 &amp; ":$DR$" &amp; $BA$9),
_xlpm.col, AO$72+$D76*10,
INDEX(_xlpm.rango,$BA$4-3,_xlpm.col) +
INDEX(_xlpm.rango,$BA$4-2,_xlpm.col) +
INDEX(_xlpm.rango,$BA$4-1,_xlpm.col) +
INDEX(_xlpm.rango,$BA$4, _xlpm.col)
)</f>
        <v>#VALUE!</v>
      </c>
      <c r="AP77" s="95" t="e" cm="1" vm="1">
        <f t="array" aca="1" ref="AP77" ca="1">_xlfn.LET(
_xlpm.rango, INDIRECT("E!$C$" &amp; $BA$8 &amp; ":$DR$" &amp; $BA$9),
_xlpm.col, AP$72+$D76*10,
INDEX(_xlpm.rango,$BA$4-3,_xlpm.col) +
INDEX(_xlpm.rango,$BA$4-2,_xlpm.col) +
INDEX(_xlpm.rango,$BA$4-1,_xlpm.col) +
INDEX(_xlpm.rango,$BA$4, _xlpm.col)
)</f>
        <v>#VALUE!</v>
      </c>
      <c r="AQ77" s="95" t="e" cm="1" vm="1">
        <f t="array" aca="1" ref="AQ77" ca="1">_xlfn.LET(
_xlpm.rango, INDIRECT("E!$C$" &amp; $BA$8 &amp; ":$DR$" &amp; $BA$9),
_xlpm.col, AQ$72+$D76*10,
INDEX(_xlpm.rango,$BA$4-3,_xlpm.col) +
INDEX(_xlpm.rango,$BA$4-2,_xlpm.col) +
INDEX(_xlpm.rango,$BA$4-1,_xlpm.col) +
INDEX(_xlpm.rango,$BA$4, _xlpm.col)
)</f>
        <v>#VALUE!</v>
      </c>
      <c r="AR77" s="95" t="e" cm="1" vm="1">
        <f t="array" aca="1" ref="AR77" ca="1">_xlfn.LET(
_xlpm.rango, INDIRECT("E!$C$" &amp; $BA$8 &amp; ":$DR$" &amp; $BA$9),
_xlpm.col, AR$72+$D76*10,
INDEX(_xlpm.rango,$BA$4-3,_xlpm.col) +
INDEX(_xlpm.rango,$BA$4-2,_xlpm.col) +
INDEX(_xlpm.rango,$BA$4-1,_xlpm.col) +
INDEX(_xlpm.rango,$BA$4, _xlpm.col)
)</f>
        <v>#VALUE!</v>
      </c>
      <c r="AS77" s="112" t="e" cm="1" vm="1">
        <f t="array" aca="1" ref="AS77" ca="1">_xlfn.LET(
_xlpm.rango, INDIRECT("E!$C$" &amp; $BA$8 &amp; ":$DR$" &amp; $BA$9),
_xlpm.col, AS$72+$D76*10,
INDEX(_xlpm.rango,$BA$4-3,_xlpm.col) +
INDEX(_xlpm.rango,$BA$4-2,_xlpm.col) +
INDEX(_xlpm.rango,$BA$4-1,_xlpm.col) +
INDEX(_xlpm.rango,$BA$4, _xlpm.col)
)</f>
        <v>#VALUE!</v>
      </c>
      <c r="AT77" s="118" t="e" vm="2">
        <f t="shared" ref="AT77:AT87" ca="1" si="0">SUM(F77:AS77)</f>
        <v>#VALUE!</v>
      </c>
      <c r="AU77" s="120" t="e" vm="2">
        <f t="shared" ref="AU77:AU87" ca="1" si="1">AT77/$AT$88</f>
        <v>#VALUE!</v>
      </c>
    </row>
    <row r="78" spans="4:47" x14ac:dyDescent="0.25">
      <c r="D78">
        <v>3</v>
      </c>
      <c r="E78" s="106" t="str">
        <f>Inicio!V6</f>
        <v>Bus</v>
      </c>
      <c r="F78" s="100" t="e" cm="1" vm="1">
        <f t="array" aca="1" ref="F78" ca="1">_xlfn.LET(
_xlpm.rango, INDIRECT("N!$C$" &amp; $BA$8 &amp; ":$DR$" &amp; $BA$9),
_xlpm.col, F$72+$D77*10,
INDEX(_xlpm.rango,$BA$4-3,_xlpm.col) +
INDEX(_xlpm.rango,$BA$4-2,_xlpm.col) +
INDEX(_xlpm.rango,$BA$4-1,_xlpm.col) +
INDEX(_xlpm.rango,$BA$4, _xlpm.col)
)</f>
        <v>#VALUE!</v>
      </c>
      <c r="G78" s="95" t="e" cm="1" vm="1">
        <f t="array" aca="1" ref="G78" ca="1">_xlfn.LET(
_xlpm.rango, INDIRECT("N!$C$" &amp; $BA$8 &amp; ":$DR$" &amp; $BA$9),
_xlpm.col, G$72+$D77*10,
INDEX(_xlpm.rango,$BA$4-3,_xlpm.col) +
INDEX(_xlpm.rango,$BA$4-2,_xlpm.col) +
INDEX(_xlpm.rango,$BA$4-1,_xlpm.col) +
INDEX(_xlpm.rango,$BA$4, _xlpm.col)
)</f>
        <v>#VALUE!</v>
      </c>
      <c r="H78" s="95" t="e" cm="1" vm="1">
        <f t="array" aca="1" ref="H78" ca="1">_xlfn.LET(
_xlpm.rango, INDIRECT("N!$C$" &amp; $BA$8 &amp; ":$DR$" &amp; $BA$9),
_xlpm.col, H$72+$D77*10,
INDEX(_xlpm.rango,$BA$4-3,_xlpm.col) +
INDEX(_xlpm.rango,$BA$4-2,_xlpm.col) +
INDEX(_xlpm.rango,$BA$4-1,_xlpm.col) +
INDEX(_xlpm.rango,$BA$4, _xlpm.col)
)</f>
        <v>#VALUE!</v>
      </c>
      <c r="I78" s="95" t="e" cm="1" vm="1">
        <f t="array" aca="1" ref="I78" ca="1">_xlfn.LET(
_xlpm.rango, INDIRECT("N!$C$" &amp; $BA$8 &amp; ":$DR$" &amp; $BA$9),
_xlpm.col, I$72+$D77*10,
INDEX(_xlpm.rango,$BA$4-3,_xlpm.col) +
INDEX(_xlpm.rango,$BA$4-2,_xlpm.col) +
INDEX(_xlpm.rango,$BA$4-1,_xlpm.col) +
INDEX(_xlpm.rango,$BA$4, _xlpm.col)
)</f>
        <v>#VALUE!</v>
      </c>
      <c r="J78" s="95" t="e" cm="1" vm="1">
        <f t="array" aca="1" ref="J78" ca="1">_xlfn.LET(
_xlpm.rango, INDIRECT("N!$C$" &amp; $BA$8 &amp; ":$DR$" &amp; $BA$9),
_xlpm.col, J$72+$D77*10,
INDEX(_xlpm.rango,$BA$4-3,_xlpm.col) +
INDEX(_xlpm.rango,$BA$4-2,_xlpm.col) +
INDEX(_xlpm.rango,$BA$4-1,_xlpm.col) +
INDEX(_xlpm.rango,$BA$4, _xlpm.col)
)</f>
        <v>#VALUE!</v>
      </c>
      <c r="K78" s="95" t="e" cm="1" vm="1">
        <f t="array" aca="1" ref="K78" ca="1">_xlfn.LET(
_xlpm.rango, INDIRECT("N!$C$" &amp; $BA$8 &amp; ":$DR$" &amp; $BA$9),
_xlpm.col, K$72+$D77*10,
INDEX(_xlpm.rango,$BA$4-3,_xlpm.col) +
INDEX(_xlpm.rango,$BA$4-2,_xlpm.col) +
INDEX(_xlpm.rango,$BA$4-1,_xlpm.col) +
INDEX(_xlpm.rango,$BA$4, _xlpm.col)
)</f>
        <v>#VALUE!</v>
      </c>
      <c r="L78" s="95" t="e" cm="1" vm="1">
        <f t="array" aca="1" ref="L78" ca="1">_xlfn.LET(
_xlpm.rango, INDIRECT("N!$C$" &amp; $BA$8 &amp; ":$DR$" &amp; $BA$9),
_xlpm.col, L$72+$D77*10,
INDEX(_xlpm.rango,$BA$4-3,_xlpm.col) +
INDEX(_xlpm.rango,$BA$4-2,_xlpm.col) +
INDEX(_xlpm.rango,$BA$4-1,_xlpm.col) +
INDEX(_xlpm.rango,$BA$4, _xlpm.col)
)</f>
        <v>#VALUE!</v>
      </c>
      <c r="M78" s="95" t="e" cm="1" vm="1">
        <f t="array" aca="1" ref="M78" ca="1">_xlfn.LET(
_xlpm.rango, INDIRECT("N!$C$" &amp; $BA$8 &amp; ":$DR$" &amp; $BA$9),
_xlpm.col, M$72+$D77*10,
INDEX(_xlpm.rango,$BA$4-3,_xlpm.col) +
INDEX(_xlpm.rango,$BA$4-2,_xlpm.col) +
INDEX(_xlpm.rango,$BA$4-1,_xlpm.col) +
INDEX(_xlpm.rango,$BA$4, _xlpm.col)
)</f>
        <v>#VALUE!</v>
      </c>
      <c r="N78" s="95" t="e" cm="1" vm="1">
        <f t="array" aca="1" ref="N78" ca="1">_xlfn.LET(
_xlpm.rango, INDIRECT("N!$C$" &amp; $BA$8 &amp; ":$DR$" &amp; $BA$9),
_xlpm.col, N$72+$D77*10,
INDEX(_xlpm.rango,$BA$4-3,_xlpm.col) +
INDEX(_xlpm.rango,$BA$4-2,_xlpm.col) +
INDEX(_xlpm.rango,$BA$4-1,_xlpm.col) +
INDEX(_xlpm.rango,$BA$4, _xlpm.col)
)</f>
        <v>#VALUE!</v>
      </c>
      <c r="O78" s="96" t="e" cm="1" vm="1">
        <f t="array" aca="1" ref="O78" ca="1">_xlfn.LET(
_xlpm.rango, INDIRECT("N!$C$" &amp; $BA$8 &amp; ":$DR$" &amp; $BA$9),
_xlpm.col, O$72+$D77*10,
INDEX(_xlpm.rango,$BA$4-3,_xlpm.col) +
INDEX(_xlpm.rango,$BA$4-2,_xlpm.col) +
INDEX(_xlpm.rango,$BA$4-1,_xlpm.col) +
INDEX(_xlpm.rango,$BA$4, _xlpm.col)
)</f>
        <v>#VALUE!</v>
      </c>
      <c r="P78" s="95" t="e" cm="1" vm="1">
        <f t="array" aca="1" ref="P78" ca="1">_xlfn.LET(
_xlpm.rango, INDIRECT("S!$C$" &amp; $BA$8 &amp; ":$DR$" &amp; $BA$9),
_xlpm.col, P$72+$D77*10,
INDEX(_xlpm.rango,$BA$4-3,_xlpm.col) +
INDEX(_xlpm.rango,$BA$4-2,_xlpm.col) +
INDEX(_xlpm.rango,$BA$4-1,_xlpm.col) +
INDEX(_xlpm.rango,$BA$4, _xlpm.col)
)</f>
        <v>#VALUE!</v>
      </c>
      <c r="Q78" s="95" t="e" cm="1" vm="1">
        <f t="array" aca="1" ref="Q78" ca="1">_xlfn.LET(
_xlpm.rango, INDIRECT("S!$C$" &amp; $BA$8 &amp; ":$DR$" &amp; $BA$9),
_xlpm.col, Q$72+$D77*10,
INDEX(_xlpm.rango,$BA$4-3,_xlpm.col) +
INDEX(_xlpm.rango,$BA$4-2,_xlpm.col) +
INDEX(_xlpm.rango,$BA$4-1,_xlpm.col) +
INDEX(_xlpm.rango,$BA$4, _xlpm.col)
)</f>
        <v>#VALUE!</v>
      </c>
      <c r="R78" s="95" t="e" cm="1" vm="1">
        <f t="array" aca="1" ref="R78" ca="1">_xlfn.LET(
_xlpm.rango, INDIRECT("S!$C$" &amp; $BA$8 &amp; ":$DR$" &amp; $BA$9),
_xlpm.col, R$72+$D77*10,
INDEX(_xlpm.rango,$BA$4-3,_xlpm.col) +
INDEX(_xlpm.rango,$BA$4-2,_xlpm.col) +
INDEX(_xlpm.rango,$BA$4-1,_xlpm.col) +
INDEX(_xlpm.rango,$BA$4, _xlpm.col)
)</f>
        <v>#VALUE!</v>
      </c>
      <c r="S78" s="95" t="e" cm="1" vm="1">
        <f t="array" aca="1" ref="S78" ca="1">_xlfn.LET(
_xlpm.rango, INDIRECT("S!$C$" &amp; $BA$8 &amp; ":$DR$" &amp; $BA$9),
_xlpm.col, S$72+$D77*10,
INDEX(_xlpm.rango,$BA$4-3,_xlpm.col) +
INDEX(_xlpm.rango,$BA$4-2,_xlpm.col) +
INDEX(_xlpm.rango,$BA$4-1,_xlpm.col) +
INDEX(_xlpm.rango,$BA$4, _xlpm.col)
)</f>
        <v>#VALUE!</v>
      </c>
      <c r="T78" s="95" t="e" cm="1" vm="1">
        <f t="array" aca="1" ref="T78" ca="1">_xlfn.LET(
_xlpm.rango, INDIRECT("S!$C$" &amp; $BA$8 &amp; ":$DR$" &amp; $BA$9),
_xlpm.col, T$72+$D77*10,
INDEX(_xlpm.rango,$BA$4-3,_xlpm.col) +
INDEX(_xlpm.rango,$BA$4-2,_xlpm.col) +
INDEX(_xlpm.rango,$BA$4-1,_xlpm.col) +
INDEX(_xlpm.rango,$BA$4, _xlpm.col)
)</f>
        <v>#VALUE!</v>
      </c>
      <c r="U78" s="95" t="e" cm="1" vm="1">
        <f t="array" aca="1" ref="U78" ca="1">_xlfn.LET(
_xlpm.rango, INDIRECT("S!$C$" &amp; $BA$8 &amp; ":$DR$" &amp; $BA$9),
_xlpm.col, U$72+$D77*10,
INDEX(_xlpm.rango,$BA$4-3,_xlpm.col) +
INDEX(_xlpm.rango,$BA$4-2,_xlpm.col) +
INDEX(_xlpm.rango,$BA$4-1,_xlpm.col) +
INDEX(_xlpm.rango,$BA$4, _xlpm.col)
)</f>
        <v>#VALUE!</v>
      </c>
      <c r="V78" s="95" t="e" cm="1" vm="1">
        <f t="array" aca="1" ref="V78" ca="1">_xlfn.LET(
_xlpm.rango, INDIRECT("S!$C$" &amp; $BA$8 &amp; ":$DR$" &amp; $BA$9),
_xlpm.col, V$72+$D77*10,
INDEX(_xlpm.rango,$BA$4-3,_xlpm.col) +
INDEX(_xlpm.rango,$BA$4-2,_xlpm.col) +
INDEX(_xlpm.rango,$BA$4-1,_xlpm.col) +
INDEX(_xlpm.rango,$BA$4, _xlpm.col)
)</f>
        <v>#VALUE!</v>
      </c>
      <c r="W78" s="95" t="e" cm="1" vm="1">
        <f t="array" aca="1" ref="W78" ca="1">_xlfn.LET(
_xlpm.rango, INDIRECT("S!$C$" &amp; $BA$8 &amp; ":$DR$" &amp; $BA$9),
_xlpm.col, W$72+$D77*10,
INDEX(_xlpm.rango,$BA$4-3,_xlpm.col) +
INDEX(_xlpm.rango,$BA$4-2,_xlpm.col) +
INDEX(_xlpm.rango,$BA$4-1,_xlpm.col) +
INDEX(_xlpm.rango,$BA$4, _xlpm.col)
)</f>
        <v>#VALUE!</v>
      </c>
      <c r="X78" s="95" t="e" cm="1" vm="1">
        <f t="array" aca="1" ref="X78" ca="1">_xlfn.LET(
_xlpm.rango, INDIRECT("S!$C$" &amp; $BA$8 &amp; ":$DR$" &amp; $BA$9),
_xlpm.col, X$72+$D77*10,
INDEX(_xlpm.rango,$BA$4-3,_xlpm.col) +
INDEX(_xlpm.rango,$BA$4-2,_xlpm.col) +
INDEX(_xlpm.rango,$BA$4-1,_xlpm.col) +
INDEX(_xlpm.rango,$BA$4, _xlpm.col)
)</f>
        <v>#VALUE!</v>
      </c>
      <c r="Y78" s="95" t="e" cm="1" vm="1">
        <f t="array" aca="1" ref="Y78" ca="1">_xlfn.LET(
_xlpm.rango, INDIRECT("S!$C$" &amp; $BA$8 &amp; ":$DR$" &amp; $BA$9),
_xlpm.col, Y$72+$D77*10,
INDEX(_xlpm.rango,$BA$4-3,_xlpm.col) +
INDEX(_xlpm.rango,$BA$4-2,_xlpm.col) +
INDEX(_xlpm.rango,$BA$4-1,_xlpm.col) +
INDEX(_xlpm.rango,$BA$4, _xlpm.col)
)</f>
        <v>#VALUE!</v>
      </c>
      <c r="Z78" s="100" t="e" cm="1" vm="1">
        <f t="array" aca="1" ref="Z78" ca="1">_xlfn.LET(
_xlpm.rango, INDIRECT("E!$C$" &amp; $BA$8 &amp; ":$DR$" &amp; $BA$9),
_xlpm.col, Z$72+$D77*10,
INDEX(_xlpm.rango,$BA$4-3,_xlpm.col) +
INDEX(_xlpm.rango,$BA$4-2,_xlpm.col) +
INDEX(_xlpm.rango,$BA$4-1,_xlpm.col) +
INDEX(_xlpm.rango,$BA$4, _xlpm.col)
)</f>
        <v>#VALUE!</v>
      </c>
      <c r="AA78" s="95" t="e" cm="1" vm="1">
        <f t="array" aca="1" ref="AA78" ca="1">_xlfn.LET(
_xlpm.rango, INDIRECT("E!$C$" &amp; $BA$8 &amp; ":$DR$" &amp; $BA$9),
_xlpm.col, AA$72+$D77*10,
INDEX(_xlpm.rango,$BA$4-3,_xlpm.col) +
INDEX(_xlpm.rango,$BA$4-2,_xlpm.col) +
INDEX(_xlpm.rango,$BA$4-1,_xlpm.col) +
INDEX(_xlpm.rango,$BA$4, _xlpm.col)
)</f>
        <v>#VALUE!</v>
      </c>
      <c r="AB78" s="95" t="e" cm="1" vm="1">
        <f t="array" aca="1" ref="AB78" ca="1">_xlfn.LET(
_xlpm.rango, INDIRECT("E!$C$" &amp; $BA$8 &amp; ":$DR$" &amp; $BA$9),
_xlpm.col, AB$72+$D77*10,
INDEX(_xlpm.rango,$BA$4-3,_xlpm.col) +
INDEX(_xlpm.rango,$BA$4-2,_xlpm.col) +
INDEX(_xlpm.rango,$BA$4-1,_xlpm.col) +
INDEX(_xlpm.rango,$BA$4, _xlpm.col)
)</f>
        <v>#VALUE!</v>
      </c>
      <c r="AC78" s="95" t="e" cm="1" vm="1">
        <f t="array" aca="1" ref="AC78" ca="1">_xlfn.LET(
_xlpm.rango, INDIRECT("E!$C$" &amp; $BA$8 &amp; ":$DR$" &amp; $BA$9),
_xlpm.col, AC$72+$D77*10,
INDEX(_xlpm.rango,$BA$4-3,_xlpm.col) +
INDEX(_xlpm.rango,$BA$4-2,_xlpm.col) +
INDEX(_xlpm.rango,$BA$4-1,_xlpm.col) +
INDEX(_xlpm.rango,$BA$4, _xlpm.col)
)</f>
        <v>#VALUE!</v>
      </c>
      <c r="AD78" s="95" t="e" cm="1" vm="1">
        <f t="array" aca="1" ref="AD78" ca="1">_xlfn.LET(
_xlpm.rango, INDIRECT("E!$C$" &amp; $BA$8 &amp; ":$DR$" &amp; $BA$9),
_xlpm.col, AD$72+$D77*10,
INDEX(_xlpm.rango,$BA$4-3,_xlpm.col) +
INDEX(_xlpm.rango,$BA$4-2,_xlpm.col) +
INDEX(_xlpm.rango,$BA$4-1,_xlpm.col) +
INDEX(_xlpm.rango,$BA$4, _xlpm.col)
)</f>
        <v>#VALUE!</v>
      </c>
      <c r="AE78" s="95" t="e" cm="1" vm="1">
        <f t="array" aca="1" ref="AE78" ca="1">_xlfn.LET(
_xlpm.rango, INDIRECT("E!$C$" &amp; $BA$8 &amp; ":$DR$" &amp; $BA$9),
_xlpm.col, AE$72+$D77*10,
INDEX(_xlpm.rango,$BA$4-3,_xlpm.col) +
INDEX(_xlpm.rango,$BA$4-2,_xlpm.col) +
INDEX(_xlpm.rango,$BA$4-1,_xlpm.col) +
INDEX(_xlpm.rango,$BA$4, _xlpm.col)
)</f>
        <v>#VALUE!</v>
      </c>
      <c r="AF78" s="95" t="e" cm="1" vm="1">
        <f t="array" aca="1" ref="AF78" ca="1">_xlfn.LET(
_xlpm.rango, INDIRECT("E!$C$" &amp; $BA$8 &amp; ":$DR$" &amp; $BA$9),
_xlpm.col, AF$72+$D77*10,
INDEX(_xlpm.rango,$BA$4-3,_xlpm.col) +
INDEX(_xlpm.rango,$BA$4-2,_xlpm.col) +
INDEX(_xlpm.rango,$BA$4-1,_xlpm.col) +
INDEX(_xlpm.rango,$BA$4, _xlpm.col)
)</f>
        <v>#VALUE!</v>
      </c>
      <c r="AG78" s="95" t="e" cm="1" vm="1">
        <f t="array" aca="1" ref="AG78" ca="1">_xlfn.LET(
_xlpm.rango, INDIRECT("E!$C$" &amp; $BA$8 &amp; ":$DR$" &amp; $BA$9),
_xlpm.col, AG$72+$D77*10,
INDEX(_xlpm.rango,$BA$4-3,_xlpm.col) +
INDEX(_xlpm.rango,$BA$4-2,_xlpm.col) +
INDEX(_xlpm.rango,$BA$4-1,_xlpm.col) +
INDEX(_xlpm.rango,$BA$4, _xlpm.col)
)</f>
        <v>#VALUE!</v>
      </c>
      <c r="AH78" s="95" t="e" cm="1" vm="1">
        <f t="array" aca="1" ref="AH78" ca="1">_xlfn.LET(
_xlpm.rango, INDIRECT("E!$C$" &amp; $BA$8 &amp; ":$DR$" &amp; $BA$9),
_xlpm.col, AH$72+$D77*10,
INDEX(_xlpm.rango,$BA$4-3,_xlpm.col) +
INDEX(_xlpm.rango,$BA$4-2,_xlpm.col) +
INDEX(_xlpm.rango,$BA$4-1,_xlpm.col) +
INDEX(_xlpm.rango,$BA$4, _xlpm.col)
)</f>
        <v>#VALUE!</v>
      </c>
      <c r="AI78" s="96" t="e" cm="1" vm="1">
        <f t="array" aca="1" ref="AI78" ca="1">_xlfn.LET(
_xlpm.rango, INDIRECT("E!$C$" &amp; $BA$8 &amp; ":$DR$" &amp; $BA$9),
_xlpm.col, AI$72+$D77*10,
INDEX(_xlpm.rango,$BA$4-3,_xlpm.col) +
INDEX(_xlpm.rango,$BA$4-2,_xlpm.col) +
INDEX(_xlpm.rango,$BA$4-1,_xlpm.col) +
INDEX(_xlpm.rango,$BA$4, _xlpm.col)
)</f>
        <v>#VALUE!</v>
      </c>
      <c r="AJ78" s="95" t="e" cm="1" vm="1">
        <f t="array" aca="1" ref="AJ78" ca="1">_xlfn.LET(
_xlpm.rango, INDIRECT("E!$C$" &amp; $BA$8 &amp; ":$DR$" &amp; $BA$9),
_xlpm.col, AJ$72+$D77*10,
INDEX(_xlpm.rango,$BA$4-3,_xlpm.col) +
INDEX(_xlpm.rango,$BA$4-2,_xlpm.col) +
INDEX(_xlpm.rango,$BA$4-1,_xlpm.col) +
INDEX(_xlpm.rango,$BA$4, _xlpm.col)
)</f>
        <v>#VALUE!</v>
      </c>
      <c r="AK78" s="95" t="e" cm="1" vm="1">
        <f t="array" aca="1" ref="AK78" ca="1">_xlfn.LET(
_xlpm.rango, INDIRECT("E!$C$" &amp; $BA$8 &amp; ":$DR$" &amp; $BA$9),
_xlpm.col, AK$72+$D77*10,
INDEX(_xlpm.rango,$BA$4-3,_xlpm.col) +
INDEX(_xlpm.rango,$BA$4-2,_xlpm.col) +
INDEX(_xlpm.rango,$BA$4-1,_xlpm.col) +
INDEX(_xlpm.rango,$BA$4, _xlpm.col)
)</f>
        <v>#VALUE!</v>
      </c>
      <c r="AL78" s="95" t="e" cm="1" vm="1">
        <f t="array" aca="1" ref="AL78" ca="1">_xlfn.LET(
_xlpm.rango, INDIRECT("E!$C$" &amp; $BA$8 &amp; ":$DR$" &amp; $BA$9),
_xlpm.col, AL$72+$D77*10,
INDEX(_xlpm.rango,$BA$4-3,_xlpm.col) +
INDEX(_xlpm.rango,$BA$4-2,_xlpm.col) +
INDEX(_xlpm.rango,$BA$4-1,_xlpm.col) +
INDEX(_xlpm.rango,$BA$4, _xlpm.col)
)</f>
        <v>#VALUE!</v>
      </c>
      <c r="AM78" s="95" t="e" cm="1" vm="1">
        <f t="array" aca="1" ref="AM78" ca="1">_xlfn.LET(
_xlpm.rango, INDIRECT("E!$C$" &amp; $BA$8 &amp; ":$DR$" &amp; $BA$9),
_xlpm.col, AM$72+$D77*10,
INDEX(_xlpm.rango,$BA$4-3,_xlpm.col) +
INDEX(_xlpm.rango,$BA$4-2,_xlpm.col) +
INDEX(_xlpm.rango,$BA$4-1,_xlpm.col) +
INDEX(_xlpm.rango,$BA$4, _xlpm.col)
)</f>
        <v>#VALUE!</v>
      </c>
      <c r="AN78" s="95" t="e" cm="1" vm="1">
        <f t="array" aca="1" ref="AN78" ca="1">_xlfn.LET(
_xlpm.rango, INDIRECT("E!$C$" &amp; $BA$8 &amp; ":$DR$" &amp; $BA$9),
_xlpm.col, AN$72+$D77*10,
INDEX(_xlpm.rango,$BA$4-3,_xlpm.col) +
INDEX(_xlpm.rango,$BA$4-2,_xlpm.col) +
INDEX(_xlpm.rango,$BA$4-1,_xlpm.col) +
INDEX(_xlpm.rango,$BA$4, _xlpm.col)
)</f>
        <v>#VALUE!</v>
      </c>
      <c r="AO78" s="95" t="e" cm="1" vm="1">
        <f t="array" aca="1" ref="AO78" ca="1">_xlfn.LET(
_xlpm.rango, INDIRECT("E!$C$" &amp; $BA$8 &amp; ":$DR$" &amp; $BA$9),
_xlpm.col, AO$72+$D77*10,
INDEX(_xlpm.rango,$BA$4-3,_xlpm.col) +
INDEX(_xlpm.rango,$BA$4-2,_xlpm.col) +
INDEX(_xlpm.rango,$BA$4-1,_xlpm.col) +
INDEX(_xlpm.rango,$BA$4, _xlpm.col)
)</f>
        <v>#VALUE!</v>
      </c>
      <c r="AP78" s="95" t="e" cm="1" vm="1">
        <f t="array" aca="1" ref="AP78" ca="1">_xlfn.LET(
_xlpm.rango, INDIRECT("E!$C$" &amp; $BA$8 &amp; ":$DR$" &amp; $BA$9),
_xlpm.col, AP$72+$D77*10,
INDEX(_xlpm.rango,$BA$4-3,_xlpm.col) +
INDEX(_xlpm.rango,$BA$4-2,_xlpm.col) +
INDEX(_xlpm.rango,$BA$4-1,_xlpm.col) +
INDEX(_xlpm.rango,$BA$4, _xlpm.col)
)</f>
        <v>#VALUE!</v>
      </c>
      <c r="AQ78" s="95" t="e" cm="1" vm="1">
        <f t="array" aca="1" ref="AQ78" ca="1">_xlfn.LET(
_xlpm.rango, INDIRECT("E!$C$" &amp; $BA$8 &amp; ":$DR$" &amp; $BA$9),
_xlpm.col, AQ$72+$D77*10,
INDEX(_xlpm.rango,$BA$4-3,_xlpm.col) +
INDEX(_xlpm.rango,$BA$4-2,_xlpm.col) +
INDEX(_xlpm.rango,$BA$4-1,_xlpm.col) +
INDEX(_xlpm.rango,$BA$4, _xlpm.col)
)</f>
        <v>#VALUE!</v>
      </c>
      <c r="AR78" s="95" t="e" cm="1" vm="1">
        <f t="array" aca="1" ref="AR78" ca="1">_xlfn.LET(
_xlpm.rango, INDIRECT("E!$C$" &amp; $BA$8 &amp; ":$DR$" &amp; $BA$9),
_xlpm.col, AR$72+$D77*10,
INDEX(_xlpm.rango,$BA$4-3,_xlpm.col) +
INDEX(_xlpm.rango,$BA$4-2,_xlpm.col) +
INDEX(_xlpm.rango,$BA$4-1,_xlpm.col) +
INDEX(_xlpm.rango,$BA$4, _xlpm.col)
)</f>
        <v>#VALUE!</v>
      </c>
      <c r="AS78" s="112" t="e" cm="1" vm="1">
        <f t="array" aca="1" ref="AS78" ca="1">_xlfn.LET(
_xlpm.rango, INDIRECT("E!$C$" &amp; $BA$8 &amp; ":$DR$" &amp; $BA$9),
_xlpm.col, AS$72+$D77*10,
INDEX(_xlpm.rango,$BA$4-3,_xlpm.col) +
INDEX(_xlpm.rango,$BA$4-2,_xlpm.col) +
INDEX(_xlpm.rango,$BA$4-1,_xlpm.col) +
INDEX(_xlpm.rango,$BA$4, _xlpm.col)
)</f>
        <v>#VALUE!</v>
      </c>
      <c r="AT78" s="118" t="e" vm="2">
        <f t="shared" ca="1" si="0"/>
        <v>#VALUE!</v>
      </c>
      <c r="AU78" s="120" t="e" vm="2">
        <f t="shared" ca="1" si="1"/>
        <v>#VALUE!</v>
      </c>
    </row>
    <row r="79" spans="4:47" x14ac:dyDescent="0.25">
      <c r="D79">
        <v>4</v>
      </c>
      <c r="E79" s="106" t="str">
        <f>Inicio!V7</f>
        <v>Camion</v>
      </c>
      <c r="F79" s="100" t="e" cm="1" vm="1">
        <f t="array" aca="1" ref="F79" ca="1">_xlfn.LET(
_xlpm.rango, INDIRECT("N!$C$" &amp; $BA$8 &amp; ":$DR$" &amp; $BA$9),
_xlpm.col, F$72+$D78*10,
INDEX(_xlpm.rango,$BA$4-3,_xlpm.col) +
INDEX(_xlpm.rango,$BA$4-2,_xlpm.col) +
INDEX(_xlpm.rango,$BA$4-1,_xlpm.col) +
INDEX(_xlpm.rango,$BA$4, _xlpm.col)
)</f>
        <v>#VALUE!</v>
      </c>
      <c r="G79" s="95" t="e" cm="1" vm="1">
        <f t="array" aca="1" ref="G79" ca="1">_xlfn.LET(
_xlpm.rango, INDIRECT("N!$C$" &amp; $BA$8 &amp; ":$DR$" &amp; $BA$9),
_xlpm.col, G$72+$D78*10,
INDEX(_xlpm.rango,$BA$4-3,_xlpm.col) +
INDEX(_xlpm.rango,$BA$4-2,_xlpm.col) +
INDEX(_xlpm.rango,$BA$4-1,_xlpm.col) +
INDEX(_xlpm.rango,$BA$4, _xlpm.col)
)</f>
        <v>#VALUE!</v>
      </c>
      <c r="H79" s="95" t="e" cm="1" vm="1">
        <f t="array" aca="1" ref="H79" ca="1">_xlfn.LET(
_xlpm.rango, INDIRECT("N!$C$" &amp; $BA$8 &amp; ":$DR$" &amp; $BA$9),
_xlpm.col, H$72+$D78*10,
INDEX(_xlpm.rango,$BA$4-3,_xlpm.col) +
INDEX(_xlpm.rango,$BA$4-2,_xlpm.col) +
INDEX(_xlpm.rango,$BA$4-1,_xlpm.col) +
INDEX(_xlpm.rango,$BA$4, _xlpm.col)
)</f>
        <v>#VALUE!</v>
      </c>
      <c r="I79" s="95" t="e" cm="1" vm="1">
        <f t="array" aca="1" ref="I79" ca="1">_xlfn.LET(
_xlpm.rango, INDIRECT("N!$C$" &amp; $BA$8 &amp; ":$DR$" &amp; $BA$9),
_xlpm.col, I$72+$D78*10,
INDEX(_xlpm.rango,$BA$4-3,_xlpm.col) +
INDEX(_xlpm.rango,$BA$4-2,_xlpm.col) +
INDEX(_xlpm.rango,$BA$4-1,_xlpm.col) +
INDEX(_xlpm.rango,$BA$4, _xlpm.col)
)</f>
        <v>#VALUE!</v>
      </c>
      <c r="J79" s="95" t="e" cm="1" vm="1">
        <f t="array" aca="1" ref="J79" ca="1">_xlfn.LET(
_xlpm.rango, INDIRECT("N!$C$" &amp; $BA$8 &amp; ":$DR$" &amp; $BA$9),
_xlpm.col, J$72+$D78*10,
INDEX(_xlpm.rango,$BA$4-3,_xlpm.col) +
INDEX(_xlpm.rango,$BA$4-2,_xlpm.col) +
INDEX(_xlpm.rango,$BA$4-1,_xlpm.col) +
INDEX(_xlpm.rango,$BA$4, _xlpm.col)
)</f>
        <v>#VALUE!</v>
      </c>
      <c r="K79" s="95" t="e" cm="1" vm="1">
        <f t="array" aca="1" ref="K79" ca="1">_xlfn.LET(
_xlpm.rango, INDIRECT("N!$C$" &amp; $BA$8 &amp; ":$DR$" &amp; $BA$9),
_xlpm.col, K$72+$D78*10,
INDEX(_xlpm.rango,$BA$4-3,_xlpm.col) +
INDEX(_xlpm.rango,$BA$4-2,_xlpm.col) +
INDEX(_xlpm.rango,$BA$4-1,_xlpm.col) +
INDEX(_xlpm.rango,$BA$4, _xlpm.col)
)</f>
        <v>#VALUE!</v>
      </c>
      <c r="L79" s="95" t="e" cm="1" vm="1">
        <f t="array" aca="1" ref="L79" ca="1">_xlfn.LET(
_xlpm.rango, INDIRECT("N!$C$" &amp; $BA$8 &amp; ":$DR$" &amp; $BA$9),
_xlpm.col, L$72+$D78*10,
INDEX(_xlpm.rango,$BA$4-3,_xlpm.col) +
INDEX(_xlpm.rango,$BA$4-2,_xlpm.col) +
INDEX(_xlpm.rango,$BA$4-1,_xlpm.col) +
INDEX(_xlpm.rango,$BA$4, _xlpm.col)
)</f>
        <v>#VALUE!</v>
      </c>
      <c r="M79" s="95" t="e" cm="1" vm="1">
        <f t="array" aca="1" ref="M79" ca="1">_xlfn.LET(
_xlpm.rango, INDIRECT("N!$C$" &amp; $BA$8 &amp; ":$DR$" &amp; $BA$9),
_xlpm.col, M$72+$D78*10,
INDEX(_xlpm.rango,$BA$4-3,_xlpm.col) +
INDEX(_xlpm.rango,$BA$4-2,_xlpm.col) +
INDEX(_xlpm.rango,$BA$4-1,_xlpm.col) +
INDEX(_xlpm.rango,$BA$4, _xlpm.col)
)</f>
        <v>#VALUE!</v>
      </c>
      <c r="N79" s="95" t="e" cm="1" vm="1">
        <f t="array" aca="1" ref="N79" ca="1">_xlfn.LET(
_xlpm.rango, INDIRECT("N!$C$" &amp; $BA$8 &amp; ":$DR$" &amp; $BA$9),
_xlpm.col, N$72+$D78*10,
INDEX(_xlpm.rango,$BA$4-3,_xlpm.col) +
INDEX(_xlpm.rango,$BA$4-2,_xlpm.col) +
INDEX(_xlpm.rango,$BA$4-1,_xlpm.col) +
INDEX(_xlpm.rango,$BA$4, _xlpm.col)
)</f>
        <v>#VALUE!</v>
      </c>
      <c r="O79" s="96" t="e" cm="1" vm="1">
        <f t="array" aca="1" ref="O79" ca="1">_xlfn.LET(
_xlpm.rango, INDIRECT("N!$C$" &amp; $BA$8 &amp; ":$DR$" &amp; $BA$9),
_xlpm.col, O$72+$D78*10,
INDEX(_xlpm.rango,$BA$4-3,_xlpm.col) +
INDEX(_xlpm.rango,$BA$4-2,_xlpm.col) +
INDEX(_xlpm.rango,$BA$4-1,_xlpm.col) +
INDEX(_xlpm.rango,$BA$4, _xlpm.col)
)</f>
        <v>#VALUE!</v>
      </c>
      <c r="P79" s="95" t="e" cm="1" vm="1">
        <f t="array" aca="1" ref="P79" ca="1">_xlfn.LET(
_xlpm.rango, INDIRECT("S!$C$" &amp; $BA$8 &amp; ":$DR$" &amp; $BA$9),
_xlpm.col, P$72+$D78*10,
INDEX(_xlpm.rango,$BA$4-3,_xlpm.col) +
INDEX(_xlpm.rango,$BA$4-2,_xlpm.col) +
INDEX(_xlpm.rango,$BA$4-1,_xlpm.col) +
INDEX(_xlpm.rango,$BA$4, _xlpm.col)
)</f>
        <v>#VALUE!</v>
      </c>
      <c r="Q79" s="95" t="e" cm="1" vm="1">
        <f t="array" aca="1" ref="Q79" ca="1">_xlfn.LET(
_xlpm.rango, INDIRECT("S!$C$" &amp; $BA$8 &amp; ":$DR$" &amp; $BA$9),
_xlpm.col, Q$72+$D78*10,
INDEX(_xlpm.rango,$BA$4-3,_xlpm.col) +
INDEX(_xlpm.rango,$BA$4-2,_xlpm.col) +
INDEX(_xlpm.rango,$BA$4-1,_xlpm.col) +
INDEX(_xlpm.rango,$BA$4, _xlpm.col)
)</f>
        <v>#VALUE!</v>
      </c>
      <c r="R79" s="95" t="e" cm="1" vm="1">
        <f t="array" aca="1" ref="R79" ca="1">_xlfn.LET(
_xlpm.rango, INDIRECT("S!$C$" &amp; $BA$8 &amp; ":$DR$" &amp; $BA$9),
_xlpm.col, R$72+$D78*10,
INDEX(_xlpm.rango,$BA$4-3,_xlpm.col) +
INDEX(_xlpm.rango,$BA$4-2,_xlpm.col) +
INDEX(_xlpm.rango,$BA$4-1,_xlpm.col) +
INDEX(_xlpm.rango,$BA$4, _xlpm.col)
)</f>
        <v>#VALUE!</v>
      </c>
      <c r="S79" s="95" t="e" cm="1" vm="1">
        <f t="array" aca="1" ref="S79" ca="1">_xlfn.LET(
_xlpm.rango, INDIRECT("S!$C$" &amp; $BA$8 &amp; ":$DR$" &amp; $BA$9),
_xlpm.col, S$72+$D78*10,
INDEX(_xlpm.rango,$BA$4-3,_xlpm.col) +
INDEX(_xlpm.rango,$BA$4-2,_xlpm.col) +
INDEX(_xlpm.rango,$BA$4-1,_xlpm.col) +
INDEX(_xlpm.rango,$BA$4, _xlpm.col)
)</f>
        <v>#VALUE!</v>
      </c>
      <c r="T79" s="95" t="e" cm="1" vm="1">
        <f t="array" aca="1" ref="T79" ca="1">_xlfn.LET(
_xlpm.rango, INDIRECT("S!$C$" &amp; $BA$8 &amp; ":$DR$" &amp; $BA$9),
_xlpm.col, T$72+$D78*10,
INDEX(_xlpm.rango,$BA$4-3,_xlpm.col) +
INDEX(_xlpm.rango,$BA$4-2,_xlpm.col) +
INDEX(_xlpm.rango,$BA$4-1,_xlpm.col) +
INDEX(_xlpm.rango,$BA$4, _xlpm.col)
)</f>
        <v>#VALUE!</v>
      </c>
      <c r="U79" s="95" t="e" cm="1" vm="1">
        <f t="array" aca="1" ref="U79" ca="1">_xlfn.LET(
_xlpm.rango, INDIRECT("S!$C$" &amp; $BA$8 &amp; ":$DR$" &amp; $BA$9),
_xlpm.col, U$72+$D78*10,
INDEX(_xlpm.rango,$BA$4-3,_xlpm.col) +
INDEX(_xlpm.rango,$BA$4-2,_xlpm.col) +
INDEX(_xlpm.rango,$BA$4-1,_xlpm.col) +
INDEX(_xlpm.rango,$BA$4, _xlpm.col)
)</f>
        <v>#VALUE!</v>
      </c>
      <c r="V79" s="95" t="e" cm="1" vm="1">
        <f t="array" aca="1" ref="V79" ca="1">_xlfn.LET(
_xlpm.rango, INDIRECT("S!$C$" &amp; $BA$8 &amp; ":$DR$" &amp; $BA$9),
_xlpm.col, V$72+$D78*10,
INDEX(_xlpm.rango,$BA$4-3,_xlpm.col) +
INDEX(_xlpm.rango,$BA$4-2,_xlpm.col) +
INDEX(_xlpm.rango,$BA$4-1,_xlpm.col) +
INDEX(_xlpm.rango,$BA$4, _xlpm.col)
)</f>
        <v>#VALUE!</v>
      </c>
      <c r="W79" s="95" t="e" cm="1" vm="1">
        <f t="array" aca="1" ref="W79" ca="1">_xlfn.LET(
_xlpm.rango, INDIRECT("S!$C$" &amp; $BA$8 &amp; ":$DR$" &amp; $BA$9),
_xlpm.col, W$72+$D78*10,
INDEX(_xlpm.rango,$BA$4-3,_xlpm.col) +
INDEX(_xlpm.rango,$BA$4-2,_xlpm.col) +
INDEX(_xlpm.rango,$BA$4-1,_xlpm.col) +
INDEX(_xlpm.rango,$BA$4, _xlpm.col)
)</f>
        <v>#VALUE!</v>
      </c>
      <c r="X79" s="95" t="e" cm="1" vm="1">
        <f t="array" aca="1" ref="X79" ca="1">_xlfn.LET(
_xlpm.rango, INDIRECT("S!$C$" &amp; $BA$8 &amp; ":$DR$" &amp; $BA$9),
_xlpm.col, X$72+$D78*10,
INDEX(_xlpm.rango,$BA$4-3,_xlpm.col) +
INDEX(_xlpm.rango,$BA$4-2,_xlpm.col) +
INDEX(_xlpm.rango,$BA$4-1,_xlpm.col) +
INDEX(_xlpm.rango,$BA$4, _xlpm.col)
)</f>
        <v>#VALUE!</v>
      </c>
      <c r="Y79" s="95" t="e" cm="1" vm="1">
        <f t="array" aca="1" ref="Y79" ca="1">_xlfn.LET(
_xlpm.rango, INDIRECT("S!$C$" &amp; $BA$8 &amp; ":$DR$" &amp; $BA$9),
_xlpm.col, Y$72+$D78*10,
INDEX(_xlpm.rango,$BA$4-3,_xlpm.col) +
INDEX(_xlpm.rango,$BA$4-2,_xlpm.col) +
INDEX(_xlpm.rango,$BA$4-1,_xlpm.col) +
INDEX(_xlpm.rango,$BA$4, _xlpm.col)
)</f>
        <v>#VALUE!</v>
      </c>
      <c r="Z79" s="100" t="e" cm="1" vm="1">
        <f t="array" aca="1" ref="Z79" ca="1">_xlfn.LET(
_xlpm.rango, INDIRECT("E!$C$" &amp; $BA$8 &amp; ":$DR$" &amp; $BA$9),
_xlpm.col, Z$72+$D78*10,
INDEX(_xlpm.rango,$BA$4-3,_xlpm.col) +
INDEX(_xlpm.rango,$BA$4-2,_xlpm.col) +
INDEX(_xlpm.rango,$BA$4-1,_xlpm.col) +
INDEX(_xlpm.rango,$BA$4, _xlpm.col)
)</f>
        <v>#VALUE!</v>
      </c>
      <c r="AA79" s="95" t="e" cm="1" vm="1">
        <f t="array" aca="1" ref="AA79" ca="1">_xlfn.LET(
_xlpm.rango, INDIRECT("E!$C$" &amp; $BA$8 &amp; ":$DR$" &amp; $BA$9),
_xlpm.col, AA$72+$D78*10,
INDEX(_xlpm.rango,$BA$4-3,_xlpm.col) +
INDEX(_xlpm.rango,$BA$4-2,_xlpm.col) +
INDEX(_xlpm.rango,$BA$4-1,_xlpm.col) +
INDEX(_xlpm.rango,$BA$4, _xlpm.col)
)</f>
        <v>#VALUE!</v>
      </c>
      <c r="AB79" s="95" t="e" cm="1" vm="1">
        <f t="array" aca="1" ref="AB79" ca="1">_xlfn.LET(
_xlpm.rango, INDIRECT("E!$C$" &amp; $BA$8 &amp; ":$DR$" &amp; $BA$9),
_xlpm.col, AB$72+$D78*10,
INDEX(_xlpm.rango,$BA$4-3,_xlpm.col) +
INDEX(_xlpm.rango,$BA$4-2,_xlpm.col) +
INDEX(_xlpm.rango,$BA$4-1,_xlpm.col) +
INDEX(_xlpm.rango,$BA$4, _xlpm.col)
)</f>
        <v>#VALUE!</v>
      </c>
      <c r="AC79" s="95" t="e" cm="1" vm="1">
        <f t="array" aca="1" ref="AC79" ca="1">_xlfn.LET(
_xlpm.rango, INDIRECT("E!$C$" &amp; $BA$8 &amp; ":$DR$" &amp; $BA$9),
_xlpm.col, AC$72+$D78*10,
INDEX(_xlpm.rango,$BA$4-3,_xlpm.col) +
INDEX(_xlpm.rango,$BA$4-2,_xlpm.col) +
INDEX(_xlpm.rango,$BA$4-1,_xlpm.col) +
INDEX(_xlpm.rango,$BA$4, _xlpm.col)
)</f>
        <v>#VALUE!</v>
      </c>
      <c r="AD79" s="95" t="e" cm="1" vm="1">
        <f t="array" aca="1" ref="AD79" ca="1">_xlfn.LET(
_xlpm.rango, INDIRECT("E!$C$" &amp; $BA$8 &amp; ":$DR$" &amp; $BA$9),
_xlpm.col, AD$72+$D78*10,
INDEX(_xlpm.rango,$BA$4-3,_xlpm.col) +
INDEX(_xlpm.rango,$BA$4-2,_xlpm.col) +
INDEX(_xlpm.rango,$BA$4-1,_xlpm.col) +
INDEX(_xlpm.rango,$BA$4, _xlpm.col)
)</f>
        <v>#VALUE!</v>
      </c>
      <c r="AE79" s="95" t="e" cm="1" vm="1">
        <f t="array" aca="1" ref="AE79" ca="1">_xlfn.LET(
_xlpm.rango, INDIRECT("E!$C$" &amp; $BA$8 &amp; ":$DR$" &amp; $BA$9),
_xlpm.col, AE$72+$D78*10,
INDEX(_xlpm.rango,$BA$4-3,_xlpm.col) +
INDEX(_xlpm.rango,$BA$4-2,_xlpm.col) +
INDEX(_xlpm.rango,$BA$4-1,_xlpm.col) +
INDEX(_xlpm.rango,$BA$4, _xlpm.col)
)</f>
        <v>#VALUE!</v>
      </c>
      <c r="AF79" s="95" t="e" cm="1" vm="1">
        <f t="array" aca="1" ref="AF79" ca="1">_xlfn.LET(
_xlpm.rango, INDIRECT("E!$C$" &amp; $BA$8 &amp; ":$DR$" &amp; $BA$9),
_xlpm.col, AF$72+$D78*10,
INDEX(_xlpm.rango,$BA$4-3,_xlpm.col) +
INDEX(_xlpm.rango,$BA$4-2,_xlpm.col) +
INDEX(_xlpm.rango,$BA$4-1,_xlpm.col) +
INDEX(_xlpm.rango,$BA$4, _xlpm.col)
)</f>
        <v>#VALUE!</v>
      </c>
      <c r="AG79" s="95" t="e" cm="1" vm="1">
        <f t="array" aca="1" ref="AG79" ca="1">_xlfn.LET(
_xlpm.rango, INDIRECT("E!$C$" &amp; $BA$8 &amp; ":$DR$" &amp; $BA$9),
_xlpm.col, AG$72+$D78*10,
INDEX(_xlpm.rango,$BA$4-3,_xlpm.col) +
INDEX(_xlpm.rango,$BA$4-2,_xlpm.col) +
INDEX(_xlpm.rango,$BA$4-1,_xlpm.col) +
INDEX(_xlpm.rango,$BA$4, _xlpm.col)
)</f>
        <v>#VALUE!</v>
      </c>
      <c r="AH79" s="95" t="e" cm="1" vm="1">
        <f t="array" aca="1" ref="AH79" ca="1">_xlfn.LET(
_xlpm.rango, INDIRECT("E!$C$" &amp; $BA$8 &amp; ":$DR$" &amp; $BA$9),
_xlpm.col, AH$72+$D78*10,
INDEX(_xlpm.rango,$BA$4-3,_xlpm.col) +
INDEX(_xlpm.rango,$BA$4-2,_xlpm.col) +
INDEX(_xlpm.rango,$BA$4-1,_xlpm.col) +
INDEX(_xlpm.rango,$BA$4, _xlpm.col)
)</f>
        <v>#VALUE!</v>
      </c>
      <c r="AI79" s="96" t="e" cm="1" vm="1">
        <f t="array" aca="1" ref="AI79" ca="1">_xlfn.LET(
_xlpm.rango, INDIRECT("E!$C$" &amp; $BA$8 &amp; ":$DR$" &amp; $BA$9),
_xlpm.col, AI$72+$D78*10,
INDEX(_xlpm.rango,$BA$4-3,_xlpm.col) +
INDEX(_xlpm.rango,$BA$4-2,_xlpm.col) +
INDEX(_xlpm.rango,$BA$4-1,_xlpm.col) +
INDEX(_xlpm.rango,$BA$4, _xlpm.col)
)</f>
        <v>#VALUE!</v>
      </c>
      <c r="AJ79" s="95" t="e" cm="1" vm="1">
        <f t="array" aca="1" ref="AJ79" ca="1">_xlfn.LET(
_xlpm.rango, INDIRECT("E!$C$" &amp; $BA$8 &amp; ":$DR$" &amp; $BA$9),
_xlpm.col, AJ$72+$D78*10,
INDEX(_xlpm.rango,$BA$4-3,_xlpm.col) +
INDEX(_xlpm.rango,$BA$4-2,_xlpm.col) +
INDEX(_xlpm.rango,$BA$4-1,_xlpm.col) +
INDEX(_xlpm.rango,$BA$4, _xlpm.col)
)</f>
        <v>#VALUE!</v>
      </c>
      <c r="AK79" s="95" t="e" cm="1" vm="1">
        <f t="array" aca="1" ref="AK79" ca="1">_xlfn.LET(
_xlpm.rango, INDIRECT("E!$C$" &amp; $BA$8 &amp; ":$DR$" &amp; $BA$9),
_xlpm.col, AK$72+$D78*10,
INDEX(_xlpm.rango,$BA$4-3,_xlpm.col) +
INDEX(_xlpm.rango,$BA$4-2,_xlpm.col) +
INDEX(_xlpm.rango,$BA$4-1,_xlpm.col) +
INDEX(_xlpm.rango,$BA$4, _xlpm.col)
)</f>
        <v>#VALUE!</v>
      </c>
      <c r="AL79" s="95" t="e" cm="1" vm="1">
        <f t="array" aca="1" ref="AL79" ca="1">_xlfn.LET(
_xlpm.rango, INDIRECT("E!$C$" &amp; $BA$8 &amp; ":$DR$" &amp; $BA$9),
_xlpm.col, AL$72+$D78*10,
INDEX(_xlpm.rango,$BA$4-3,_xlpm.col) +
INDEX(_xlpm.rango,$BA$4-2,_xlpm.col) +
INDEX(_xlpm.rango,$BA$4-1,_xlpm.col) +
INDEX(_xlpm.rango,$BA$4, _xlpm.col)
)</f>
        <v>#VALUE!</v>
      </c>
      <c r="AM79" s="95" t="e" cm="1" vm="1">
        <f t="array" aca="1" ref="AM79" ca="1">_xlfn.LET(
_xlpm.rango, INDIRECT("E!$C$" &amp; $BA$8 &amp; ":$DR$" &amp; $BA$9),
_xlpm.col, AM$72+$D78*10,
INDEX(_xlpm.rango,$BA$4-3,_xlpm.col) +
INDEX(_xlpm.rango,$BA$4-2,_xlpm.col) +
INDEX(_xlpm.rango,$BA$4-1,_xlpm.col) +
INDEX(_xlpm.rango,$BA$4, _xlpm.col)
)</f>
        <v>#VALUE!</v>
      </c>
      <c r="AN79" s="95" t="e" cm="1" vm="1">
        <f t="array" aca="1" ref="AN79" ca="1">_xlfn.LET(
_xlpm.rango, INDIRECT("E!$C$" &amp; $BA$8 &amp; ":$DR$" &amp; $BA$9),
_xlpm.col, AN$72+$D78*10,
INDEX(_xlpm.rango,$BA$4-3,_xlpm.col) +
INDEX(_xlpm.rango,$BA$4-2,_xlpm.col) +
INDEX(_xlpm.rango,$BA$4-1,_xlpm.col) +
INDEX(_xlpm.rango,$BA$4, _xlpm.col)
)</f>
        <v>#VALUE!</v>
      </c>
      <c r="AO79" s="95" t="e" cm="1" vm="1">
        <f t="array" aca="1" ref="AO79" ca="1">_xlfn.LET(
_xlpm.rango, INDIRECT("E!$C$" &amp; $BA$8 &amp; ":$DR$" &amp; $BA$9),
_xlpm.col, AO$72+$D78*10,
INDEX(_xlpm.rango,$BA$4-3,_xlpm.col) +
INDEX(_xlpm.rango,$BA$4-2,_xlpm.col) +
INDEX(_xlpm.rango,$BA$4-1,_xlpm.col) +
INDEX(_xlpm.rango,$BA$4, _xlpm.col)
)</f>
        <v>#VALUE!</v>
      </c>
      <c r="AP79" s="95" t="e" cm="1" vm="1">
        <f t="array" aca="1" ref="AP79" ca="1">_xlfn.LET(
_xlpm.rango, INDIRECT("E!$C$" &amp; $BA$8 &amp; ":$DR$" &amp; $BA$9),
_xlpm.col, AP$72+$D78*10,
INDEX(_xlpm.rango,$BA$4-3,_xlpm.col) +
INDEX(_xlpm.rango,$BA$4-2,_xlpm.col) +
INDEX(_xlpm.rango,$BA$4-1,_xlpm.col) +
INDEX(_xlpm.rango,$BA$4, _xlpm.col)
)</f>
        <v>#VALUE!</v>
      </c>
      <c r="AQ79" s="95" t="e" cm="1" vm="1">
        <f t="array" aca="1" ref="AQ79" ca="1">_xlfn.LET(
_xlpm.rango, INDIRECT("E!$C$" &amp; $BA$8 &amp; ":$DR$" &amp; $BA$9),
_xlpm.col, AQ$72+$D78*10,
INDEX(_xlpm.rango,$BA$4-3,_xlpm.col) +
INDEX(_xlpm.rango,$BA$4-2,_xlpm.col) +
INDEX(_xlpm.rango,$BA$4-1,_xlpm.col) +
INDEX(_xlpm.rango,$BA$4, _xlpm.col)
)</f>
        <v>#VALUE!</v>
      </c>
      <c r="AR79" s="95" t="e" cm="1" vm="1">
        <f t="array" aca="1" ref="AR79" ca="1">_xlfn.LET(
_xlpm.rango, INDIRECT("E!$C$" &amp; $BA$8 &amp; ":$DR$" &amp; $BA$9),
_xlpm.col, AR$72+$D78*10,
INDEX(_xlpm.rango,$BA$4-3,_xlpm.col) +
INDEX(_xlpm.rango,$BA$4-2,_xlpm.col) +
INDEX(_xlpm.rango,$BA$4-1,_xlpm.col) +
INDEX(_xlpm.rango,$BA$4, _xlpm.col)
)</f>
        <v>#VALUE!</v>
      </c>
      <c r="AS79" s="112" t="e" cm="1" vm="1">
        <f t="array" aca="1" ref="AS79" ca="1">_xlfn.LET(
_xlpm.rango, INDIRECT("E!$C$" &amp; $BA$8 &amp; ":$DR$" &amp; $BA$9),
_xlpm.col, AS$72+$D78*10,
INDEX(_xlpm.rango,$BA$4-3,_xlpm.col) +
INDEX(_xlpm.rango,$BA$4-2,_xlpm.col) +
INDEX(_xlpm.rango,$BA$4-1,_xlpm.col) +
INDEX(_xlpm.rango,$BA$4, _xlpm.col)
)</f>
        <v>#VALUE!</v>
      </c>
      <c r="AT79" s="118" t="e" vm="2">
        <f t="shared" ca="1" si="0"/>
        <v>#VALUE!</v>
      </c>
      <c r="AU79" s="120" t="e" vm="2">
        <f t="shared" ca="1" si="1"/>
        <v>#VALUE!</v>
      </c>
    </row>
    <row r="80" spans="4:47" x14ac:dyDescent="0.25">
      <c r="D80">
        <v>5</v>
      </c>
      <c r="E80" s="106" t="str">
        <f>Inicio!V8</f>
        <v>Bicicleta</v>
      </c>
      <c r="F80" s="100" t="e" cm="1" vm="1">
        <f t="array" aca="1" ref="F80" ca="1">_xlfn.LET(
_xlpm.rango, INDIRECT("N!$C$" &amp; $BA$8 &amp; ":$DR$" &amp; $BA$9),
_xlpm.col, F$72+$D79*10,
INDEX(_xlpm.rango,$BA$4-3,_xlpm.col) +
INDEX(_xlpm.rango,$BA$4-2,_xlpm.col) +
INDEX(_xlpm.rango,$BA$4-1,_xlpm.col) +
INDEX(_xlpm.rango,$BA$4, _xlpm.col)
)</f>
        <v>#VALUE!</v>
      </c>
      <c r="G80" s="95" t="e" cm="1" vm="1">
        <f t="array" aca="1" ref="G80" ca="1">_xlfn.LET(
_xlpm.rango, INDIRECT("N!$C$" &amp; $BA$8 &amp; ":$DR$" &amp; $BA$9),
_xlpm.col, G$72+$D79*10,
INDEX(_xlpm.rango,$BA$4-3,_xlpm.col) +
INDEX(_xlpm.rango,$BA$4-2,_xlpm.col) +
INDEX(_xlpm.rango,$BA$4-1,_xlpm.col) +
INDEX(_xlpm.rango,$BA$4, _xlpm.col)
)</f>
        <v>#VALUE!</v>
      </c>
      <c r="H80" s="95" t="e" cm="1" vm="1">
        <f t="array" aca="1" ref="H80" ca="1">_xlfn.LET(
_xlpm.rango, INDIRECT("N!$C$" &amp; $BA$8 &amp; ":$DR$" &amp; $BA$9),
_xlpm.col, H$72+$D79*10,
INDEX(_xlpm.rango,$BA$4-3,_xlpm.col) +
INDEX(_xlpm.rango,$BA$4-2,_xlpm.col) +
INDEX(_xlpm.rango,$BA$4-1,_xlpm.col) +
INDEX(_xlpm.rango,$BA$4, _xlpm.col)
)</f>
        <v>#VALUE!</v>
      </c>
      <c r="I80" s="95" t="e" cm="1" vm="1">
        <f t="array" aca="1" ref="I80" ca="1">_xlfn.LET(
_xlpm.rango, INDIRECT("N!$C$" &amp; $BA$8 &amp; ":$DR$" &amp; $BA$9),
_xlpm.col, I$72+$D79*10,
INDEX(_xlpm.rango,$BA$4-3,_xlpm.col) +
INDEX(_xlpm.rango,$BA$4-2,_xlpm.col) +
INDEX(_xlpm.rango,$BA$4-1,_xlpm.col) +
INDEX(_xlpm.rango,$BA$4, _xlpm.col)
)</f>
        <v>#VALUE!</v>
      </c>
      <c r="J80" s="95" t="e" cm="1" vm="1">
        <f t="array" aca="1" ref="J80" ca="1">_xlfn.LET(
_xlpm.rango, INDIRECT("N!$C$" &amp; $BA$8 &amp; ":$DR$" &amp; $BA$9),
_xlpm.col, J$72+$D79*10,
INDEX(_xlpm.rango,$BA$4-3,_xlpm.col) +
INDEX(_xlpm.rango,$BA$4-2,_xlpm.col) +
INDEX(_xlpm.rango,$BA$4-1,_xlpm.col) +
INDEX(_xlpm.rango,$BA$4, _xlpm.col)
)</f>
        <v>#VALUE!</v>
      </c>
      <c r="K80" s="95" t="e" cm="1" vm="1">
        <f t="array" aca="1" ref="K80" ca="1">_xlfn.LET(
_xlpm.rango, INDIRECT("N!$C$" &amp; $BA$8 &amp; ":$DR$" &amp; $BA$9),
_xlpm.col, K$72+$D79*10,
INDEX(_xlpm.rango,$BA$4-3,_xlpm.col) +
INDEX(_xlpm.rango,$BA$4-2,_xlpm.col) +
INDEX(_xlpm.rango,$BA$4-1,_xlpm.col) +
INDEX(_xlpm.rango,$BA$4, _xlpm.col)
)</f>
        <v>#VALUE!</v>
      </c>
      <c r="L80" s="95" t="e" cm="1" vm="1">
        <f t="array" aca="1" ref="L80" ca="1">_xlfn.LET(
_xlpm.rango, INDIRECT("N!$C$" &amp; $BA$8 &amp; ":$DR$" &amp; $BA$9),
_xlpm.col, L$72+$D79*10,
INDEX(_xlpm.rango,$BA$4-3,_xlpm.col) +
INDEX(_xlpm.rango,$BA$4-2,_xlpm.col) +
INDEX(_xlpm.rango,$BA$4-1,_xlpm.col) +
INDEX(_xlpm.rango,$BA$4, _xlpm.col)
)</f>
        <v>#VALUE!</v>
      </c>
      <c r="M80" s="95" t="e" cm="1" vm="1">
        <f t="array" aca="1" ref="M80" ca="1">_xlfn.LET(
_xlpm.rango, INDIRECT("N!$C$" &amp; $BA$8 &amp; ":$DR$" &amp; $BA$9),
_xlpm.col, M$72+$D79*10,
INDEX(_xlpm.rango,$BA$4-3,_xlpm.col) +
INDEX(_xlpm.rango,$BA$4-2,_xlpm.col) +
INDEX(_xlpm.rango,$BA$4-1,_xlpm.col) +
INDEX(_xlpm.rango,$BA$4, _xlpm.col)
)</f>
        <v>#VALUE!</v>
      </c>
      <c r="N80" s="95" t="e" cm="1" vm="1">
        <f t="array" aca="1" ref="N80" ca="1">_xlfn.LET(
_xlpm.rango, INDIRECT("N!$C$" &amp; $BA$8 &amp; ":$DR$" &amp; $BA$9),
_xlpm.col, N$72+$D79*10,
INDEX(_xlpm.rango,$BA$4-3,_xlpm.col) +
INDEX(_xlpm.rango,$BA$4-2,_xlpm.col) +
INDEX(_xlpm.rango,$BA$4-1,_xlpm.col) +
INDEX(_xlpm.rango,$BA$4, _xlpm.col)
)</f>
        <v>#VALUE!</v>
      </c>
      <c r="O80" s="96" t="e" cm="1" vm="1">
        <f t="array" aca="1" ref="O80" ca="1">_xlfn.LET(
_xlpm.rango, INDIRECT("N!$C$" &amp; $BA$8 &amp; ":$DR$" &amp; $BA$9),
_xlpm.col, O$72+$D79*10,
INDEX(_xlpm.rango,$BA$4-3,_xlpm.col) +
INDEX(_xlpm.rango,$BA$4-2,_xlpm.col) +
INDEX(_xlpm.rango,$BA$4-1,_xlpm.col) +
INDEX(_xlpm.rango,$BA$4, _xlpm.col)
)</f>
        <v>#VALUE!</v>
      </c>
      <c r="P80" s="95" t="e" cm="1" vm="1">
        <f t="array" aca="1" ref="P80" ca="1">_xlfn.LET(
_xlpm.rango, INDIRECT("S!$C$" &amp; $BA$8 &amp; ":$DR$" &amp; $BA$9),
_xlpm.col, P$72+$D79*10,
INDEX(_xlpm.rango,$BA$4-3,_xlpm.col) +
INDEX(_xlpm.rango,$BA$4-2,_xlpm.col) +
INDEX(_xlpm.rango,$BA$4-1,_xlpm.col) +
INDEX(_xlpm.rango,$BA$4, _xlpm.col)
)</f>
        <v>#VALUE!</v>
      </c>
      <c r="Q80" s="95" t="e" cm="1" vm="1">
        <f t="array" aca="1" ref="Q80" ca="1">_xlfn.LET(
_xlpm.rango, INDIRECT("S!$C$" &amp; $BA$8 &amp; ":$DR$" &amp; $BA$9),
_xlpm.col, Q$72+$D79*10,
INDEX(_xlpm.rango,$BA$4-3,_xlpm.col) +
INDEX(_xlpm.rango,$BA$4-2,_xlpm.col) +
INDEX(_xlpm.rango,$BA$4-1,_xlpm.col) +
INDEX(_xlpm.rango,$BA$4, _xlpm.col)
)</f>
        <v>#VALUE!</v>
      </c>
      <c r="R80" s="95" t="e" cm="1" vm="1">
        <f t="array" aca="1" ref="R80" ca="1">_xlfn.LET(
_xlpm.rango, INDIRECT("S!$C$" &amp; $BA$8 &amp; ":$DR$" &amp; $BA$9),
_xlpm.col, R$72+$D79*10,
INDEX(_xlpm.rango,$BA$4-3,_xlpm.col) +
INDEX(_xlpm.rango,$BA$4-2,_xlpm.col) +
INDEX(_xlpm.rango,$BA$4-1,_xlpm.col) +
INDEX(_xlpm.rango,$BA$4, _xlpm.col)
)</f>
        <v>#VALUE!</v>
      </c>
      <c r="S80" s="95" t="e" cm="1" vm="1">
        <f t="array" aca="1" ref="S80" ca="1">_xlfn.LET(
_xlpm.rango, INDIRECT("S!$C$" &amp; $BA$8 &amp; ":$DR$" &amp; $BA$9),
_xlpm.col, S$72+$D79*10,
INDEX(_xlpm.rango,$BA$4-3,_xlpm.col) +
INDEX(_xlpm.rango,$BA$4-2,_xlpm.col) +
INDEX(_xlpm.rango,$BA$4-1,_xlpm.col) +
INDEX(_xlpm.rango,$BA$4, _xlpm.col)
)</f>
        <v>#VALUE!</v>
      </c>
      <c r="T80" s="95" t="e" cm="1" vm="1">
        <f t="array" aca="1" ref="T80" ca="1">_xlfn.LET(
_xlpm.rango, INDIRECT("S!$C$" &amp; $BA$8 &amp; ":$DR$" &amp; $BA$9),
_xlpm.col, T$72+$D79*10,
INDEX(_xlpm.rango,$BA$4-3,_xlpm.col) +
INDEX(_xlpm.rango,$BA$4-2,_xlpm.col) +
INDEX(_xlpm.rango,$BA$4-1,_xlpm.col) +
INDEX(_xlpm.rango,$BA$4, _xlpm.col)
)</f>
        <v>#VALUE!</v>
      </c>
      <c r="U80" s="95" t="e" cm="1" vm="1">
        <f t="array" aca="1" ref="U80" ca="1">_xlfn.LET(
_xlpm.rango, INDIRECT("S!$C$" &amp; $BA$8 &amp; ":$DR$" &amp; $BA$9),
_xlpm.col, U$72+$D79*10,
INDEX(_xlpm.rango,$BA$4-3,_xlpm.col) +
INDEX(_xlpm.rango,$BA$4-2,_xlpm.col) +
INDEX(_xlpm.rango,$BA$4-1,_xlpm.col) +
INDEX(_xlpm.rango,$BA$4, _xlpm.col)
)</f>
        <v>#VALUE!</v>
      </c>
      <c r="V80" s="95" t="e" cm="1" vm="1">
        <f t="array" aca="1" ref="V80" ca="1">_xlfn.LET(
_xlpm.rango, INDIRECT("S!$C$" &amp; $BA$8 &amp; ":$DR$" &amp; $BA$9),
_xlpm.col, V$72+$D79*10,
INDEX(_xlpm.rango,$BA$4-3,_xlpm.col) +
INDEX(_xlpm.rango,$BA$4-2,_xlpm.col) +
INDEX(_xlpm.rango,$BA$4-1,_xlpm.col) +
INDEX(_xlpm.rango,$BA$4, _xlpm.col)
)</f>
        <v>#VALUE!</v>
      </c>
      <c r="W80" s="95" t="e" cm="1" vm="1">
        <f t="array" aca="1" ref="W80" ca="1">_xlfn.LET(
_xlpm.rango, INDIRECT("S!$C$" &amp; $BA$8 &amp; ":$DR$" &amp; $BA$9),
_xlpm.col, W$72+$D79*10,
INDEX(_xlpm.rango,$BA$4-3,_xlpm.col) +
INDEX(_xlpm.rango,$BA$4-2,_xlpm.col) +
INDEX(_xlpm.rango,$BA$4-1,_xlpm.col) +
INDEX(_xlpm.rango,$BA$4, _xlpm.col)
)</f>
        <v>#VALUE!</v>
      </c>
      <c r="X80" s="95" t="e" cm="1" vm="1">
        <f t="array" aca="1" ref="X80" ca="1">_xlfn.LET(
_xlpm.rango, INDIRECT("S!$C$" &amp; $BA$8 &amp; ":$DR$" &amp; $BA$9),
_xlpm.col, X$72+$D79*10,
INDEX(_xlpm.rango,$BA$4-3,_xlpm.col) +
INDEX(_xlpm.rango,$BA$4-2,_xlpm.col) +
INDEX(_xlpm.rango,$BA$4-1,_xlpm.col) +
INDEX(_xlpm.rango,$BA$4, _xlpm.col)
)</f>
        <v>#VALUE!</v>
      </c>
      <c r="Y80" s="95" t="e" cm="1" vm="1">
        <f t="array" aca="1" ref="Y80" ca="1">_xlfn.LET(
_xlpm.rango, INDIRECT("S!$C$" &amp; $BA$8 &amp; ":$DR$" &amp; $BA$9),
_xlpm.col, Y$72+$D79*10,
INDEX(_xlpm.rango,$BA$4-3,_xlpm.col) +
INDEX(_xlpm.rango,$BA$4-2,_xlpm.col) +
INDEX(_xlpm.rango,$BA$4-1,_xlpm.col) +
INDEX(_xlpm.rango,$BA$4, _xlpm.col)
)</f>
        <v>#VALUE!</v>
      </c>
      <c r="Z80" s="100" t="e" cm="1" vm="1">
        <f t="array" aca="1" ref="Z80" ca="1">_xlfn.LET(
_xlpm.rango, INDIRECT("E!$C$" &amp; $BA$8 &amp; ":$DR$" &amp; $BA$9),
_xlpm.col, Z$72+$D79*10,
INDEX(_xlpm.rango,$BA$4-3,_xlpm.col) +
INDEX(_xlpm.rango,$BA$4-2,_xlpm.col) +
INDEX(_xlpm.rango,$BA$4-1,_xlpm.col) +
INDEX(_xlpm.rango,$BA$4, _xlpm.col)
)</f>
        <v>#VALUE!</v>
      </c>
      <c r="AA80" s="95" t="e" cm="1" vm="1">
        <f t="array" aca="1" ref="AA80" ca="1">_xlfn.LET(
_xlpm.rango, INDIRECT("E!$C$" &amp; $BA$8 &amp; ":$DR$" &amp; $BA$9),
_xlpm.col, AA$72+$D79*10,
INDEX(_xlpm.rango,$BA$4-3,_xlpm.col) +
INDEX(_xlpm.rango,$BA$4-2,_xlpm.col) +
INDEX(_xlpm.rango,$BA$4-1,_xlpm.col) +
INDEX(_xlpm.rango,$BA$4, _xlpm.col)
)</f>
        <v>#VALUE!</v>
      </c>
      <c r="AB80" s="95" t="e" cm="1" vm="1">
        <f t="array" aca="1" ref="AB80" ca="1">_xlfn.LET(
_xlpm.rango, INDIRECT("E!$C$" &amp; $BA$8 &amp; ":$DR$" &amp; $BA$9),
_xlpm.col, AB$72+$D79*10,
INDEX(_xlpm.rango,$BA$4-3,_xlpm.col) +
INDEX(_xlpm.rango,$BA$4-2,_xlpm.col) +
INDEX(_xlpm.rango,$BA$4-1,_xlpm.col) +
INDEX(_xlpm.rango,$BA$4, _xlpm.col)
)</f>
        <v>#VALUE!</v>
      </c>
      <c r="AC80" s="95" t="e" cm="1" vm="1">
        <f t="array" aca="1" ref="AC80" ca="1">_xlfn.LET(
_xlpm.rango, INDIRECT("E!$C$" &amp; $BA$8 &amp; ":$DR$" &amp; $BA$9),
_xlpm.col, AC$72+$D79*10,
INDEX(_xlpm.rango,$BA$4-3,_xlpm.col) +
INDEX(_xlpm.rango,$BA$4-2,_xlpm.col) +
INDEX(_xlpm.rango,$BA$4-1,_xlpm.col) +
INDEX(_xlpm.rango,$BA$4, _xlpm.col)
)</f>
        <v>#VALUE!</v>
      </c>
      <c r="AD80" s="95" t="e" cm="1" vm="1">
        <f t="array" aca="1" ref="AD80" ca="1">_xlfn.LET(
_xlpm.rango, INDIRECT("E!$C$" &amp; $BA$8 &amp; ":$DR$" &amp; $BA$9),
_xlpm.col, AD$72+$D79*10,
INDEX(_xlpm.rango,$BA$4-3,_xlpm.col) +
INDEX(_xlpm.rango,$BA$4-2,_xlpm.col) +
INDEX(_xlpm.rango,$BA$4-1,_xlpm.col) +
INDEX(_xlpm.rango,$BA$4, _xlpm.col)
)</f>
        <v>#VALUE!</v>
      </c>
      <c r="AE80" s="95" t="e" cm="1" vm="1">
        <f t="array" aca="1" ref="AE80" ca="1">_xlfn.LET(
_xlpm.rango, INDIRECT("E!$C$" &amp; $BA$8 &amp; ":$DR$" &amp; $BA$9),
_xlpm.col, AE$72+$D79*10,
INDEX(_xlpm.rango,$BA$4-3,_xlpm.col) +
INDEX(_xlpm.rango,$BA$4-2,_xlpm.col) +
INDEX(_xlpm.rango,$BA$4-1,_xlpm.col) +
INDEX(_xlpm.rango,$BA$4, _xlpm.col)
)</f>
        <v>#VALUE!</v>
      </c>
      <c r="AF80" s="95" t="e" cm="1" vm="1">
        <f t="array" aca="1" ref="AF80" ca="1">_xlfn.LET(
_xlpm.rango, INDIRECT("E!$C$" &amp; $BA$8 &amp; ":$DR$" &amp; $BA$9),
_xlpm.col, AF$72+$D79*10,
INDEX(_xlpm.rango,$BA$4-3,_xlpm.col) +
INDEX(_xlpm.rango,$BA$4-2,_xlpm.col) +
INDEX(_xlpm.rango,$BA$4-1,_xlpm.col) +
INDEX(_xlpm.rango,$BA$4, _xlpm.col)
)</f>
        <v>#VALUE!</v>
      </c>
      <c r="AG80" s="95" t="e" cm="1" vm="1">
        <f t="array" aca="1" ref="AG80" ca="1">_xlfn.LET(
_xlpm.rango, INDIRECT("E!$C$" &amp; $BA$8 &amp; ":$DR$" &amp; $BA$9),
_xlpm.col, AG$72+$D79*10,
INDEX(_xlpm.rango,$BA$4-3,_xlpm.col) +
INDEX(_xlpm.rango,$BA$4-2,_xlpm.col) +
INDEX(_xlpm.rango,$BA$4-1,_xlpm.col) +
INDEX(_xlpm.rango,$BA$4, _xlpm.col)
)</f>
        <v>#VALUE!</v>
      </c>
      <c r="AH80" s="95" t="e" cm="1" vm="1">
        <f t="array" aca="1" ref="AH80" ca="1">_xlfn.LET(
_xlpm.rango, INDIRECT("E!$C$" &amp; $BA$8 &amp; ":$DR$" &amp; $BA$9),
_xlpm.col, AH$72+$D79*10,
INDEX(_xlpm.rango,$BA$4-3,_xlpm.col) +
INDEX(_xlpm.rango,$BA$4-2,_xlpm.col) +
INDEX(_xlpm.rango,$BA$4-1,_xlpm.col) +
INDEX(_xlpm.rango,$BA$4, _xlpm.col)
)</f>
        <v>#VALUE!</v>
      </c>
      <c r="AI80" s="96" t="e" cm="1" vm="1">
        <f t="array" aca="1" ref="AI80" ca="1">_xlfn.LET(
_xlpm.rango, INDIRECT("E!$C$" &amp; $BA$8 &amp; ":$DR$" &amp; $BA$9),
_xlpm.col, AI$72+$D79*10,
INDEX(_xlpm.rango,$BA$4-3,_xlpm.col) +
INDEX(_xlpm.rango,$BA$4-2,_xlpm.col) +
INDEX(_xlpm.rango,$BA$4-1,_xlpm.col) +
INDEX(_xlpm.rango,$BA$4, _xlpm.col)
)</f>
        <v>#VALUE!</v>
      </c>
      <c r="AJ80" s="95" t="e" cm="1" vm="1">
        <f t="array" aca="1" ref="AJ80" ca="1">_xlfn.LET(
_xlpm.rango, INDIRECT("E!$C$" &amp; $BA$8 &amp; ":$DR$" &amp; $BA$9),
_xlpm.col, AJ$72+$D79*10,
INDEX(_xlpm.rango,$BA$4-3,_xlpm.col) +
INDEX(_xlpm.rango,$BA$4-2,_xlpm.col) +
INDEX(_xlpm.rango,$BA$4-1,_xlpm.col) +
INDEX(_xlpm.rango,$BA$4, _xlpm.col)
)</f>
        <v>#VALUE!</v>
      </c>
      <c r="AK80" s="95" t="e" cm="1" vm="1">
        <f t="array" aca="1" ref="AK80" ca="1">_xlfn.LET(
_xlpm.rango, INDIRECT("E!$C$" &amp; $BA$8 &amp; ":$DR$" &amp; $BA$9),
_xlpm.col, AK$72+$D79*10,
INDEX(_xlpm.rango,$BA$4-3,_xlpm.col) +
INDEX(_xlpm.rango,$BA$4-2,_xlpm.col) +
INDEX(_xlpm.rango,$BA$4-1,_xlpm.col) +
INDEX(_xlpm.rango,$BA$4, _xlpm.col)
)</f>
        <v>#VALUE!</v>
      </c>
      <c r="AL80" s="95" t="e" cm="1" vm="1">
        <f t="array" aca="1" ref="AL80" ca="1">_xlfn.LET(
_xlpm.rango, INDIRECT("E!$C$" &amp; $BA$8 &amp; ":$DR$" &amp; $BA$9),
_xlpm.col, AL$72+$D79*10,
INDEX(_xlpm.rango,$BA$4-3,_xlpm.col) +
INDEX(_xlpm.rango,$BA$4-2,_xlpm.col) +
INDEX(_xlpm.rango,$BA$4-1,_xlpm.col) +
INDEX(_xlpm.rango,$BA$4, _xlpm.col)
)</f>
        <v>#VALUE!</v>
      </c>
      <c r="AM80" s="95" t="e" cm="1" vm="1">
        <f t="array" aca="1" ref="AM80" ca="1">_xlfn.LET(
_xlpm.rango, INDIRECT("E!$C$" &amp; $BA$8 &amp; ":$DR$" &amp; $BA$9),
_xlpm.col, AM$72+$D79*10,
INDEX(_xlpm.rango,$BA$4-3,_xlpm.col) +
INDEX(_xlpm.rango,$BA$4-2,_xlpm.col) +
INDEX(_xlpm.rango,$BA$4-1,_xlpm.col) +
INDEX(_xlpm.rango,$BA$4, _xlpm.col)
)</f>
        <v>#VALUE!</v>
      </c>
      <c r="AN80" s="95" t="e" cm="1" vm="1">
        <f t="array" aca="1" ref="AN80" ca="1">_xlfn.LET(
_xlpm.rango, INDIRECT("E!$C$" &amp; $BA$8 &amp; ":$DR$" &amp; $BA$9),
_xlpm.col, AN$72+$D79*10,
INDEX(_xlpm.rango,$BA$4-3,_xlpm.col) +
INDEX(_xlpm.rango,$BA$4-2,_xlpm.col) +
INDEX(_xlpm.rango,$BA$4-1,_xlpm.col) +
INDEX(_xlpm.rango,$BA$4, _xlpm.col)
)</f>
        <v>#VALUE!</v>
      </c>
      <c r="AO80" s="95" t="e" cm="1" vm="1">
        <f t="array" aca="1" ref="AO80" ca="1">_xlfn.LET(
_xlpm.rango, INDIRECT("E!$C$" &amp; $BA$8 &amp; ":$DR$" &amp; $BA$9),
_xlpm.col, AO$72+$D79*10,
INDEX(_xlpm.rango,$BA$4-3,_xlpm.col) +
INDEX(_xlpm.rango,$BA$4-2,_xlpm.col) +
INDEX(_xlpm.rango,$BA$4-1,_xlpm.col) +
INDEX(_xlpm.rango,$BA$4, _xlpm.col)
)</f>
        <v>#VALUE!</v>
      </c>
      <c r="AP80" s="95" t="e" cm="1" vm="1">
        <f t="array" aca="1" ref="AP80" ca="1">_xlfn.LET(
_xlpm.rango, INDIRECT("E!$C$" &amp; $BA$8 &amp; ":$DR$" &amp; $BA$9),
_xlpm.col, AP$72+$D79*10,
INDEX(_xlpm.rango,$BA$4-3,_xlpm.col) +
INDEX(_xlpm.rango,$BA$4-2,_xlpm.col) +
INDEX(_xlpm.rango,$BA$4-1,_xlpm.col) +
INDEX(_xlpm.rango,$BA$4, _xlpm.col)
)</f>
        <v>#VALUE!</v>
      </c>
      <c r="AQ80" s="95" t="e" cm="1" vm="1">
        <f t="array" aca="1" ref="AQ80" ca="1">_xlfn.LET(
_xlpm.rango, INDIRECT("E!$C$" &amp; $BA$8 &amp; ":$DR$" &amp; $BA$9),
_xlpm.col, AQ$72+$D79*10,
INDEX(_xlpm.rango,$BA$4-3,_xlpm.col) +
INDEX(_xlpm.rango,$BA$4-2,_xlpm.col) +
INDEX(_xlpm.rango,$BA$4-1,_xlpm.col) +
INDEX(_xlpm.rango,$BA$4, _xlpm.col)
)</f>
        <v>#VALUE!</v>
      </c>
      <c r="AR80" s="95" t="e" cm="1" vm="1">
        <f t="array" aca="1" ref="AR80" ca="1">_xlfn.LET(
_xlpm.rango, INDIRECT("E!$C$" &amp; $BA$8 &amp; ":$DR$" &amp; $BA$9),
_xlpm.col, AR$72+$D79*10,
INDEX(_xlpm.rango,$BA$4-3,_xlpm.col) +
INDEX(_xlpm.rango,$BA$4-2,_xlpm.col) +
INDEX(_xlpm.rango,$BA$4-1,_xlpm.col) +
INDEX(_xlpm.rango,$BA$4, _xlpm.col)
)</f>
        <v>#VALUE!</v>
      </c>
      <c r="AS80" s="112" t="e" cm="1" vm="1">
        <f t="array" aca="1" ref="AS80" ca="1">_xlfn.LET(
_xlpm.rango, INDIRECT("E!$C$" &amp; $BA$8 &amp; ":$DR$" &amp; $BA$9),
_xlpm.col, AS$72+$D79*10,
INDEX(_xlpm.rango,$BA$4-3,_xlpm.col) +
INDEX(_xlpm.rango,$BA$4-2,_xlpm.col) +
INDEX(_xlpm.rango,$BA$4-1,_xlpm.col) +
INDEX(_xlpm.rango,$BA$4, _xlpm.col)
)</f>
        <v>#VALUE!</v>
      </c>
      <c r="AT80" s="118" t="e" vm="2">
        <f t="shared" ca="1" si="0"/>
        <v>#VALUE!</v>
      </c>
      <c r="AU80" s="120" t="e" vm="2">
        <f t="shared" ca="1" si="1"/>
        <v>#VALUE!</v>
      </c>
    </row>
    <row r="81" spans="4:47" x14ac:dyDescent="0.25">
      <c r="D81">
        <v>6</v>
      </c>
      <c r="E81" s="106" t="str">
        <f>Inicio!V9</f>
        <v>Taxi</v>
      </c>
      <c r="F81" s="100" t="e" cm="1" vm="1">
        <f t="array" aca="1" ref="F81" ca="1">_xlfn.LET(
_xlpm.rango, INDIRECT("N!$C$" &amp; $BA$8 &amp; ":$DR$" &amp; $BA$9),
_xlpm.col, F$72+$D80*10,
INDEX(_xlpm.rango,$BA$4-3,_xlpm.col) +
INDEX(_xlpm.rango,$BA$4-2,_xlpm.col) +
INDEX(_xlpm.rango,$BA$4-1,_xlpm.col) +
INDEX(_xlpm.rango,$BA$4, _xlpm.col)
)</f>
        <v>#VALUE!</v>
      </c>
      <c r="G81" s="95" t="e" cm="1" vm="1">
        <f t="array" aca="1" ref="G81" ca="1">_xlfn.LET(
_xlpm.rango, INDIRECT("N!$C$" &amp; $BA$8 &amp; ":$DR$" &amp; $BA$9),
_xlpm.col, G$72+$D80*10,
INDEX(_xlpm.rango,$BA$4-3,_xlpm.col) +
INDEX(_xlpm.rango,$BA$4-2,_xlpm.col) +
INDEX(_xlpm.rango,$BA$4-1,_xlpm.col) +
INDEX(_xlpm.rango,$BA$4, _xlpm.col)
)</f>
        <v>#VALUE!</v>
      </c>
      <c r="H81" s="95" t="e" cm="1" vm="1">
        <f t="array" aca="1" ref="H81" ca="1">_xlfn.LET(
_xlpm.rango, INDIRECT("N!$C$" &amp; $BA$8 &amp; ":$DR$" &amp; $BA$9),
_xlpm.col, H$72+$D80*10,
INDEX(_xlpm.rango,$BA$4-3,_xlpm.col) +
INDEX(_xlpm.rango,$BA$4-2,_xlpm.col) +
INDEX(_xlpm.rango,$BA$4-1,_xlpm.col) +
INDEX(_xlpm.rango,$BA$4, _xlpm.col)
)</f>
        <v>#VALUE!</v>
      </c>
      <c r="I81" s="95" t="e" cm="1" vm="1">
        <f t="array" aca="1" ref="I81" ca="1">_xlfn.LET(
_xlpm.rango, INDIRECT("N!$C$" &amp; $BA$8 &amp; ":$DR$" &amp; $BA$9),
_xlpm.col, I$72+$D80*10,
INDEX(_xlpm.rango,$BA$4-3,_xlpm.col) +
INDEX(_xlpm.rango,$BA$4-2,_xlpm.col) +
INDEX(_xlpm.rango,$BA$4-1,_xlpm.col) +
INDEX(_xlpm.rango,$BA$4, _xlpm.col)
)</f>
        <v>#VALUE!</v>
      </c>
      <c r="J81" s="95" t="e" cm="1" vm="1">
        <f t="array" aca="1" ref="J81" ca="1">_xlfn.LET(
_xlpm.rango, INDIRECT("N!$C$" &amp; $BA$8 &amp; ":$DR$" &amp; $BA$9),
_xlpm.col, J$72+$D80*10,
INDEX(_xlpm.rango,$BA$4-3,_xlpm.col) +
INDEX(_xlpm.rango,$BA$4-2,_xlpm.col) +
INDEX(_xlpm.rango,$BA$4-1,_xlpm.col) +
INDEX(_xlpm.rango,$BA$4, _xlpm.col)
)</f>
        <v>#VALUE!</v>
      </c>
      <c r="K81" s="95" t="e" cm="1" vm="1">
        <f t="array" aca="1" ref="K81" ca="1">_xlfn.LET(
_xlpm.rango, INDIRECT("N!$C$" &amp; $BA$8 &amp; ":$DR$" &amp; $BA$9),
_xlpm.col, K$72+$D80*10,
INDEX(_xlpm.rango,$BA$4-3,_xlpm.col) +
INDEX(_xlpm.rango,$BA$4-2,_xlpm.col) +
INDEX(_xlpm.rango,$BA$4-1,_xlpm.col) +
INDEX(_xlpm.rango,$BA$4, _xlpm.col)
)</f>
        <v>#VALUE!</v>
      </c>
      <c r="L81" s="95" t="e" cm="1" vm="1">
        <f t="array" aca="1" ref="L81" ca="1">_xlfn.LET(
_xlpm.rango, INDIRECT("N!$C$" &amp; $BA$8 &amp; ":$DR$" &amp; $BA$9),
_xlpm.col, L$72+$D80*10,
INDEX(_xlpm.rango,$BA$4-3,_xlpm.col) +
INDEX(_xlpm.rango,$BA$4-2,_xlpm.col) +
INDEX(_xlpm.rango,$BA$4-1,_xlpm.col) +
INDEX(_xlpm.rango,$BA$4, _xlpm.col)
)</f>
        <v>#VALUE!</v>
      </c>
      <c r="M81" s="95" t="e" cm="1" vm="1">
        <f t="array" aca="1" ref="M81" ca="1">_xlfn.LET(
_xlpm.rango, INDIRECT("N!$C$" &amp; $BA$8 &amp; ":$DR$" &amp; $BA$9),
_xlpm.col, M$72+$D80*10,
INDEX(_xlpm.rango,$BA$4-3,_xlpm.col) +
INDEX(_xlpm.rango,$BA$4-2,_xlpm.col) +
INDEX(_xlpm.rango,$BA$4-1,_xlpm.col) +
INDEX(_xlpm.rango,$BA$4, _xlpm.col)
)</f>
        <v>#VALUE!</v>
      </c>
      <c r="N81" s="95" t="e" cm="1" vm="1">
        <f t="array" aca="1" ref="N81" ca="1">_xlfn.LET(
_xlpm.rango, INDIRECT("N!$C$" &amp; $BA$8 &amp; ":$DR$" &amp; $BA$9),
_xlpm.col, N$72+$D80*10,
INDEX(_xlpm.rango,$BA$4-3,_xlpm.col) +
INDEX(_xlpm.rango,$BA$4-2,_xlpm.col) +
INDEX(_xlpm.rango,$BA$4-1,_xlpm.col) +
INDEX(_xlpm.rango,$BA$4, _xlpm.col)
)</f>
        <v>#VALUE!</v>
      </c>
      <c r="O81" s="96" t="e" cm="1" vm="1">
        <f t="array" aca="1" ref="O81" ca="1">_xlfn.LET(
_xlpm.rango, INDIRECT("N!$C$" &amp; $BA$8 &amp; ":$DR$" &amp; $BA$9),
_xlpm.col, O$72+$D80*10,
INDEX(_xlpm.rango,$BA$4-3,_xlpm.col) +
INDEX(_xlpm.rango,$BA$4-2,_xlpm.col) +
INDEX(_xlpm.rango,$BA$4-1,_xlpm.col) +
INDEX(_xlpm.rango,$BA$4, _xlpm.col)
)</f>
        <v>#VALUE!</v>
      </c>
      <c r="P81" s="95" t="e" cm="1" vm="1">
        <f t="array" aca="1" ref="P81" ca="1">_xlfn.LET(
_xlpm.rango, INDIRECT("S!$C$" &amp; $BA$8 &amp; ":$DR$" &amp; $BA$9),
_xlpm.col, P$72+$D80*10,
INDEX(_xlpm.rango,$BA$4-3,_xlpm.col) +
INDEX(_xlpm.rango,$BA$4-2,_xlpm.col) +
INDEX(_xlpm.rango,$BA$4-1,_xlpm.col) +
INDEX(_xlpm.rango,$BA$4, _xlpm.col)
)</f>
        <v>#VALUE!</v>
      </c>
      <c r="Q81" s="95" t="e" cm="1" vm="1">
        <f t="array" aca="1" ref="Q81" ca="1">_xlfn.LET(
_xlpm.rango, INDIRECT("S!$C$" &amp; $BA$8 &amp; ":$DR$" &amp; $BA$9),
_xlpm.col, Q$72+$D80*10,
INDEX(_xlpm.rango,$BA$4-3,_xlpm.col) +
INDEX(_xlpm.rango,$BA$4-2,_xlpm.col) +
INDEX(_xlpm.rango,$BA$4-1,_xlpm.col) +
INDEX(_xlpm.rango,$BA$4, _xlpm.col)
)</f>
        <v>#VALUE!</v>
      </c>
      <c r="R81" s="95" t="e" cm="1" vm="1">
        <f t="array" aca="1" ref="R81" ca="1">_xlfn.LET(
_xlpm.rango, INDIRECT("S!$C$" &amp; $BA$8 &amp; ":$DR$" &amp; $BA$9),
_xlpm.col, R$72+$D80*10,
INDEX(_xlpm.rango,$BA$4-3,_xlpm.col) +
INDEX(_xlpm.rango,$BA$4-2,_xlpm.col) +
INDEX(_xlpm.rango,$BA$4-1,_xlpm.col) +
INDEX(_xlpm.rango,$BA$4, _xlpm.col)
)</f>
        <v>#VALUE!</v>
      </c>
      <c r="S81" s="95" t="e" cm="1" vm="1">
        <f t="array" aca="1" ref="S81" ca="1">_xlfn.LET(
_xlpm.rango, INDIRECT("S!$C$" &amp; $BA$8 &amp; ":$DR$" &amp; $BA$9),
_xlpm.col, S$72+$D80*10,
INDEX(_xlpm.rango,$BA$4-3,_xlpm.col) +
INDEX(_xlpm.rango,$BA$4-2,_xlpm.col) +
INDEX(_xlpm.rango,$BA$4-1,_xlpm.col) +
INDEX(_xlpm.rango,$BA$4, _xlpm.col)
)</f>
        <v>#VALUE!</v>
      </c>
      <c r="T81" s="95" t="e" cm="1" vm="1">
        <f t="array" aca="1" ref="T81" ca="1">_xlfn.LET(
_xlpm.rango, INDIRECT("S!$C$" &amp; $BA$8 &amp; ":$DR$" &amp; $BA$9),
_xlpm.col, T$72+$D80*10,
INDEX(_xlpm.rango,$BA$4-3,_xlpm.col) +
INDEX(_xlpm.rango,$BA$4-2,_xlpm.col) +
INDEX(_xlpm.rango,$BA$4-1,_xlpm.col) +
INDEX(_xlpm.rango,$BA$4, _xlpm.col)
)</f>
        <v>#VALUE!</v>
      </c>
      <c r="U81" s="95" t="e" cm="1" vm="1">
        <f t="array" aca="1" ref="U81" ca="1">_xlfn.LET(
_xlpm.rango, INDIRECT("S!$C$" &amp; $BA$8 &amp; ":$DR$" &amp; $BA$9),
_xlpm.col, U$72+$D80*10,
INDEX(_xlpm.rango,$BA$4-3,_xlpm.col) +
INDEX(_xlpm.rango,$BA$4-2,_xlpm.col) +
INDEX(_xlpm.rango,$BA$4-1,_xlpm.col) +
INDEX(_xlpm.rango,$BA$4, _xlpm.col)
)</f>
        <v>#VALUE!</v>
      </c>
      <c r="V81" s="95" t="e" cm="1" vm="1">
        <f t="array" aca="1" ref="V81" ca="1">_xlfn.LET(
_xlpm.rango, INDIRECT("S!$C$" &amp; $BA$8 &amp; ":$DR$" &amp; $BA$9),
_xlpm.col, V$72+$D80*10,
INDEX(_xlpm.rango,$BA$4-3,_xlpm.col) +
INDEX(_xlpm.rango,$BA$4-2,_xlpm.col) +
INDEX(_xlpm.rango,$BA$4-1,_xlpm.col) +
INDEX(_xlpm.rango,$BA$4, _xlpm.col)
)</f>
        <v>#VALUE!</v>
      </c>
      <c r="W81" s="95" t="e" cm="1" vm="1">
        <f t="array" aca="1" ref="W81" ca="1">_xlfn.LET(
_xlpm.rango, INDIRECT("S!$C$" &amp; $BA$8 &amp; ":$DR$" &amp; $BA$9),
_xlpm.col, W$72+$D80*10,
INDEX(_xlpm.rango,$BA$4-3,_xlpm.col) +
INDEX(_xlpm.rango,$BA$4-2,_xlpm.col) +
INDEX(_xlpm.rango,$BA$4-1,_xlpm.col) +
INDEX(_xlpm.rango,$BA$4, _xlpm.col)
)</f>
        <v>#VALUE!</v>
      </c>
      <c r="X81" s="95" t="e" cm="1" vm="1">
        <f t="array" aca="1" ref="X81" ca="1">_xlfn.LET(
_xlpm.rango, INDIRECT("S!$C$" &amp; $BA$8 &amp; ":$DR$" &amp; $BA$9),
_xlpm.col, X$72+$D80*10,
INDEX(_xlpm.rango,$BA$4-3,_xlpm.col) +
INDEX(_xlpm.rango,$BA$4-2,_xlpm.col) +
INDEX(_xlpm.rango,$BA$4-1,_xlpm.col) +
INDEX(_xlpm.rango,$BA$4, _xlpm.col)
)</f>
        <v>#VALUE!</v>
      </c>
      <c r="Y81" s="95" t="e" cm="1" vm="1">
        <f t="array" aca="1" ref="Y81" ca="1">_xlfn.LET(
_xlpm.rango, INDIRECT("S!$C$" &amp; $BA$8 &amp; ":$DR$" &amp; $BA$9),
_xlpm.col, Y$72+$D80*10,
INDEX(_xlpm.rango,$BA$4-3,_xlpm.col) +
INDEX(_xlpm.rango,$BA$4-2,_xlpm.col) +
INDEX(_xlpm.rango,$BA$4-1,_xlpm.col) +
INDEX(_xlpm.rango,$BA$4, _xlpm.col)
)</f>
        <v>#VALUE!</v>
      </c>
      <c r="Z81" s="100" t="e" cm="1" vm="1">
        <f t="array" aca="1" ref="Z81" ca="1">_xlfn.LET(
_xlpm.rango, INDIRECT("E!$C$" &amp; $BA$8 &amp; ":$DR$" &amp; $BA$9),
_xlpm.col, Z$72+$D80*10,
INDEX(_xlpm.rango,$BA$4-3,_xlpm.col) +
INDEX(_xlpm.rango,$BA$4-2,_xlpm.col) +
INDEX(_xlpm.rango,$BA$4-1,_xlpm.col) +
INDEX(_xlpm.rango,$BA$4, _xlpm.col)
)</f>
        <v>#VALUE!</v>
      </c>
      <c r="AA81" s="95" t="e" cm="1" vm="1">
        <f t="array" aca="1" ref="AA81" ca="1">_xlfn.LET(
_xlpm.rango, INDIRECT("E!$C$" &amp; $BA$8 &amp; ":$DR$" &amp; $BA$9),
_xlpm.col, AA$72+$D80*10,
INDEX(_xlpm.rango,$BA$4-3,_xlpm.col) +
INDEX(_xlpm.rango,$BA$4-2,_xlpm.col) +
INDEX(_xlpm.rango,$BA$4-1,_xlpm.col) +
INDEX(_xlpm.rango,$BA$4, _xlpm.col)
)</f>
        <v>#VALUE!</v>
      </c>
      <c r="AB81" s="95" t="e" cm="1" vm="1">
        <f t="array" aca="1" ref="AB81" ca="1">_xlfn.LET(
_xlpm.rango, INDIRECT("E!$C$" &amp; $BA$8 &amp; ":$DR$" &amp; $BA$9),
_xlpm.col, AB$72+$D80*10,
INDEX(_xlpm.rango,$BA$4-3,_xlpm.col) +
INDEX(_xlpm.rango,$BA$4-2,_xlpm.col) +
INDEX(_xlpm.rango,$BA$4-1,_xlpm.col) +
INDEX(_xlpm.rango,$BA$4, _xlpm.col)
)</f>
        <v>#VALUE!</v>
      </c>
      <c r="AC81" s="95" t="e" cm="1" vm="1">
        <f t="array" aca="1" ref="AC81" ca="1">_xlfn.LET(
_xlpm.rango, INDIRECT("E!$C$" &amp; $BA$8 &amp; ":$DR$" &amp; $BA$9),
_xlpm.col, AC$72+$D80*10,
INDEX(_xlpm.rango,$BA$4-3,_xlpm.col) +
INDEX(_xlpm.rango,$BA$4-2,_xlpm.col) +
INDEX(_xlpm.rango,$BA$4-1,_xlpm.col) +
INDEX(_xlpm.rango,$BA$4, _xlpm.col)
)</f>
        <v>#VALUE!</v>
      </c>
      <c r="AD81" s="95" t="e" cm="1" vm="1">
        <f t="array" aca="1" ref="AD81" ca="1">_xlfn.LET(
_xlpm.rango, INDIRECT("E!$C$" &amp; $BA$8 &amp; ":$DR$" &amp; $BA$9),
_xlpm.col, AD$72+$D80*10,
INDEX(_xlpm.rango,$BA$4-3,_xlpm.col) +
INDEX(_xlpm.rango,$BA$4-2,_xlpm.col) +
INDEX(_xlpm.rango,$BA$4-1,_xlpm.col) +
INDEX(_xlpm.rango,$BA$4, _xlpm.col)
)</f>
        <v>#VALUE!</v>
      </c>
      <c r="AE81" s="95" t="e" cm="1" vm="1">
        <f t="array" aca="1" ref="AE81" ca="1">_xlfn.LET(
_xlpm.rango, INDIRECT("E!$C$" &amp; $BA$8 &amp; ":$DR$" &amp; $BA$9),
_xlpm.col, AE$72+$D80*10,
INDEX(_xlpm.rango,$BA$4-3,_xlpm.col) +
INDEX(_xlpm.rango,$BA$4-2,_xlpm.col) +
INDEX(_xlpm.rango,$BA$4-1,_xlpm.col) +
INDEX(_xlpm.rango,$BA$4, _xlpm.col)
)</f>
        <v>#VALUE!</v>
      </c>
      <c r="AF81" s="95" t="e" cm="1" vm="1">
        <f t="array" aca="1" ref="AF81" ca="1">_xlfn.LET(
_xlpm.rango, INDIRECT("E!$C$" &amp; $BA$8 &amp; ":$DR$" &amp; $BA$9),
_xlpm.col, AF$72+$D80*10,
INDEX(_xlpm.rango,$BA$4-3,_xlpm.col) +
INDEX(_xlpm.rango,$BA$4-2,_xlpm.col) +
INDEX(_xlpm.rango,$BA$4-1,_xlpm.col) +
INDEX(_xlpm.rango,$BA$4, _xlpm.col)
)</f>
        <v>#VALUE!</v>
      </c>
      <c r="AG81" s="95" t="e" cm="1" vm="1">
        <f t="array" aca="1" ref="AG81" ca="1">_xlfn.LET(
_xlpm.rango, INDIRECT("E!$C$" &amp; $BA$8 &amp; ":$DR$" &amp; $BA$9),
_xlpm.col, AG$72+$D80*10,
INDEX(_xlpm.rango,$BA$4-3,_xlpm.col) +
INDEX(_xlpm.rango,$BA$4-2,_xlpm.col) +
INDEX(_xlpm.rango,$BA$4-1,_xlpm.col) +
INDEX(_xlpm.rango,$BA$4, _xlpm.col)
)</f>
        <v>#VALUE!</v>
      </c>
      <c r="AH81" s="95" t="e" cm="1" vm="1">
        <f t="array" aca="1" ref="AH81" ca="1">_xlfn.LET(
_xlpm.rango, INDIRECT("E!$C$" &amp; $BA$8 &amp; ":$DR$" &amp; $BA$9),
_xlpm.col, AH$72+$D80*10,
INDEX(_xlpm.rango,$BA$4-3,_xlpm.col) +
INDEX(_xlpm.rango,$BA$4-2,_xlpm.col) +
INDEX(_xlpm.rango,$BA$4-1,_xlpm.col) +
INDEX(_xlpm.rango,$BA$4, _xlpm.col)
)</f>
        <v>#VALUE!</v>
      </c>
      <c r="AI81" s="96" t="e" cm="1" vm="1">
        <f t="array" aca="1" ref="AI81" ca="1">_xlfn.LET(
_xlpm.rango, INDIRECT("E!$C$" &amp; $BA$8 &amp; ":$DR$" &amp; $BA$9),
_xlpm.col, AI$72+$D80*10,
INDEX(_xlpm.rango,$BA$4-3,_xlpm.col) +
INDEX(_xlpm.rango,$BA$4-2,_xlpm.col) +
INDEX(_xlpm.rango,$BA$4-1,_xlpm.col) +
INDEX(_xlpm.rango,$BA$4, _xlpm.col)
)</f>
        <v>#VALUE!</v>
      </c>
      <c r="AJ81" s="95" t="e" cm="1" vm="1">
        <f t="array" aca="1" ref="AJ81" ca="1">_xlfn.LET(
_xlpm.rango, INDIRECT("E!$C$" &amp; $BA$8 &amp; ":$DR$" &amp; $BA$9),
_xlpm.col, AJ$72+$D80*10,
INDEX(_xlpm.rango,$BA$4-3,_xlpm.col) +
INDEX(_xlpm.rango,$BA$4-2,_xlpm.col) +
INDEX(_xlpm.rango,$BA$4-1,_xlpm.col) +
INDEX(_xlpm.rango,$BA$4, _xlpm.col)
)</f>
        <v>#VALUE!</v>
      </c>
      <c r="AK81" s="95" t="e" cm="1" vm="1">
        <f t="array" aca="1" ref="AK81" ca="1">_xlfn.LET(
_xlpm.rango, INDIRECT("E!$C$" &amp; $BA$8 &amp; ":$DR$" &amp; $BA$9),
_xlpm.col, AK$72+$D80*10,
INDEX(_xlpm.rango,$BA$4-3,_xlpm.col) +
INDEX(_xlpm.rango,$BA$4-2,_xlpm.col) +
INDEX(_xlpm.rango,$BA$4-1,_xlpm.col) +
INDEX(_xlpm.rango,$BA$4, _xlpm.col)
)</f>
        <v>#VALUE!</v>
      </c>
      <c r="AL81" s="95" t="e" cm="1" vm="1">
        <f t="array" aca="1" ref="AL81" ca="1">_xlfn.LET(
_xlpm.rango, INDIRECT("E!$C$" &amp; $BA$8 &amp; ":$DR$" &amp; $BA$9),
_xlpm.col, AL$72+$D80*10,
INDEX(_xlpm.rango,$BA$4-3,_xlpm.col) +
INDEX(_xlpm.rango,$BA$4-2,_xlpm.col) +
INDEX(_xlpm.rango,$BA$4-1,_xlpm.col) +
INDEX(_xlpm.rango,$BA$4, _xlpm.col)
)</f>
        <v>#VALUE!</v>
      </c>
      <c r="AM81" s="95" t="e" cm="1" vm="1">
        <f t="array" aca="1" ref="AM81" ca="1">_xlfn.LET(
_xlpm.rango, INDIRECT("E!$C$" &amp; $BA$8 &amp; ":$DR$" &amp; $BA$9),
_xlpm.col, AM$72+$D80*10,
INDEX(_xlpm.rango,$BA$4-3,_xlpm.col) +
INDEX(_xlpm.rango,$BA$4-2,_xlpm.col) +
INDEX(_xlpm.rango,$BA$4-1,_xlpm.col) +
INDEX(_xlpm.rango,$BA$4, _xlpm.col)
)</f>
        <v>#VALUE!</v>
      </c>
      <c r="AN81" s="95" t="e" cm="1" vm="1">
        <f t="array" aca="1" ref="AN81" ca="1">_xlfn.LET(
_xlpm.rango, INDIRECT("E!$C$" &amp; $BA$8 &amp; ":$DR$" &amp; $BA$9),
_xlpm.col, AN$72+$D80*10,
INDEX(_xlpm.rango,$BA$4-3,_xlpm.col) +
INDEX(_xlpm.rango,$BA$4-2,_xlpm.col) +
INDEX(_xlpm.rango,$BA$4-1,_xlpm.col) +
INDEX(_xlpm.rango,$BA$4, _xlpm.col)
)</f>
        <v>#VALUE!</v>
      </c>
      <c r="AO81" s="95" t="e" cm="1" vm="1">
        <f t="array" aca="1" ref="AO81" ca="1">_xlfn.LET(
_xlpm.rango, INDIRECT("E!$C$" &amp; $BA$8 &amp; ":$DR$" &amp; $BA$9),
_xlpm.col, AO$72+$D80*10,
INDEX(_xlpm.rango,$BA$4-3,_xlpm.col) +
INDEX(_xlpm.rango,$BA$4-2,_xlpm.col) +
INDEX(_xlpm.rango,$BA$4-1,_xlpm.col) +
INDEX(_xlpm.rango,$BA$4, _xlpm.col)
)</f>
        <v>#VALUE!</v>
      </c>
      <c r="AP81" s="95" t="e" cm="1" vm="1">
        <f t="array" aca="1" ref="AP81" ca="1">_xlfn.LET(
_xlpm.rango, INDIRECT("E!$C$" &amp; $BA$8 &amp; ":$DR$" &amp; $BA$9),
_xlpm.col, AP$72+$D80*10,
INDEX(_xlpm.rango,$BA$4-3,_xlpm.col) +
INDEX(_xlpm.rango,$BA$4-2,_xlpm.col) +
INDEX(_xlpm.rango,$BA$4-1,_xlpm.col) +
INDEX(_xlpm.rango,$BA$4, _xlpm.col)
)</f>
        <v>#VALUE!</v>
      </c>
      <c r="AQ81" s="95" t="e" cm="1" vm="1">
        <f t="array" aca="1" ref="AQ81" ca="1">_xlfn.LET(
_xlpm.rango, INDIRECT("E!$C$" &amp; $BA$8 &amp; ":$DR$" &amp; $BA$9),
_xlpm.col, AQ$72+$D80*10,
INDEX(_xlpm.rango,$BA$4-3,_xlpm.col) +
INDEX(_xlpm.rango,$BA$4-2,_xlpm.col) +
INDEX(_xlpm.rango,$BA$4-1,_xlpm.col) +
INDEX(_xlpm.rango,$BA$4, _xlpm.col)
)</f>
        <v>#VALUE!</v>
      </c>
      <c r="AR81" s="95" t="e" cm="1" vm="1">
        <f t="array" aca="1" ref="AR81" ca="1">_xlfn.LET(
_xlpm.rango, INDIRECT("E!$C$" &amp; $BA$8 &amp; ":$DR$" &amp; $BA$9),
_xlpm.col, AR$72+$D80*10,
INDEX(_xlpm.rango,$BA$4-3,_xlpm.col) +
INDEX(_xlpm.rango,$BA$4-2,_xlpm.col) +
INDEX(_xlpm.rango,$BA$4-1,_xlpm.col) +
INDEX(_xlpm.rango,$BA$4, _xlpm.col)
)</f>
        <v>#VALUE!</v>
      </c>
      <c r="AS81" s="112" t="e" cm="1" vm="1">
        <f t="array" aca="1" ref="AS81" ca="1">_xlfn.LET(
_xlpm.rango, INDIRECT("E!$C$" &amp; $BA$8 &amp; ":$DR$" &amp; $BA$9),
_xlpm.col, AS$72+$D80*10,
INDEX(_xlpm.rango,$BA$4-3,_xlpm.col) +
INDEX(_xlpm.rango,$BA$4-2,_xlpm.col) +
INDEX(_xlpm.rango,$BA$4-1,_xlpm.col) +
INDEX(_xlpm.rango,$BA$4, _xlpm.col)
)</f>
        <v>#VALUE!</v>
      </c>
      <c r="AT81" s="118" t="e" vm="2">
        <f t="shared" ca="1" si="0"/>
        <v>#VALUE!</v>
      </c>
      <c r="AU81" s="120" t="e" vm="2">
        <f t="shared" ca="1" si="1"/>
        <v>#VALUE!</v>
      </c>
    </row>
    <row r="82" spans="4:47" x14ac:dyDescent="0.25">
      <c r="D82">
        <v>7</v>
      </c>
      <c r="E82" s="106" t="str">
        <f>Inicio!V10</f>
        <v>Van</v>
      </c>
      <c r="F82" s="100" t="e" cm="1" vm="1">
        <f t="array" aca="1" ref="F82" ca="1">_xlfn.LET(
_xlpm.rango, INDIRECT("N!$C$" &amp; $BA$8 &amp; ":$DR$" &amp; $BA$9),
_xlpm.col, F$72+$D81*10,
INDEX(_xlpm.rango,$BA$4-3,_xlpm.col) +
INDEX(_xlpm.rango,$BA$4-2,_xlpm.col) +
INDEX(_xlpm.rango,$BA$4-1,_xlpm.col) +
INDEX(_xlpm.rango,$BA$4, _xlpm.col)
)</f>
        <v>#VALUE!</v>
      </c>
      <c r="G82" s="95" t="e" cm="1" vm="1">
        <f t="array" aca="1" ref="G82" ca="1">_xlfn.LET(
_xlpm.rango, INDIRECT("N!$C$" &amp; $BA$8 &amp; ":$DR$" &amp; $BA$9),
_xlpm.col, G$72+$D81*10,
INDEX(_xlpm.rango,$BA$4-3,_xlpm.col) +
INDEX(_xlpm.rango,$BA$4-2,_xlpm.col) +
INDEX(_xlpm.rango,$BA$4-1,_xlpm.col) +
INDEX(_xlpm.rango,$BA$4, _xlpm.col)
)</f>
        <v>#VALUE!</v>
      </c>
      <c r="H82" s="95" t="e" cm="1" vm="1">
        <f t="array" aca="1" ref="H82" ca="1">_xlfn.LET(
_xlpm.rango, INDIRECT("N!$C$" &amp; $BA$8 &amp; ":$DR$" &amp; $BA$9),
_xlpm.col, H$72+$D81*10,
INDEX(_xlpm.rango,$BA$4-3,_xlpm.col) +
INDEX(_xlpm.rango,$BA$4-2,_xlpm.col) +
INDEX(_xlpm.rango,$BA$4-1,_xlpm.col) +
INDEX(_xlpm.rango,$BA$4, _xlpm.col)
)</f>
        <v>#VALUE!</v>
      </c>
      <c r="I82" s="95" t="e" cm="1" vm="1">
        <f t="array" aca="1" ref="I82" ca="1">_xlfn.LET(
_xlpm.rango, INDIRECT("N!$C$" &amp; $BA$8 &amp; ":$DR$" &amp; $BA$9),
_xlpm.col, I$72+$D81*10,
INDEX(_xlpm.rango,$BA$4-3,_xlpm.col) +
INDEX(_xlpm.rango,$BA$4-2,_xlpm.col) +
INDEX(_xlpm.rango,$BA$4-1,_xlpm.col) +
INDEX(_xlpm.rango,$BA$4, _xlpm.col)
)</f>
        <v>#VALUE!</v>
      </c>
      <c r="J82" s="95" t="e" cm="1" vm="1">
        <f t="array" aca="1" ref="J82" ca="1">_xlfn.LET(
_xlpm.rango, INDIRECT("N!$C$" &amp; $BA$8 &amp; ":$DR$" &amp; $BA$9),
_xlpm.col, J$72+$D81*10,
INDEX(_xlpm.rango,$BA$4-3,_xlpm.col) +
INDEX(_xlpm.rango,$BA$4-2,_xlpm.col) +
INDEX(_xlpm.rango,$BA$4-1,_xlpm.col) +
INDEX(_xlpm.rango,$BA$4, _xlpm.col)
)</f>
        <v>#VALUE!</v>
      </c>
      <c r="K82" s="95" t="e" cm="1" vm="1">
        <f t="array" aca="1" ref="K82" ca="1">_xlfn.LET(
_xlpm.rango, INDIRECT("N!$C$" &amp; $BA$8 &amp; ":$DR$" &amp; $BA$9),
_xlpm.col, K$72+$D81*10,
INDEX(_xlpm.rango,$BA$4-3,_xlpm.col) +
INDEX(_xlpm.rango,$BA$4-2,_xlpm.col) +
INDEX(_xlpm.rango,$BA$4-1,_xlpm.col) +
INDEX(_xlpm.rango,$BA$4, _xlpm.col)
)</f>
        <v>#VALUE!</v>
      </c>
      <c r="L82" s="95" t="e" cm="1" vm="1">
        <f t="array" aca="1" ref="L82" ca="1">_xlfn.LET(
_xlpm.rango, INDIRECT("N!$C$" &amp; $BA$8 &amp; ":$DR$" &amp; $BA$9),
_xlpm.col, L$72+$D81*10,
INDEX(_xlpm.rango,$BA$4-3,_xlpm.col) +
INDEX(_xlpm.rango,$BA$4-2,_xlpm.col) +
INDEX(_xlpm.rango,$BA$4-1,_xlpm.col) +
INDEX(_xlpm.rango,$BA$4, _xlpm.col)
)</f>
        <v>#VALUE!</v>
      </c>
      <c r="M82" s="95" t="e" cm="1" vm="1">
        <f t="array" aca="1" ref="M82" ca="1">_xlfn.LET(
_xlpm.rango, INDIRECT("N!$C$" &amp; $BA$8 &amp; ":$DR$" &amp; $BA$9),
_xlpm.col, M$72+$D81*10,
INDEX(_xlpm.rango,$BA$4-3,_xlpm.col) +
INDEX(_xlpm.rango,$BA$4-2,_xlpm.col) +
INDEX(_xlpm.rango,$BA$4-1,_xlpm.col) +
INDEX(_xlpm.rango,$BA$4, _xlpm.col)
)</f>
        <v>#VALUE!</v>
      </c>
      <c r="N82" s="95" t="e" cm="1" vm="1">
        <f t="array" aca="1" ref="N82" ca="1">_xlfn.LET(
_xlpm.rango, INDIRECT("N!$C$" &amp; $BA$8 &amp; ":$DR$" &amp; $BA$9),
_xlpm.col, N$72+$D81*10,
INDEX(_xlpm.rango,$BA$4-3,_xlpm.col) +
INDEX(_xlpm.rango,$BA$4-2,_xlpm.col) +
INDEX(_xlpm.rango,$BA$4-1,_xlpm.col) +
INDEX(_xlpm.rango,$BA$4, _xlpm.col)
)</f>
        <v>#VALUE!</v>
      </c>
      <c r="O82" s="96" t="e" cm="1" vm="1">
        <f t="array" aca="1" ref="O82" ca="1">_xlfn.LET(
_xlpm.rango, INDIRECT("N!$C$" &amp; $BA$8 &amp; ":$DR$" &amp; $BA$9),
_xlpm.col, O$72+$D81*10,
INDEX(_xlpm.rango,$BA$4-3,_xlpm.col) +
INDEX(_xlpm.rango,$BA$4-2,_xlpm.col) +
INDEX(_xlpm.rango,$BA$4-1,_xlpm.col) +
INDEX(_xlpm.rango,$BA$4, _xlpm.col)
)</f>
        <v>#VALUE!</v>
      </c>
      <c r="P82" s="95" t="e" cm="1" vm="1">
        <f t="array" aca="1" ref="P82" ca="1">_xlfn.LET(
_xlpm.rango, INDIRECT("S!$C$" &amp; $BA$8 &amp; ":$DR$" &amp; $BA$9),
_xlpm.col, P$72+$D81*10,
INDEX(_xlpm.rango,$BA$4-3,_xlpm.col) +
INDEX(_xlpm.rango,$BA$4-2,_xlpm.col) +
INDEX(_xlpm.rango,$BA$4-1,_xlpm.col) +
INDEX(_xlpm.rango,$BA$4, _xlpm.col)
)</f>
        <v>#VALUE!</v>
      </c>
      <c r="Q82" s="95" t="e" cm="1" vm="1">
        <f t="array" aca="1" ref="Q82" ca="1">_xlfn.LET(
_xlpm.rango, INDIRECT("S!$C$" &amp; $BA$8 &amp; ":$DR$" &amp; $BA$9),
_xlpm.col, Q$72+$D81*10,
INDEX(_xlpm.rango,$BA$4-3,_xlpm.col) +
INDEX(_xlpm.rango,$BA$4-2,_xlpm.col) +
INDEX(_xlpm.rango,$BA$4-1,_xlpm.col) +
INDEX(_xlpm.rango,$BA$4, _xlpm.col)
)</f>
        <v>#VALUE!</v>
      </c>
      <c r="R82" s="95" t="e" cm="1" vm="1">
        <f t="array" aca="1" ref="R82" ca="1">_xlfn.LET(
_xlpm.rango, INDIRECT("S!$C$" &amp; $BA$8 &amp; ":$DR$" &amp; $BA$9),
_xlpm.col, R$72+$D81*10,
INDEX(_xlpm.rango,$BA$4-3,_xlpm.col) +
INDEX(_xlpm.rango,$BA$4-2,_xlpm.col) +
INDEX(_xlpm.rango,$BA$4-1,_xlpm.col) +
INDEX(_xlpm.rango,$BA$4, _xlpm.col)
)</f>
        <v>#VALUE!</v>
      </c>
      <c r="S82" s="95" t="e" cm="1" vm="1">
        <f t="array" aca="1" ref="S82" ca="1">_xlfn.LET(
_xlpm.rango, INDIRECT("S!$C$" &amp; $BA$8 &amp; ":$DR$" &amp; $BA$9),
_xlpm.col, S$72+$D81*10,
INDEX(_xlpm.rango,$BA$4-3,_xlpm.col) +
INDEX(_xlpm.rango,$BA$4-2,_xlpm.col) +
INDEX(_xlpm.rango,$BA$4-1,_xlpm.col) +
INDEX(_xlpm.rango,$BA$4, _xlpm.col)
)</f>
        <v>#VALUE!</v>
      </c>
      <c r="T82" s="95" t="e" cm="1" vm="1">
        <f t="array" aca="1" ref="T82" ca="1">_xlfn.LET(
_xlpm.rango, INDIRECT("S!$C$" &amp; $BA$8 &amp; ":$DR$" &amp; $BA$9),
_xlpm.col, T$72+$D81*10,
INDEX(_xlpm.rango,$BA$4-3,_xlpm.col) +
INDEX(_xlpm.rango,$BA$4-2,_xlpm.col) +
INDEX(_xlpm.rango,$BA$4-1,_xlpm.col) +
INDEX(_xlpm.rango,$BA$4, _xlpm.col)
)</f>
        <v>#VALUE!</v>
      </c>
      <c r="U82" s="95" t="e" cm="1" vm="1">
        <f t="array" aca="1" ref="U82" ca="1">_xlfn.LET(
_xlpm.rango, INDIRECT("S!$C$" &amp; $BA$8 &amp; ":$DR$" &amp; $BA$9),
_xlpm.col, U$72+$D81*10,
INDEX(_xlpm.rango,$BA$4-3,_xlpm.col) +
INDEX(_xlpm.rango,$BA$4-2,_xlpm.col) +
INDEX(_xlpm.rango,$BA$4-1,_xlpm.col) +
INDEX(_xlpm.rango,$BA$4, _xlpm.col)
)</f>
        <v>#VALUE!</v>
      </c>
      <c r="V82" s="95" t="e" cm="1" vm="1">
        <f t="array" aca="1" ref="V82" ca="1">_xlfn.LET(
_xlpm.rango, INDIRECT("S!$C$" &amp; $BA$8 &amp; ":$DR$" &amp; $BA$9),
_xlpm.col, V$72+$D81*10,
INDEX(_xlpm.rango,$BA$4-3,_xlpm.col) +
INDEX(_xlpm.rango,$BA$4-2,_xlpm.col) +
INDEX(_xlpm.rango,$BA$4-1,_xlpm.col) +
INDEX(_xlpm.rango,$BA$4, _xlpm.col)
)</f>
        <v>#VALUE!</v>
      </c>
      <c r="W82" s="95" t="e" cm="1" vm="1">
        <f t="array" aca="1" ref="W82" ca="1">_xlfn.LET(
_xlpm.rango, INDIRECT("S!$C$" &amp; $BA$8 &amp; ":$DR$" &amp; $BA$9),
_xlpm.col, W$72+$D81*10,
INDEX(_xlpm.rango,$BA$4-3,_xlpm.col) +
INDEX(_xlpm.rango,$BA$4-2,_xlpm.col) +
INDEX(_xlpm.rango,$BA$4-1,_xlpm.col) +
INDEX(_xlpm.rango,$BA$4, _xlpm.col)
)</f>
        <v>#VALUE!</v>
      </c>
      <c r="X82" s="95" t="e" cm="1" vm="1">
        <f t="array" aca="1" ref="X82" ca="1">_xlfn.LET(
_xlpm.rango, INDIRECT("S!$C$" &amp; $BA$8 &amp; ":$DR$" &amp; $BA$9),
_xlpm.col, X$72+$D81*10,
INDEX(_xlpm.rango,$BA$4-3,_xlpm.col) +
INDEX(_xlpm.rango,$BA$4-2,_xlpm.col) +
INDEX(_xlpm.rango,$BA$4-1,_xlpm.col) +
INDEX(_xlpm.rango,$BA$4, _xlpm.col)
)</f>
        <v>#VALUE!</v>
      </c>
      <c r="Y82" s="95" t="e" cm="1" vm="1">
        <f t="array" aca="1" ref="Y82" ca="1">_xlfn.LET(
_xlpm.rango, INDIRECT("S!$C$" &amp; $BA$8 &amp; ":$DR$" &amp; $BA$9),
_xlpm.col, Y$72+$D81*10,
INDEX(_xlpm.rango,$BA$4-3,_xlpm.col) +
INDEX(_xlpm.rango,$BA$4-2,_xlpm.col) +
INDEX(_xlpm.rango,$BA$4-1,_xlpm.col) +
INDEX(_xlpm.rango,$BA$4, _xlpm.col)
)</f>
        <v>#VALUE!</v>
      </c>
      <c r="Z82" s="100" t="e" cm="1" vm="1">
        <f t="array" aca="1" ref="Z82" ca="1">_xlfn.LET(
_xlpm.rango, INDIRECT("E!$C$" &amp; $BA$8 &amp; ":$DR$" &amp; $BA$9),
_xlpm.col, Z$72+$D81*10,
INDEX(_xlpm.rango,$BA$4-3,_xlpm.col) +
INDEX(_xlpm.rango,$BA$4-2,_xlpm.col) +
INDEX(_xlpm.rango,$BA$4-1,_xlpm.col) +
INDEX(_xlpm.rango,$BA$4, _xlpm.col)
)</f>
        <v>#VALUE!</v>
      </c>
      <c r="AA82" s="95" t="e" cm="1" vm="1">
        <f t="array" aca="1" ref="AA82" ca="1">_xlfn.LET(
_xlpm.rango, INDIRECT("E!$C$" &amp; $BA$8 &amp; ":$DR$" &amp; $BA$9),
_xlpm.col, AA$72+$D81*10,
INDEX(_xlpm.rango,$BA$4-3,_xlpm.col) +
INDEX(_xlpm.rango,$BA$4-2,_xlpm.col) +
INDEX(_xlpm.rango,$BA$4-1,_xlpm.col) +
INDEX(_xlpm.rango,$BA$4, _xlpm.col)
)</f>
        <v>#VALUE!</v>
      </c>
      <c r="AB82" s="95" t="e" cm="1" vm="1">
        <f t="array" aca="1" ref="AB82" ca="1">_xlfn.LET(
_xlpm.rango, INDIRECT("E!$C$" &amp; $BA$8 &amp; ":$DR$" &amp; $BA$9),
_xlpm.col, AB$72+$D81*10,
INDEX(_xlpm.rango,$BA$4-3,_xlpm.col) +
INDEX(_xlpm.rango,$BA$4-2,_xlpm.col) +
INDEX(_xlpm.rango,$BA$4-1,_xlpm.col) +
INDEX(_xlpm.rango,$BA$4, _xlpm.col)
)</f>
        <v>#VALUE!</v>
      </c>
      <c r="AC82" s="95" t="e" cm="1" vm="1">
        <f t="array" aca="1" ref="AC82" ca="1">_xlfn.LET(
_xlpm.rango, INDIRECT("E!$C$" &amp; $BA$8 &amp; ":$DR$" &amp; $BA$9),
_xlpm.col, AC$72+$D81*10,
INDEX(_xlpm.rango,$BA$4-3,_xlpm.col) +
INDEX(_xlpm.rango,$BA$4-2,_xlpm.col) +
INDEX(_xlpm.rango,$BA$4-1,_xlpm.col) +
INDEX(_xlpm.rango,$BA$4, _xlpm.col)
)</f>
        <v>#VALUE!</v>
      </c>
      <c r="AD82" s="95" t="e" cm="1" vm="1">
        <f t="array" aca="1" ref="AD82" ca="1">_xlfn.LET(
_xlpm.rango, INDIRECT("E!$C$" &amp; $BA$8 &amp; ":$DR$" &amp; $BA$9),
_xlpm.col, AD$72+$D81*10,
INDEX(_xlpm.rango,$BA$4-3,_xlpm.col) +
INDEX(_xlpm.rango,$BA$4-2,_xlpm.col) +
INDEX(_xlpm.rango,$BA$4-1,_xlpm.col) +
INDEX(_xlpm.rango,$BA$4, _xlpm.col)
)</f>
        <v>#VALUE!</v>
      </c>
      <c r="AE82" s="95" t="e" cm="1" vm="1">
        <f t="array" aca="1" ref="AE82" ca="1">_xlfn.LET(
_xlpm.rango, INDIRECT("E!$C$" &amp; $BA$8 &amp; ":$DR$" &amp; $BA$9),
_xlpm.col, AE$72+$D81*10,
INDEX(_xlpm.rango,$BA$4-3,_xlpm.col) +
INDEX(_xlpm.rango,$BA$4-2,_xlpm.col) +
INDEX(_xlpm.rango,$BA$4-1,_xlpm.col) +
INDEX(_xlpm.rango,$BA$4, _xlpm.col)
)</f>
        <v>#VALUE!</v>
      </c>
      <c r="AF82" s="95" t="e" cm="1" vm="1">
        <f t="array" aca="1" ref="AF82" ca="1">_xlfn.LET(
_xlpm.rango, INDIRECT("E!$C$" &amp; $BA$8 &amp; ":$DR$" &amp; $BA$9),
_xlpm.col, AF$72+$D81*10,
INDEX(_xlpm.rango,$BA$4-3,_xlpm.col) +
INDEX(_xlpm.rango,$BA$4-2,_xlpm.col) +
INDEX(_xlpm.rango,$BA$4-1,_xlpm.col) +
INDEX(_xlpm.rango,$BA$4, _xlpm.col)
)</f>
        <v>#VALUE!</v>
      </c>
      <c r="AG82" s="95" t="e" cm="1" vm="1">
        <f t="array" aca="1" ref="AG82" ca="1">_xlfn.LET(
_xlpm.rango, INDIRECT("E!$C$" &amp; $BA$8 &amp; ":$DR$" &amp; $BA$9),
_xlpm.col, AG$72+$D81*10,
INDEX(_xlpm.rango,$BA$4-3,_xlpm.col) +
INDEX(_xlpm.rango,$BA$4-2,_xlpm.col) +
INDEX(_xlpm.rango,$BA$4-1,_xlpm.col) +
INDEX(_xlpm.rango,$BA$4, _xlpm.col)
)</f>
        <v>#VALUE!</v>
      </c>
      <c r="AH82" s="95" t="e" cm="1" vm="1">
        <f t="array" aca="1" ref="AH82" ca="1">_xlfn.LET(
_xlpm.rango, INDIRECT("E!$C$" &amp; $BA$8 &amp; ":$DR$" &amp; $BA$9),
_xlpm.col, AH$72+$D81*10,
INDEX(_xlpm.rango,$BA$4-3,_xlpm.col) +
INDEX(_xlpm.rango,$BA$4-2,_xlpm.col) +
INDEX(_xlpm.rango,$BA$4-1,_xlpm.col) +
INDEX(_xlpm.rango,$BA$4, _xlpm.col)
)</f>
        <v>#VALUE!</v>
      </c>
      <c r="AI82" s="96" t="e" cm="1" vm="1">
        <f t="array" aca="1" ref="AI82" ca="1">_xlfn.LET(
_xlpm.rango, INDIRECT("E!$C$" &amp; $BA$8 &amp; ":$DR$" &amp; $BA$9),
_xlpm.col, AI$72+$D81*10,
INDEX(_xlpm.rango,$BA$4-3,_xlpm.col) +
INDEX(_xlpm.rango,$BA$4-2,_xlpm.col) +
INDEX(_xlpm.rango,$BA$4-1,_xlpm.col) +
INDEX(_xlpm.rango,$BA$4, _xlpm.col)
)</f>
        <v>#VALUE!</v>
      </c>
      <c r="AJ82" s="95" t="e" cm="1" vm="1">
        <f t="array" aca="1" ref="AJ82" ca="1">_xlfn.LET(
_xlpm.rango, INDIRECT("E!$C$" &amp; $BA$8 &amp; ":$DR$" &amp; $BA$9),
_xlpm.col, AJ$72+$D81*10,
INDEX(_xlpm.rango,$BA$4-3,_xlpm.col) +
INDEX(_xlpm.rango,$BA$4-2,_xlpm.col) +
INDEX(_xlpm.rango,$BA$4-1,_xlpm.col) +
INDEX(_xlpm.rango,$BA$4, _xlpm.col)
)</f>
        <v>#VALUE!</v>
      </c>
      <c r="AK82" s="95" t="e" cm="1" vm="1">
        <f t="array" aca="1" ref="AK82" ca="1">_xlfn.LET(
_xlpm.rango, INDIRECT("E!$C$" &amp; $BA$8 &amp; ":$DR$" &amp; $BA$9),
_xlpm.col, AK$72+$D81*10,
INDEX(_xlpm.rango,$BA$4-3,_xlpm.col) +
INDEX(_xlpm.rango,$BA$4-2,_xlpm.col) +
INDEX(_xlpm.rango,$BA$4-1,_xlpm.col) +
INDEX(_xlpm.rango,$BA$4, _xlpm.col)
)</f>
        <v>#VALUE!</v>
      </c>
      <c r="AL82" s="95" t="e" cm="1" vm="1">
        <f t="array" aca="1" ref="AL82" ca="1">_xlfn.LET(
_xlpm.rango, INDIRECT("E!$C$" &amp; $BA$8 &amp; ":$DR$" &amp; $BA$9),
_xlpm.col, AL$72+$D81*10,
INDEX(_xlpm.rango,$BA$4-3,_xlpm.col) +
INDEX(_xlpm.rango,$BA$4-2,_xlpm.col) +
INDEX(_xlpm.rango,$BA$4-1,_xlpm.col) +
INDEX(_xlpm.rango,$BA$4, _xlpm.col)
)</f>
        <v>#VALUE!</v>
      </c>
      <c r="AM82" s="95" t="e" cm="1" vm="1">
        <f t="array" aca="1" ref="AM82" ca="1">_xlfn.LET(
_xlpm.rango, INDIRECT("E!$C$" &amp; $BA$8 &amp; ":$DR$" &amp; $BA$9),
_xlpm.col, AM$72+$D81*10,
INDEX(_xlpm.rango,$BA$4-3,_xlpm.col) +
INDEX(_xlpm.rango,$BA$4-2,_xlpm.col) +
INDEX(_xlpm.rango,$BA$4-1,_xlpm.col) +
INDEX(_xlpm.rango,$BA$4, _xlpm.col)
)</f>
        <v>#VALUE!</v>
      </c>
      <c r="AN82" s="95" t="e" cm="1" vm="1">
        <f t="array" aca="1" ref="AN82" ca="1">_xlfn.LET(
_xlpm.rango, INDIRECT("E!$C$" &amp; $BA$8 &amp; ":$DR$" &amp; $BA$9),
_xlpm.col, AN$72+$D81*10,
INDEX(_xlpm.rango,$BA$4-3,_xlpm.col) +
INDEX(_xlpm.rango,$BA$4-2,_xlpm.col) +
INDEX(_xlpm.rango,$BA$4-1,_xlpm.col) +
INDEX(_xlpm.rango,$BA$4, _xlpm.col)
)</f>
        <v>#VALUE!</v>
      </c>
      <c r="AO82" s="95" t="e" cm="1" vm="1">
        <f t="array" aca="1" ref="AO82" ca="1">_xlfn.LET(
_xlpm.rango, INDIRECT("E!$C$" &amp; $BA$8 &amp; ":$DR$" &amp; $BA$9),
_xlpm.col, AO$72+$D81*10,
INDEX(_xlpm.rango,$BA$4-3,_xlpm.col) +
INDEX(_xlpm.rango,$BA$4-2,_xlpm.col) +
INDEX(_xlpm.rango,$BA$4-1,_xlpm.col) +
INDEX(_xlpm.rango,$BA$4, _xlpm.col)
)</f>
        <v>#VALUE!</v>
      </c>
      <c r="AP82" s="95" t="e" cm="1" vm="1">
        <f t="array" aca="1" ref="AP82" ca="1">_xlfn.LET(
_xlpm.rango, INDIRECT("E!$C$" &amp; $BA$8 &amp; ":$DR$" &amp; $BA$9),
_xlpm.col, AP$72+$D81*10,
INDEX(_xlpm.rango,$BA$4-3,_xlpm.col) +
INDEX(_xlpm.rango,$BA$4-2,_xlpm.col) +
INDEX(_xlpm.rango,$BA$4-1,_xlpm.col) +
INDEX(_xlpm.rango,$BA$4, _xlpm.col)
)</f>
        <v>#VALUE!</v>
      </c>
      <c r="AQ82" s="95" t="e" cm="1" vm="1">
        <f t="array" aca="1" ref="AQ82" ca="1">_xlfn.LET(
_xlpm.rango, INDIRECT("E!$C$" &amp; $BA$8 &amp; ":$DR$" &amp; $BA$9),
_xlpm.col, AQ$72+$D81*10,
INDEX(_xlpm.rango,$BA$4-3,_xlpm.col) +
INDEX(_xlpm.rango,$BA$4-2,_xlpm.col) +
INDEX(_xlpm.rango,$BA$4-1,_xlpm.col) +
INDEX(_xlpm.rango,$BA$4, _xlpm.col)
)</f>
        <v>#VALUE!</v>
      </c>
      <c r="AR82" s="95" t="e" cm="1" vm="1">
        <f t="array" aca="1" ref="AR82" ca="1">_xlfn.LET(
_xlpm.rango, INDIRECT("E!$C$" &amp; $BA$8 &amp; ":$DR$" &amp; $BA$9),
_xlpm.col, AR$72+$D81*10,
INDEX(_xlpm.rango,$BA$4-3,_xlpm.col) +
INDEX(_xlpm.rango,$BA$4-2,_xlpm.col) +
INDEX(_xlpm.rango,$BA$4-1,_xlpm.col) +
INDEX(_xlpm.rango,$BA$4, _xlpm.col)
)</f>
        <v>#VALUE!</v>
      </c>
      <c r="AS82" s="112" t="e" cm="1" vm="1">
        <f t="array" aca="1" ref="AS82" ca="1">_xlfn.LET(
_xlpm.rango, INDIRECT("E!$C$" &amp; $BA$8 &amp; ":$DR$" &amp; $BA$9),
_xlpm.col, AS$72+$D81*10,
INDEX(_xlpm.rango,$BA$4-3,_xlpm.col) +
INDEX(_xlpm.rango,$BA$4-2,_xlpm.col) +
INDEX(_xlpm.rango,$BA$4-1,_xlpm.col) +
INDEX(_xlpm.rango,$BA$4, _xlpm.col)
)</f>
        <v>#VALUE!</v>
      </c>
      <c r="AT82" s="118" t="e" vm="2">
        <f t="shared" ca="1" si="0"/>
        <v>#VALUE!</v>
      </c>
      <c r="AU82" s="120" t="e" vm="2">
        <f t="shared" ca="1" si="1"/>
        <v>#VALUE!</v>
      </c>
    </row>
    <row r="83" spans="4:47" x14ac:dyDescent="0.25">
      <c r="D83">
        <v>8</v>
      </c>
      <c r="E83" s="106" t="str">
        <f>Inicio!V11</f>
        <v>Combi</v>
      </c>
      <c r="F83" s="100" t="e" cm="1" vm="1">
        <f t="array" aca="1" ref="F83" ca="1">_xlfn.LET(
_xlpm.rango, INDIRECT("N!$C$" &amp; $BA$8 &amp; ":$DR$" &amp; $BA$9),
_xlpm.col, F$72+$D82*10,
INDEX(_xlpm.rango,$BA$4-3,_xlpm.col) +
INDEX(_xlpm.rango,$BA$4-2,_xlpm.col) +
INDEX(_xlpm.rango,$BA$4-1,_xlpm.col) +
INDEX(_xlpm.rango,$BA$4, _xlpm.col)
)</f>
        <v>#VALUE!</v>
      </c>
      <c r="G83" s="95" t="e" cm="1" vm="1">
        <f t="array" aca="1" ref="G83" ca="1">_xlfn.LET(
_xlpm.rango, INDIRECT("N!$C$" &amp; $BA$8 &amp; ":$DR$" &amp; $BA$9),
_xlpm.col, G$72+$D82*10,
INDEX(_xlpm.rango,$BA$4-3,_xlpm.col) +
INDEX(_xlpm.rango,$BA$4-2,_xlpm.col) +
INDEX(_xlpm.rango,$BA$4-1,_xlpm.col) +
INDEX(_xlpm.rango,$BA$4, _xlpm.col)
)</f>
        <v>#VALUE!</v>
      </c>
      <c r="H83" s="95" t="e" cm="1" vm="1">
        <f t="array" aca="1" ref="H83" ca="1">_xlfn.LET(
_xlpm.rango, INDIRECT("N!$C$" &amp; $BA$8 &amp; ":$DR$" &amp; $BA$9),
_xlpm.col, H$72+$D82*10,
INDEX(_xlpm.rango,$BA$4-3,_xlpm.col) +
INDEX(_xlpm.rango,$BA$4-2,_xlpm.col) +
INDEX(_xlpm.rango,$BA$4-1,_xlpm.col) +
INDEX(_xlpm.rango,$BA$4, _xlpm.col)
)</f>
        <v>#VALUE!</v>
      </c>
      <c r="I83" s="95" t="e" cm="1" vm="1">
        <f t="array" aca="1" ref="I83" ca="1">_xlfn.LET(
_xlpm.rango, INDIRECT("N!$C$" &amp; $BA$8 &amp; ":$DR$" &amp; $BA$9),
_xlpm.col, I$72+$D82*10,
INDEX(_xlpm.rango,$BA$4-3,_xlpm.col) +
INDEX(_xlpm.rango,$BA$4-2,_xlpm.col) +
INDEX(_xlpm.rango,$BA$4-1,_xlpm.col) +
INDEX(_xlpm.rango,$BA$4, _xlpm.col)
)</f>
        <v>#VALUE!</v>
      </c>
      <c r="J83" s="95" t="e" cm="1" vm="1">
        <f t="array" aca="1" ref="J83" ca="1">_xlfn.LET(
_xlpm.rango, INDIRECT("N!$C$" &amp; $BA$8 &amp; ":$DR$" &amp; $BA$9),
_xlpm.col, J$72+$D82*10,
INDEX(_xlpm.rango,$BA$4-3,_xlpm.col) +
INDEX(_xlpm.rango,$BA$4-2,_xlpm.col) +
INDEX(_xlpm.rango,$BA$4-1,_xlpm.col) +
INDEX(_xlpm.rango,$BA$4, _xlpm.col)
)</f>
        <v>#VALUE!</v>
      </c>
      <c r="K83" s="95" t="e" cm="1" vm="1">
        <f t="array" aca="1" ref="K83" ca="1">_xlfn.LET(
_xlpm.rango, INDIRECT("N!$C$" &amp; $BA$8 &amp; ":$DR$" &amp; $BA$9),
_xlpm.col, K$72+$D82*10,
INDEX(_xlpm.rango,$BA$4-3,_xlpm.col) +
INDEX(_xlpm.rango,$BA$4-2,_xlpm.col) +
INDEX(_xlpm.rango,$BA$4-1,_xlpm.col) +
INDEX(_xlpm.rango,$BA$4, _xlpm.col)
)</f>
        <v>#VALUE!</v>
      </c>
      <c r="L83" s="95" t="e" cm="1" vm="1">
        <f t="array" aca="1" ref="L83" ca="1">_xlfn.LET(
_xlpm.rango, INDIRECT("N!$C$" &amp; $BA$8 &amp; ":$DR$" &amp; $BA$9),
_xlpm.col, L$72+$D82*10,
INDEX(_xlpm.rango,$BA$4-3,_xlpm.col) +
INDEX(_xlpm.rango,$BA$4-2,_xlpm.col) +
INDEX(_xlpm.rango,$BA$4-1,_xlpm.col) +
INDEX(_xlpm.rango,$BA$4, _xlpm.col)
)</f>
        <v>#VALUE!</v>
      </c>
      <c r="M83" s="95" t="e" cm="1" vm="1">
        <f t="array" aca="1" ref="M83" ca="1">_xlfn.LET(
_xlpm.rango, INDIRECT("N!$C$" &amp; $BA$8 &amp; ":$DR$" &amp; $BA$9),
_xlpm.col, M$72+$D82*10,
INDEX(_xlpm.rango,$BA$4-3,_xlpm.col) +
INDEX(_xlpm.rango,$BA$4-2,_xlpm.col) +
INDEX(_xlpm.rango,$BA$4-1,_xlpm.col) +
INDEX(_xlpm.rango,$BA$4, _xlpm.col)
)</f>
        <v>#VALUE!</v>
      </c>
      <c r="N83" s="95" t="e" cm="1" vm="1">
        <f t="array" aca="1" ref="N83" ca="1">_xlfn.LET(
_xlpm.rango, INDIRECT("N!$C$" &amp; $BA$8 &amp; ":$DR$" &amp; $BA$9),
_xlpm.col, N$72+$D82*10,
INDEX(_xlpm.rango,$BA$4-3,_xlpm.col) +
INDEX(_xlpm.rango,$BA$4-2,_xlpm.col) +
INDEX(_xlpm.rango,$BA$4-1,_xlpm.col) +
INDEX(_xlpm.rango,$BA$4, _xlpm.col)
)</f>
        <v>#VALUE!</v>
      </c>
      <c r="O83" s="96" t="e" cm="1" vm="1">
        <f t="array" aca="1" ref="O83" ca="1">_xlfn.LET(
_xlpm.rango, INDIRECT("N!$C$" &amp; $BA$8 &amp; ":$DR$" &amp; $BA$9),
_xlpm.col, O$72+$D82*10,
INDEX(_xlpm.rango,$BA$4-3,_xlpm.col) +
INDEX(_xlpm.rango,$BA$4-2,_xlpm.col) +
INDEX(_xlpm.rango,$BA$4-1,_xlpm.col) +
INDEX(_xlpm.rango,$BA$4, _xlpm.col)
)</f>
        <v>#VALUE!</v>
      </c>
      <c r="P83" s="95" t="e" cm="1" vm="1">
        <f t="array" aca="1" ref="P83" ca="1">_xlfn.LET(
_xlpm.rango, INDIRECT("S!$C$" &amp; $BA$8 &amp; ":$DR$" &amp; $BA$9),
_xlpm.col, P$72+$D82*10,
INDEX(_xlpm.rango,$BA$4-3,_xlpm.col) +
INDEX(_xlpm.rango,$BA$4-2,_xlpm.col) +
INDEX(_xlpm.rango,$BA$4-1,_xlpm.col) +
INDEX(_xlpm.rango,$BA$4, _xlpm.col)
)</f>
        <v>#VALUE!</v>
      </c>
      <c r="Q83" s="95" t="e" cm="1" vm="1">
        <f t="array" aca="1" ref="Q83" ca="1">_xlfn.LET(
_xlpm.rango, INDIRECT("S!$C$" &amp; $BA$8 &amp; ":$DR$" &amp; $BA$9),
_xlpm.col, Q$72+$D82*10,
INDEX(_xlpm.rango,$BA$4-3,_xlpm.col) +
INDEX(_xlpm.rango,$BA$4-2,_xlpm.col) +
INDEX(_xlpm.rango,$BA$4-1,_xlpm.col) +
INDEX(_xlpm.rango,$BA$4, _xlpm.col)
)</f>
        <v>#VALUE!</v>
      </c>
      <c r="R83" s="95" t="e" cm="1" vm="1">
        <f t="array" aca="1" ref="R83" ca="1">_xlfn.LET(
_xlpm.rango, INDIRECT("S!$C$" &amp; $BA$8 &amp; ":$DR$" &amp; $BA$9),
_xlpm.col, R$72+$D82*10,
INDEX(_xlpm.rango,$BA$4-3,_xlpm.col) +
INDEX(_xlpm.rango,$BA$4-2,_xlpm.col) +
INDEX(_xlpm.rango,$BA$4-1,_xlpm.col) +
INDEX(_xlpm.rango,$BA$4, _xlpm.col)
)</f>
        <v>#VALUE!</v>
      </c>
      <c r="S83" s="95" t="e" cm="1" vm="1">
        <f t="array" aca="1" ref="S83" ca="1">_xlfn.LET(
_xlpm.rango, INDIRECT("S!$C$" &amp; $BA$8 &amp; ":$DR$" &amp; $BA$9),
_xlpm.col, S$72+$D82*10,
INDEX(_xlpm.rango,$BA$4-3,_xlpm.col) +
INDEX(_xlpm.rango,$BA$4-2,_xlpm.col) +
INDEX(_xlpm.rango,$BA$4-1,_xlpm.col) +
INDEX(_xlpm.rango,$BA$4, _xlpm.col)
)</f>
        <v>#VALUE!</v>
      </c>
      <c r="T83" s="95" t="e" cm="1" vm="1">
        <f t="array" aca="1" ref="T83" ca="1">_xlfn.LET(
_xlpm.rango, INDIRECT("S!$C$" &amp; $BA$8 &amp; ":$DR$" &amp; $BA$9),
_xlpm.col, T$72+$D82*10,
INDEX(_xlpm.rango,$BA$4-3,_xlpm.col) +
INDEX(_xlpm.rango,$BA$4-2,_xlpm.col) +
INDEX(_xlpm.rango,$BA$4-1,_xlpm.col) +
INDEX(_xlpm.rango,$BA$4, _xlpm.col)
)</f>
        <v>#VALUE!</v>
      </c>
      <c r="U83" s="95" t="e" cm="1" vm="1">
        <f t="array" aca="1" ref="U83" ca="1">_xlfn.LET(
_xlpm.rango, INDIRECT("S!$C$" &amp; $BA$8 &amp; ":$DR$" &amp; $BA$9),
_xlpm.col, U$72+$D82*10,
INDEX(_xlpm.rango,$BA$4-3,_xlpm.col) +
INDEX(_xlpm.rango,$BA$4-2,_xlpm.col) +
INDEX(_xlpm.rango,$BA$4-1,_xlpm.col) +
INDEX(_xlpm.rango,$BA$4, _xlpm.col)
)</f>
        <v>#VALUE!</v>
      </c>
      <c r="V83" s="95" t="e" cm="1" vm="1">
        <f t="array" aca="1" ref="V83" ca="1">_xlfn.LET(
_xlpm.rango, INDIRECT("S!$C$" &amp; $BA$8 &amp; ":$DR$" &amp; $BA$9),
_xlpm.col, V$72+$D82*10,
INDEX(_xlpm.rango,$BA$4-3,_xlpm.col) +
INDEX(_xlpm.rango,$BA$4-2,_xlpm.col) +
INDEX(_xlpm.rango,$BA$4-1,_xlpm.col) +
INDEX(_xlpm.rango,$BA$4, _xlpm.col)
)</f>
        <v>#VALUE!</v>
      </c>
      <c r="W83" s="95" t="e" cm="1" vm="1">
        <f t="array" aca="1" ref="W83" ca="1">_xlfn.LET(
_xlpm.rango, INDIRECT("S!$C$" &amp; $BA$8 &amp; ":$DR$" &amp; $BA$9),
_xlpm.col, W$72+$D82*10,
INDEX(_xlpm.rango,$BA$4-3,_xlpm.col) +
INDEX(_xlpm.rango,$BA$4-2,_xlpm.col) +
INDEX(_xlpm.rango,$BA$4-1,_xlpm.col) +
INDEX(_xlpm.rango,$BA$4, _xlpm.col)
)</f>
        <v>#VALUE!</v>
      </c>
      <c r="X83" s="95" t="e" cm="1" vm="1">
        <f t="array" aca="1" ref="X83" ca="1">_xlfn.LET(
_xlpm.rango, INDIRECT("S!$C$" &amp; $BA$8 &amp; ":$DR$" &amp; $BA$9),
_xlpm.col, X$72+$D82*10,
INDEX(_xlpm.rango,$BA$4-3,_xlpm.col) +
INDEX(_xlpm.rango,$BA$4-2,_xlpm.col) +
INDEX(_xlpm.rango,$BA$4-1,_xlpm.col) +
INDEX(_xlpm.rango,$BA$4, _xlpm.col)
)</f>
        <v>#VALUE!</v>
      </c>
      <c r="Y83" s="95" t="e" cm="1" vm="1">
        <f t="array" aca="1" ref="Y83" ca="1">_xlfn.LET(
_xlpm.rango, INDIRECT("S!$C$" &amp; $BA$8 &amp; ":$DR$" &amp; $BA$9),
_xlpm.col, Y$72+$D82*10,
INDEX(_xlpm.rango,$BA$4-3,_xlpm.col) +
INDEX(_xlpm.rango,$BA$4-2,_xlpm.col) +
INDEX(_xlpm.rango,$BA$4-1,_xlpm.col) +
INDEX(_xlpm.rango,$BA$4, _xlpm.col)
)</f>
        <v>#VALUE!</v>
      </c>
      <c r="Z83" s="100" t="e" cm="1" vm="1">
        <f t="array" aca="1" ref="Z83" ca="1">_xlfn.LET(
_xlpm.rango, INDIRECT("E!$C$" &amp; $BA$8 &amp; ":$DR$" &amp; $BA$9),
_xlpm.col, Z$72+$D82*10,
INDEX(_xlpm.rango,$BA$4-3,_xlpm.col) +
INDEX(_xlpm.rango,$BA$4-2,_xlpm.col) +
INDEX(_xlpm.rango,$BA$4-1,_xlpm.col) +
INDEX(_xlpm.rango,$BA$4, _xlpm.col)
)</f>
        <v>#VALUE!</v>
      </c>
      <c r="AA83" s="95" t="e" cm="1" vm="1">
        <f t="array" aca="1" ref="AA83" ca="1">_xlfn.LET(
_xlpm.rango, INDIRECT("E!$C$" &amp; $BA$8 &amp; ":$DR$" &amp; $BA$9),
_xlpm.col, AA$72+$D82*10,
INDEX(_xlpm.rango,$BA$4-3,_xlpm.col) +
INDEX(_xlpm.rango,$BA$4-2,_xlpm.col) +
INDEX(_xlpm.rango,$BA$4-1,_xlpm.col) +
INDEX(_xlpm.rango,$BA$4, _xlpm.col)
)</f>
        <v>#VALUE!</v>
      </c>
      <c r="AB83" s="95" t="e" cm="1" vm="1">
        <f t="array" aca="1" ref="AB83" ca="1">_xlfn.LET(
_xlpm.rango, INDIRECT("E!$C$" &amp; $BA$8 &amp; ":$DR$" &amp; $BA$9),
_xlpm.col, AB$72+$D82*10,
INDEX(_xlpm.rango,$BA$4-3,_xlpm.col) +
INDEX(_xlpm.rango,$BA$4-2,_xlpm.col) +
INDEX(_xlpm.rango,$BA$4-1,_xlpm.col) +
INDEX(_xlpm.rango,$BA$4, _xlpm.col)
)</f>
        <v>#VALUE!</v>
      </c>
      <c r="AC83" s="95" t="e" cm="1" vm="1">
        <f t="array" aca="1" ref="AC83" ca="1">_xlfn.LET(
_xlpm.rango, INDIRECT("E!$C$" &amp; $BA$8 &amp; ":$DR$" &amp; $BA$9),
_xlpm.col, AC$72+$D82*10,
INDEX(_xlpm.rango,$BA$4-3,_xlpm.col) +
INDEX(_xlpm.rango,$BA$4-2,_xlpm.col) +
INDEX(_xlpm.rango,$BA$4-1,_xlpm.col) +
INDEX(_xlpm.rango,$BA$4, _xlpm.col)
)</f>
        <v>#VALUE!</v>
      </c>
      <c r="AD83" s="95" t="e" cm="1" vm="1">
        <f t="array" aca="1" ref="AD83" ca="1">_xlfn.LET(
_xlpm.rango, INDIRECT("E!$C$" &amp; $BA$8 &amp; ":$DR$" &amp; $BA$9),
_xlpm.col, AD$72+$D82*10,
INDEX(_xlpm.rango,$BA$4-3,_xlpm.col) +
INDEX(_xlpm.rango,$BA$4-2,_xlpm.col) +
INDEX(_xlpm.rango,$BA$4-1,_xlpm.col) +
INDEX(_xlpm.rango,$BA$4, _xlpm.col)
)</f>
        <v>#VALUE!</v>
      </c>
      <c r="AE83" s="95" t="e" cm="1" vm="1">
        <f t="array" aca="1" ref="AE83" ca="1">_xlfn.LET(
_xlpm.rango, INDIRECT("E!$C$" &amp; $BA$8 &amp; ":$DR$" &amp; $BA$9),
_xlpm.col, AE$72+$D82*10,
INDEX(_xlpm.rango,$BA$4-3,_xlpm.col) +
INDEX(_xlpm.rango,$BA$4-2,_xlpm.col) +
INDEX(_xlpm.rango,$BA$4-1,_xlpm.col) +
INDEX(_xlpm.rango,$BA$4, _xlpm.col)
)</f>
        <v>#VALUE!</v>
      </c>
      <c r="AF83" s="95" t="e" cm="1" vm="1">
        <f t="array" aca="1" ref="AF83" ca="1">_xlfn.LET(
_xlpm.rango, INDIRECT("E!$C$" &amp; $BA$8 &amp; ":$DR$" &amp; $BA$9),
_xlpm.col, AF$72+$D82*10,
INDEX(_xlpm.rango,$BA$4-3,_xlpm.col) +
INDEX(_xlpm.rango,$BA$4-2,_xlpm.col) +
INDEX(_xlpm.rango,$BA$4-1,_xlpm.col) +
INDEX(_xlpm.rango,$BA$4, _xlpm.col)
)</f>
        <v>#VALUE!</v>
      </c>
      <c r="AG83" s="95" t="e" cm="1" vm="1">
        <f t="array" aca="1" ref="AG83" ca="1">_xlfn.LET(
_xlpm.rango, INDIRECT("E!$C$" &amp; $BA$8 &amp; ":$DR$" &amp; $BA$9),
_xlpm.col, AG$72+$D82*10,
INDEX(_xlpm.rango,$BA$4-3,_xlpm.col) +
INDEX(_xlpm.rango,$BA$4-2,_xlpm.col) +
INDEX(_xlpm.rango,$BA$4-1,_xlpm.col) +
INDEX(_xlpm.rango,$BA$4, _xlpm.col)
)</f>
        <v>#VALUE!</v>
      </c>
      <c r="AH83" s="95" t="e" cm="1" vm="1">
        <f t="array" aca="1" ref="AH83" ca="1">_xlfn.LET(
_xlpm.rango, INDIRECT("E!$C$" &amp; $BA$8 &amp; ":$DR$" &amp; $BA$9),
_xlpm.col, AH$72+$D82*10,
INDEX(_xlpm.rango,$BA$4-3,_xlpm.col) +
INDEX(_xlpm.rango,$BA$4-2,_xlpm.col) +
INDEX(_xlpm.rango,$BA$4-1,_xlpm.col) +
INDEX(_xlpm.rango,$BA$4, _xlpm.col)
)</f>
        <v>#VALUE!</v>
      </c>
      <c r="AI83" s="96" t="e" cm="1" vm="1">
        <f t="array" aca="1" ref="AI83" ca="1">_xlfn.LET(
_xlpm.rango, INDIRECT("E!$C$" &amp; $BA$8 &amp; ":$DR$" &amp; $BA$9),
_xlpm.col, AI$72+$D82*10,
INDEX(_xlpm.rango,$BA$4-3,_xlpm.col) +
INDEX(_xlpm.rango,$BA$4-2,_xlpm.col) +
INDEX(_xlpm.rango,$BA$4-1,_xlpm.col) +
INDEX(_xlpm.rango,$BA$4, _xlpm.col)
)</f>
        <v>#VALUE!</v>
      </c>
      <c r="AJ83" s="95" t="e" cm="1" vm="1">
        <f t="array" aca="1" ref="AJ83" ca="1">_xlfn.LET(
_xlpm.rango, INDIRECT("E!$C$" &amp; $BA$8 &amp; ":$DR$" &amp; $BA$9),
_xlpm.col, AJ$72+$D82*10,
INDEX(_xlpm.rango,$BA$4-3,_xlpm.col) +
INDEX(_xlpm.rango,$BA$4-2,_xlpm.col) +
INDEX(_xlpm.rango,$BA$4-1,_xlpm.col) +
INDEX(_xlpm.rango,$BA$4, _xlpm.col)
)</f>
        <v>#VALUE!</v>
      </c>
      <c r="AK83" s="95" t="e" cm="1" vm="1">
        <f t="array" aca="1" ref="AK83" ca="1">_xlfn.LET(
_xlpm.rango, INDIRECT("E!$C$" &amp; $BA$8 &amp; ":$DR$" &amp; $BA$9),
_xlpm.col, AK$72+$D82*10,
INDEX(_xlpm.rango,$BA$4-3,_xlpm.col) +
INDEX(_xlpm.rango,$BA$4-2,_xlpm.col) +
INDEX(_xlpm.rango,$BA$4-1,_xlpm.col) +
INDEX(_xlpm.rango,$BA$4, _xlpm.col)
)</f>
        <v>#VALUE!</v>
      </c>
      <c r="AL83" s="95" t="e" cm="1" vm="1">
        <f t="array" aca="1" ref="AL83" ca="1">_xlfn.LET(
_xlpm.rango, INDIRECT("E!$C$" &amp; $BA$8 &amp; ":$DR$" &amp; $BA$9),
_xlpm.col, AL$72+$D82*10,
INDEX(_xlpm.rango,$BA$4-3,_xlpm.col) +
INDEX(_xlpm.rango,$BA$4-2,_xlpm.col) +
INDEX(_xlpm.rango,$BA$4-1,_xlpm.col) +
INDEX(_xlpm.rango,$BA$4, _xlpm.col)
)</f>
        <v>#VALUE!</v>
      </c>
      <c r="AM83" s="95" t="e" cm="1" vm="1">
        <f t="array" aca="1" ref="AM83" ca="1">_xlfn.LET(
_xlpm.rango, INDIRECT("E!$C$" &amp; $BA$8 &amp; ":$DR$" &amp; $BA$9),
_xlpm.col, AM$72+$D82*10,
INDEX(_xlpm.rango,$BA$4-3,_xlpm.col) +
INDEX(_xlpm.rango,$BA$4-2,_xlpm.col) +
INDEX(_xlpm.rango,$BA$4-1,_xlpm.col) +
INDEX(_xlpm.rango,$BA$4, _xlpm.col)
)</f>
        <v>#VALUE!</v>
      </c>
      <c r="AN83" s="95" t="e" cm="1" vm="1">
        <f t="array" aca="1" ref="AN83" ca="1">_xlfn.LET(
_xlpm.rango, INDIRECT("E!$C$" &amp; $BA$8 &amp; ":$DR$" &amp; $BA$9),
_xlpm.col, AN$72+$D82*10,
INDEX(_xlpm.rango,$BA$4-3,_xlpm.col) +
INDEX(_xlpm.rango,$BA$4-2,_xlpm.col) +
INDEX(_xlpm.rango,$BA$4-1,_xlpm.col) +
INDEX(_xlpm.rango,$BA$4, _xlpm.col)
)</f>
        <v>#VALUE!</v>
      </c>
      <c r="AO83" s="95" t="e" cm="1" vm="1">
        <f t="array" aca="1" ref="AO83" ca="1">_xlfn.LET(
_xlpm.rango, INDIRECT("E!$C$" &amp; $BA$8 &amp; ":$DR$" &amp; $BA$9),
_xlpm.col, AO$72+$D82*10,
INDEX(_xlpm.rango,$BA$4-3,_xlpm.col) +
INDEX(_xlpm.rango,$BA$4-2,_xlpm.col) +
INDEX(_xlpm.rango,$BA$4-1,_xlpm.col) +
INDEX(_xlpm.rango,$BA$4, _xlpm.col)
)</f>
        <v>#VALUE!</v>
      </c>
      <c r="AP83" s="95" t="e" cm="1" vm="1">
        <f t="array" aca="1" ref="AP83" ca="1">_xlfn.LET(
_xlpm.rango, INDIRECT("E!$C$" &amp; $BA$8 &amp; ":$DR$" &amp; $BA$9),
_xlpm.col, AP$72+$D82*10,
INDEX(_xlpm.rango,$BA$4-3,_xlpm.col) +
INDEX(_xlpm.rango,$BA$4-2,_xlpm.col) +
INDEX(_xlpm.rango,$BA$4-1,_xlpm.col) +
INDEX(_xlpm.rango,$BA$4, _xlpm.col)
)</f>
        <v>#VALUE!</v>
      </c>
      <c r="AQ83" s="95" t="e" cm="1" vm="1">
        <f t="array" aca="1" ref="AQ83" ca="1">_xlfn.LET(
_xlpm.rango, INDIRECT("E!$C$" &amp; $BA$8 &amp; ":$DR$" &amp; $BA$9),
_xlpm.col, AQ$72+$D82*10,
INDEX(_xlpm.rango,$BA$4-3,_xlpm.col) +
INDEX(_xlpm.rango,$BA$4-2,_xlpm.col) +
INDEX(_xlpm.rango,$BA$4-1,_xlpm.col) +
INDEX(_xlpm.rango,$BA$4, _xlpm.col)
)</f>
        <v>#VALUE!</v>
      </c>
      <c r="AR83" s="95" t="e" cm="1" vm="1">
        <f t="array" aca="1" ref="AR83" ca="1">_xlfn.LET(
_xlpm.rango, INDIRECT("E!$C$" &amp; $BA$8 &amp; ":$DR$" &amp; $BA$9),
_xlpm.col, AR$72+$D82*10,
INDEX(_xlpm.rango,$BA$4-3,_xlpm.col) +
INDEX(_xlpm.rango,$BA$4-2,_xlpm.col) +
INDEX(_xlpm.rango,$BA$4-1,_xlpm.col) +
INDEX(_xlpm.rango,$BA$4, _xlpm.col)
)</f>
        <v>#VALUE!</v>
      </c>
      <c r="AS83" s="112" t="e" cm="1" vm="1">
        <f t="array" aca="1" ref="AS83" ca="1">_xlfn.LET(
_xlpm.rango, INDIRECT("E!$C$" &amp; $BA$8 &amp; ":$DR$" &amp; $BA$9),
_xlpm.col, AS$72+$D82*10,
INDEX(_xlpm.rango,$BA$4-3,_xlpm.col) +
INDEX(_xlpm.rango,$BA$4-2,_xlpm.col) +
INDEX(_xlpm.rango,$BA$4-1,_xlpm.col) +
INDEX(_xlpm.rango,$BA$4, _xlpm.col)
)</f>
        <v>#VALUE!</v>
      </c>
      <c r="AT83" s="118" t="e" vm="2">
        <f t="shared" ca="1" si="0"/>
        <v>#VALUE!</v>
      </c>
      <c r="AU83" s="120" t="e" vm="2">
        <f t="shared" ca="1" si="1"/>
        <v>#VALUE!</v>
      </c>
    </row>
    <row r="84" spans="4:47" x14ac:dyDescent="0.25">
      <c r="D84">
        <v>9</v>
      </c>
      <c r="E84" s="106" t="str">
        <f>Inicio!V12</f>
        <v>Microbus</v>
      </c>
      <c r="F84" s="100" t="e" cm="1" vm="1">
        <f t="array" aca="1" ref="F84" ca="1">_xlfn.LET(
_xlpm.rango, INDIRECT("N!$C$" &amp; $BA$8 &amp; ":$DR$" &amp; $BA$9),
_xlpm.col, F$72+$D83*10,
INDEX(_xlpm.rango,$BA$4-3,_xlpm.col) +
INDEX(_xlpm.rango,$BA$4-2,_xlpm.col) +
INDEX(_xlpm.rango,$BA$4-1,_xlpm.col) +
INDEX(_xlpm.rango,$BA$4, _xlpm.col)
)</f>
        <v>#VALUE!</v>
      </c>
      <c r="G84" s="95" t="e" cm="1" vm="1">
        <f t="array" aca="1" ref="G84" ca="1">_xlfn.LET(
_xlpm.rango, INDIRECT("N!$C$" &amp; $BA$8 &amp; ":$DR$" &amp; $BA$9),
_xlpm.col, G$72+$D83*10,
INDEX(_xlpm.rango,$BA$4-3,_xlpm.col) +
INDEX(_xlpm.rango,$BA$4-2,_xlpm.col) +
INDEX(_xlpm.rango,$BA$4-1,_xlpm.col) +
INDEX(_xlpm.rango,$BA$4, _xlpm.col)
)</f>
        <v>#VALUE!</v>
      </c>
      <c r="H84" s="95" t="e" cm="1" vm="1">
        <f t="array" aca="1" ref="H84" ca="1">_xlfn.LET(
_xlpm.rango, INDIRECT("N!$C$" &amp; $BA$8 &amp; ":$DR$" &amp; $BA$9),
_xlpm.col, H$72+$D83*10,
INDEX(_xlpm.rango,$BA$4-3,_xlpm.col) +
INDEX(_xlpm.rango,$BA$4-2,_xlpm.col) +
INDEX(_xlpm.rango,$BA$4-1,_xlpm.col) +
INDEX(_xlpm.rango,$BA$4, _xlpm.col)
)</f>
        <v>#VALUE!</v>
      </c>
      <c r="I84" s="95" t="e" cm="1" vm="1">
        <f t="array" aca="1" ref="I84" ca="1">_xlfn.LET(
_xlpm.rango, INDIRECT("N!$C$" &amp; $BA$8 &amp; ":$DR$" &amp; $BA$9),
_xlpm.col, I$72+$D83*10,
INDEX(_xlpm.rango,$BA$4-3,_xlpm.col) +
INDEX(_xlpm.rango,$BA$4-2,_xlpm.col) +
INDEX(_xlpm.rango,$BA$4-1,_xlpm.col) +
INDEX(_xlpm.rango,$BA$4, _xlpm.col)
)</f>
        <v>#VALUE!</v>
      </c>
      <c r="J84" s="95" t="e" cm="1" vm="1">
        <f t="array" aca="1" ref="J84" ca="1">_xlfn.LET(
_xlpm.rango, INDIRECT("N!$C$" &amp; $BA$8 &amp; ":$DR$" &amp; $BA$9),
_xlpm.col, J$72+$D83*10,
INDEX(_xlpm.rango,$BA$4-3,_xlpm.col) +
INDEX(_xlpm.rango,$BA$4-2,_xlpm.col) +
INDEX(_xlpm.rango,$BA$4-1,_xlpm.col) +
INDEX(_xlpm.rango,$BA$4, _xlpm.col)
)</f>
        <v>#VALUE!</v>
      </c>
      <c r="K84" s="95" t="e" cm="1" vm="1">
        <f t="array" aca="1" ref="K84" ca="1">_xlfn.LET(
_xlpm.rango, INDIRECT("N!$C$" &amp; $BA$8 &amp; ":$DR$" &amp; $BA$9),
_xlpm.col, K$72+$D83*10,
INDEX(_xlpm.rango,$BA$4-3,_xlpm.col) +
INDEX(_xlpm.rango,$BA$4-2,_xlpm.col) +
INDEX(_xlpm.rango,$BA$4-1,_xlpm.col) +
INDEX(_xlpm.rango,$BA$4, _xlpm.col)
)</f>
        <v>#VALUE!</v>
      </c>
      <c r="L84" s="95" t="e" cm="1" vm="1">
        <f t="array" aca="1" ref="L84" ca="1">_xlfn.LET(
_xlpm.rango, INDIRECT("N!$C$" &amp; $BA$8 &amp; ":$DR$" &amp; $BA$9),
_xlpm.col, L$72+$D83*10,
INDEX(_xlpm.rango,$BA$4-3,_xlpm.col) +
INDEX(_xlpm.rango,$BA$4-2,_xlpm.col) +
INDEX(_xlpm.rango,$BA$4-1,_xlpm.col) +
INDEX(_xlpm.rango,$BA$4, _xlpm.col)
)</f>
        <v>#VALUE!</v>
      </c>
      <c r="M84" s="95" t="e" cm="1" vm="1">
        <f t="array" aca="1" ref="M84" ca="1">_xlfn.LET(
_xlpm.rango, INDIRECT("N!$C$" &amp; $BA$8 &amp; ":$DR$" &amp; $BA$9),
_xlpm.col, M$72+$D83*10,
INDEX(_xlpm.rango,$BA$4-3,_xlpm.col) +
INDEX(_xlpm.rango,$BA$4-2,_xlpm.col) +
INDEX(_xlpm.rango,$BA$4-1,_xlpm.col) +
INDEX(_xlpm.rango,$BA$4, _xlpm.col)
)</f>
        <v>#VALUE!</v>
      </c>
      <c r="N84" s="95" t="e" cm="1" vm="1">
        <f t="array" aca="1" ref="N84" ca="1">_xlfn.LET(
_xlpm.rango, INDIRECT("N!$C$" &amp; $BA$8 &amp; ":$DR$" &amp; $BA$9),
_xlpm.col, N$72+$D83*10,
INDEX(_xlpm.rango,$BA$4-3,_xlpm.col) +
INDEX(_xlpm.rango,$BA$4-2,_xlpm.col) +
INDEX(_xlpm.rango,$BA$4-1,_xlpm.col) +
INDEX(_xlpm.rango,$BA$4, _xlpm.col)
)</f>
        <v>#VALUE!</v>
      </c>
      <c r="O84" s="96" t="e" cm="1" vm="1">
        <f t="array" aca="1" ref="O84" ca="1">_xlfn.LET(
_xlpm.rango, INDIRECT("N!$C$" &amp; $BA$8 &amp; ":$DR$" &amp; $BA$9),
_xlpm.col, O$72+$D83*10,
INDEX(_xlpm.rango,$BA$4-3,_xlpm.col) +
INDEX(_xlpm.rango,$BA$4-2,_xlpm.col) +
INDEX(_xlpm.rango,$BA$4-1,_xlpm.col) +
INDEX(_xlpm.rango,$BA$4, _xlpm.col)
)</f>
        <v>#VALUE!</v>
      </c>
      <c r="P84" s="95" t="e" cm="1" vm="1">
        <f t="array" aca="1" ref="P84" ca="1">_xlfn.LET(
_xlpm.rango, INDIRECT("S!$C$" &amp; $BA$8 &amp; ":$DR$" &amp; $BA$9),
_xlpm.col, P$72+$D83*10,
INDEX(_xlpm.rango,$BA$4-3,_xlpm.col) +
INDEX(_xlpm.rango,$BA$4-2,_xlpm.col) +
INDEX(_xlpm.rango,$BA$4-1,_xlpm.col) +
INDEX(_xlpm.rango,$BA$4, _xlpm.col)
)</f>
        <v>#VALUE!</v>
      </c>
      <c r="Q84" s="95" t="e" cm="1" vm="1">
        <f t="array" aca="1" ref="Q84" ca="1">_xlfn.LET(
_xlpm.rango, INDIRECT("S!$C$" &amp; $BA$8 &amp; ":$DR$" &amp; $BA$9),
_xlpm.col, Q$72+$D83*10,
INDEX(_xlpm.rango,$BA$4-3,_xlpm.col) +
INDEX(_xlpm.rango,$BA$4-2,_xlpm.col) +
INDEX(_xlpm.rango,$BA$4-1,_xlpm.col) +
INDEX(_xlpm.rango,$BA$4, _xlpm.col)
)</f>
        <v>#VALUE!</v>
      </c>
      <c r="R84" s="95" t="e" cm="1" vm="1">
        <f t="array" aca="1" ref="R84" ca="1">_xlfn.LET(
_xlpm.rango, INDIRECT("S!$C$" &amp; $BA$8 &amp; ":$DR$" &amp; $BA$9),
_xlpm.col, R$72+$D83*10,
INDEX(_xlpm.rango,$BA$4-3,_xlpm.col) +
INDEX(_xlpm.rango,$BA$4-2,_xlpm.col) +
INDEX(_xlpm.rango,$BA$4-1,_xlpm.col) +
INDEX(_xlpm.rango,$BA$4, _xlpm.col)
)</f>
        <v>#VALUE!</v>
      </c>
      <c r="S84" s="95" t="e" cm="1" vm="1">
        <f t="array" aca="1" ref="S84" ca="1">_xlfn.LET(
_xlpm.rango, INDIRECT("S!$C$" &amp; $BA$8 &amp; ":$DR$" &amp; $BA$9),
_xlpm.col, S$72+$D83*10,
INDEX(_xlpm.rango,$BA$4-3,_xlpm.col) +
INDEX(_xlpm.rango,$BA$4-2,_xlpm.col) +
INDEX(_xlpm.rango,$BA$4-1,_xlpm.col) +
INDEX(_xlpm.rango,$BA$4, _xlpm.col)
)</f>
        <v>#VALUE!</v>
      </c>
      <c r="T84" s="95" t="e" cm="1" vm="1">
        <f t="array" aca="1" ref="T84" ca="1">_xlfn.LET(
_xlpm.rango, INDIRECT("S!$C$" &amp; $BA$8 &amp; ":$DR$" &amp; $BA$9),
_xlpm.col, T$72+$D83*10,
INDEX(_xlpm.rango,$BA$4-3,_xlpm.col) +
INDEX(_xlpm.rango,$BA$4-2,_xlpm.col) +
INDEX(_xlpm.rango,$BA$4-1,_xlpm.col) +
INDEX(_xlpm.rango,$BA$4, _xlpm.col)
)</f>
        <v>#VALUE!</v>
      </c>
      <c r="U84" s="95" t="e" cm="1" vm="1">
        <f t="array" aca="1" ref="U84" ca="1">_xlfn.LET(
_xlpm.rango, INDIRECT("S!$C$" &amp; $BA$8 &amp; ":$DR$" &amp; $BA$9),
_xlpm.col, U$72+$D83*10,
INDEX(_xlpm.rango,$BA$4-3,_xlpm.col) +
INDEX(_xlpm.rango,$BA$4-2,_xlpm.col) +
INDEX(_xlpm.rango,$BA$4-1,_xlpm.col) +
INDEX(_xlpm.rango,$BA$4, _xlpm.col)
)</f>
        <v>#VALUE!</v>
      </c>
      <c r="V84" s="95" t="e" cm="1" vm="1">
        <f t="array" aca="1" ref="V84" ca="1">_xlfn.LET(
_xlpm.rango, INDIRECT("S!$C$" &amp; $BA$8 &amp; ":$DR$" &amp; $BA$9),
_xlpm.col, V$72+$D83*10,
INDEX(_xlpm.rango,$BA$4-3,_xlpm.col) +
INDEX(_xlpm.rango,$BA$4-2,_xlpm.col) +
INDEX(_xlpm.rango,$BA$4-1,_xlpm.col) +
INDEX(_xlpm.rango,$BA$4, _xlpm.col)
)</f>
        <v>#VALUE!</v>
      </c>
      <c r="W84" s="95" t="e" cm="1" vm="1">
        <f t="array" aca="1" ref="W84" ca="1">_xlfn.LET(
_xlpm.rango, INDIRECT("S!$C$" &amp; $BA$8 &amp; ":$DR$" &amp; $BA$9),
_xlpm.col, W$72+$D83*10,
INDEX(_xlpm.rango,$BA$4-3,_xlpm.col) +
INDEX(_xlpm.rango,$BA$4-2,_xlpm.col) +
INDEX(_xlpm.rango,$BA$4-1,_xlpm.col) +
INDEX(_xlpm.rango,$BA$4, _xlpm.col)
)</f>
        <v>#VALUE!</v>
      </c>
      <c r="X84" s="95" t="e" cm="1" vm="1">
        <f t="array" aca="1" ref="X84" ca="1">_xlfn.LET(
_xlpm.rango, INDIRECT("S!$C$" &amp; $BA$8 &amp; ":$DR$" &amp; $BA$9),
_xlpm.col, X$72+$D83*10,
INDEX(_xlpm.rango,$BA$4-3,_xlpm.col) +
INDEX(_xlpm.rango,$BA$4-2,_xlpm.col) +
INDEX(_xlpm.rango,$BA$4-1,_xlpm.col) +
INDEX(_xlpm.rango,$BA$4, _xlpm.col)
)</f>
        <v>#VALUE!</v>
      </c>
      <c r="Y84" s="95" t="e" cm="1" vm="1">
        <f t="array" aca="1" ref="Y84" ca="1">_xlfn.LET(
_xlpm.rango, INDIRECT("S!$C$" &amp; $BA$8 &amp; ":$DR$" &amp; $BA$9),
_xlpm.col, Y$72+$D83*10,
INDEX(_xlpm.rango,$BA$4-3,_xlpm.col) +
INDEX(_xlpm.rango,$BA$4-2,_xlpm.col) +
INDEX(_xlpm.rango,$BA$4-1,_xlpm.col) +
INDEX(_xlpm.rango,$BA$4, _xlpm.col)
)</f>
        <v>#VALUE!</v>
      </c>
      <c r="Z84" s="100" t="e" cm="1" vm="1">
        <f t="array" aca="1" ref="Z84" ca="1">_xlfn.LET(
_xlpm.rango, INDIRECT("E!$C$" &amp; $BA$8 &amp; ":$DR$" &amp; $BA$9),
_xlpm.col, Z$72+$D83*10,
INDEX(_xlpm.rango,$BA$4-3,_xlpm.col) +
INDEX(_xlpm.rango,$BA$4-2,_xlpm.col) +
INDEX(_xlpm.rango,$BA$4-1,_xlpm.col) +
INDEX(_xlpm.rango,$BA$4, _xlpm.col)
)</f>
        <v>#VALUE!</v>
      </c>
      <c r="AA84" s="95" t="e" cm="1" vm="1">
        <f t="array" aca="1" ref="AA84" ca="1">_xlfn.LET(
_xlpm.rango, INDIRECT("E!$C$" &amp; $BA$8 &amp; ":$DR$" &amp; $BA$9),
_xlpm.col, AA$72+$D83*10,
INDEX(_xlpm.rango,$BA$4-3,_xlpm.col) +
INDEX(_xlpm.rango,$BA$4-2,_xlpm.col) +
INDEX(_xlpm.rango,$BA$4-1,_xlpm.col) +
INDEX(_xlpm.rango,$BA$4, _xlpm.col)
)</f>
        <v>#VALUE!</v>
      </c>
      <c r="AB84" s="95" t="e" cm="1" vm="1">
        <f t="array" aca="1" ref="AB84" ca="1">_xlfn.LET(
_xlpm.rango, INDIRECT("E!$C$" &amp; $BA$8 &amp; ":$DR$" &amp; $BA$9),
_xlpm.col, AB$72+$D83*10,
INDEX(_xlpm.rango,$BA$4-3,_xlpm.col) +
INDEX(_xlpm.rango,$BA$4-2,_xlpm.col) +
INDEX(_xlpm.rango,$BA$4-1,_xlpm.col) +
INDEX(_xlpm.rango,$BA$4, _xlpm.col)
)</f>
        <v>#VALUE!</v>
      </c>
      <c r="AC84" s="95" t="e" cm="1" vm="1">
        <f t="array" aca="1" ref="AC84" ca="1">_xlfn.LET(
_xlpm.rango, INDIRECT("E!$C$" &amp; $BA$8 &amp; ":$DR$" &amp; $BA$9),
_xlpm.col, AC$72+$D83*10,
INDEX(_xlpm.rango,$BA$4-3,_xlpm.col) +
INDEX(_xlpm.rango,$BA$4-2,_xlpm.col) +
INDEX(_xlpm.rango,$BA$4-1,_xlpm.col) +
INDEX(_xlpm.rango,$BA$4, _xlpm.col)
)</f>
        <v>#VALUE!</v>
      </c>
      <c r="AD84" s="95" t="e" cm="1" vm="1">
        <f t="array" aca="1" ref="AD84" ca="1">_xlfn.LET(
_xlpm.rango, INDIRECT("E!$C$" &amp; $BA$8 &amp; ":$DR$" &amp; $BA$9),
_xlpm.col, AD$72+$D83*10,
INDEX(_xlpm.rango,$BA$4-3,_xlpm.col) +
INDEX(_xlpm.rango,$BA$4-2,_xlpm.col) +
INDEX(_xlpm.rango,$BA$4-1,_xlpm.col) +
INDEX(_xlpm.rango,$BA$4, _xlpm.col)
)</f>
        <v>#VALUE!</v>
      </c>
      <c r="AE84" s="95" t="e" cm="1" vm="1">
        <f t="array" aca="1" ref="AE84" ca="1">_xlfn.LET(
_xlpm.rango, INDIRECT("E!$C$" &amp; $BA$8 &amp; ":$DR$" &amp; $BA$9),
_xlpm.col, AE$72+$D83*10,
INDEX(_xlpm.rango,$BA$4-3,_xlpm.col) +
INDEX(_xlpm.rango,$BA$4-2,_xlpm.col) +
INDEX(_xlpm.rango,$BA$4-1,_xlpm.col) +
INDEX(_xlpm.rango,$BA$4, _xlpm.col)
)</f>
        <v>#VALUE!</v>
      </c>
      <c r="AF84" s="95" t="e" cm="1" vm="1">
        <f t="array" aca="1" ref="AF84" ca="1">_xlfn.LET(
_xlpm.rango, INDIRECT("E!$C$" &amp; $BA$8 &amp; ":$DR$" &amp; $BA$9),
_xlpm.col, AF$72+$D83*10,
INDEX(_xlpm.rango,$BA$4-3,_xlpm.col) +
INDEX(_xlpm.rango,$BA$4-2,_xlpm.col) +
INDEX(_xlpm.rango,$BA$4-1,_xlpm.col) +
INDEX(_xlpm.rango,$BA$4, _xlpm.col)
)</f>
        <v>#VALUE!</v>
      </c>
      <c r="AG84" s="95" t="e" cm="1" vm="1">
        <f t="array" aca="1" ref="AG84" ca="1">_xlfn.LET(
_xlpm.rango, INDIRECT("E!$C$" &amp; $BA$8 &amp; ":$DR$" &amp; $BA$9),
_xlpm.col, AG$72+$D83*10,
INDEX(_xlpm.rango,$BA$4-3,_xlpm.col) +
INDEX(_xlpm.rango,$BA$4-2,_xlpm.col) +
INDEX(_xlpm.rango,$BA$4-1,_xlpm.col) +
INDEX(_xlpm.rango,$BA$4, _xlpm.col)
)</f>
        <v>#VALUE!</v>
      </c>
      <c r="AH84" s="95" t="e" cm="1" vm="1">
        <f t="array" aca="1" ref="AH84" ca="1">_xlfn.LET(
_xlpm.rango, INDIRECT("E!$C$" &amp; $BA$8 &amp; ":$DR$" &amp; $BA$9),
_xlpm.col, AH$72+$D83*10,
INDEX(_xlpm.rango,$BA$4-3,_xlpm.col) +
INDEX(_xlpm.rango,$BA$4-2,_xlpm.col) +
INDEX(_xlpm.rango,$BA$4-1,_xlpm.col) +
INDEX(_xlpm.rango,$BA$4, _xlpm.col)
)</f>
        <v>#VALUE!</v>
      </c>
      <c r="AI84" s="96" t="e" cm="1" vm="1">
        <f t="array" aca="1" ref="AI84" ca="1">_xlfn.LET(
_xlpm.rango, INDIRECT("E!$C$" &amp; $BA$8 &amp; ":$DR$" &amp; $BA$9),
_xlpm.col, AI$72+$D83*10,
INDEX(_xlpm.rango,$BA$4-3,_xlpm.col) +
INDEX(_xlpm.rango,$BA$4-2,_xlpm.col) +
INDEX(_xlpm.rango,$BA$4-1,_xlpm.col) +
INDEX(_xlpm.rango,$BA$4, _xlpm.col)
)</f>
        <v>#VALUE!</v>
      </c>
      <c r="AJ84" s="95" t="e" cm="1" vm="1">
        <f t="array" aca="1" ref="AJ84" ca="1">_xlfn.LET(
_xlpm.rango, INDIRECT("E!$C$" &amp; $BA$8 &amp; ":$DR$" &amp; $BA$9),
_xlpm.col, AJ$72+$D83*10,
INDEX(_xlpm.rango,$BA$4-3,_xlpm.col) +
INDEX(_xlpm.rango,$BA$4-2,_xlpm.col) +
INDEX(_xlpm.rango,$BA$4-1,_xlpm.col) +
INDEX(_xlpm.rango,$BA$4, _xlpm.col)
)</f>
        <v>#VALUE!</v>
      </c>
      <c r="AK84" s="95" t="e" cm="1" vm="1">
        <f t="array" aca="1" ref="AK84" ca="1">_xlfn.LET(
_xlpm.rango, INDIRECT("E!$C$" &amp; $BA$8 &amp; ":$DR$" &amp; $BA$9),
_xlpm.col, AK$72+$D83*10,
INDEX(_xlpm.rango,$BA$4-3,_xlpm.col) +
INDEX(_xlpm.rango,$BA$4-2,_xlpm.col) +
INDEX(_xlpm.rango,$BA$4-1,_xlpm.col) +
INDEX(_xlpm.rango,$BA$4, _xlpm.col)
)</f>
        <v>#VALUE!</v>
      </c>
      <c r="AL84" s="95" t="e" cm="1" vm="1">
        <f t="array" aca="1" ref="AL84" ca="1">_xlfn.LET(
_xlpm.rango, INDIRECT("E!$C$" &amp; $BA$8 &amp; ":$DR$" &amp; $BA$9),
_xlpm.col, AL$72+$D83*10,
INDEX(_xlpm.rango,$BA$4-3,_xlpm.col) +
INDEX(_xlpm.rango,$BA$4-2,_xlpm.col) +
INDEX(_xlpm.rango,$BA$4-1,_xlpm.col) +
INDEX(_xlpm.rango,$BA$4, _xlpm.col)
)</f>
        <v>#VALUE!</v>
      </c>
      <c r="AM84" s="95" t="e" cm="1" vm="1">
        <f t="array" aca="1" ref="AM84" ca="1">_xlfn.LET(
_xlpm.rango, INDIRECT("E!$C$" &amp; $BA$8 &amp; ":$DR$" &amp; $BA$9),
_xlpm.col, AM$72+$D83*10,
INDEX(_xlpm.rango,$BA$4-3,_xlpm.col) +
INDEX(_xlpm.rango,$BA$4-2,_xlpm.col) +
INDEX(_xlpm.rango,$BA$4-1,_xlpm.col) +
INDEX(_xlpm.rango,$BA$4, _xlpm.col)
)</f>
        <v>#VALUE!</v>
      </c>
      <c r="AN84" s="95" t="e" cm="1" vm="1">
        <f t="array" aca="1" ref="AN84" ca="1">_xlfn.LET(
_xlpm.rango, INDIRECT("E!$C$" &amp; $BA$8 &amp; ":$DR$" &amp; $BA$9),
_xlpm.col, AN$72+$D83*10,
INDEX(_xlpm.rango,$BA$4-3,_xlpm.col) +
INDEX(_xlpm.rango,$BA$4-2,_xlpm.col) +
INDEX(_xlpm.rango,$BA$4-1,_xlpm.col) +
INDEX(_xlpm.rango,$BA$4, _xlpm.col)
)</f>
        <v>#VALUE!</v>
      </c>
      <c r="AO84" s="95" t="e" cm="1" vm="1">
        <f t="array" aca="1" ref="AO84" ca="1">_xlfn.LET(
_xlpm.rango, INDIRECT("E!$C$" &amp; $BA$8 &amp; ":$DR$" &amp; $BA$9),
_xlpm.col, AO$72+$D83*10,
INDEX(_xlpm.rango,$BA$4-3,_xlpm.col) +
INDEX(_xlpm.rango,$BA$4-2,_xlpm.col) +
INDEX(_xlpm.rango,$BA$4-1,_xlpm.col) +
INDEX(_xlpm.rango,$BA$4, _xlpm.col)
)</f>
        <v>#VALUE!</v>
      </c>
      <c r="AP84" s="95" t="e" cm="1" vm="1">
        <f t="array" aca="1" ref="AP84" ca="1">_xlfn.LET(
_xlpm.rango, INDIRECT("E!$C$" &amp; $BA$8 &amp; ":$DR$" &amp; $BA$9),
_xlpm.col, AP$72+$D83*10,
INDEX(_xlpm.rango,$BA$4-3,_xlpm.col) +
INDEX(_xlpm.rango,$BA$4-2,_xlpm.col) +
INDEX(_xlpm.rango,$BA$4-1,_xlpm.col) +
INDEX(_xlpm.rango,$BA$4, _xlpm.col)
)</f>
        <v>#VALUE!</v>
      </c>
      <c r="AQ84" s="95" t="e" cm="1" vm="1">
        <f t="array" aca="1" ref="AQ84" ca="1">_xlfn.LET(
_xlpm.rango, INDIRECT("E!$C$" &amp; $BA$8 &amp; ":$DR$" &amp; $BA$9),
_xlpm.col, AQ$72+$D83*10,
INDEX(_xlpm.rango,$BA$4-3,_xlpm.col) +
INDEX(_xlpm.rango,$BA$4-2,_xlpm.col) +
INDEX(_xlpm.rango,$BA$4-1,_xlpm.col) +
INDEX(_xlpm.rango,$BA$4, _xlpm.col)
)</f>
        <v>#VALUE!</v>
      </c>
      <c r="AR84" s="95" t="e" cm="1" vm="1">
        <f t="array" aca="1" ref="AR84" ca="1">_xlfn.LET(
_xlpm.rango, INDIRECT("E!$C$" &amp; $BA$8 &amp; ":$DR$" &amp; $BA$9),
_xlpm.col, AR$72+$D83*10,
INDEX(_xlpm.rango,$BA$4-3,_xlpm.col) +
INDEX(_xlpm.rango,$BA$4-2,_xlpm.col) +
INDEX(_xlpm.rango,$BA$4-1,_xlpm.col) +
INDEX(_xlpm.rango,$BA$4, _xlpm.col)
)</f>
        <v>#VALUE!</v>
      </c>
      <c r="AS84" s="112" t="e" cm="1" vm="1">
        <f t="array" aca="1" ref="AS84" ca="1">_xlfn.LET(
_xlpm.rango, INDIRECT("E!$C$" &amp; $BA$8 &amp; ":$DR$" &amp; $BA$9),
_xlpm.col, AS$72+$D83*10,
INDEX(_xlpm.rango,$BA$4-3,_xlpm.col) +
INDEX(_xlpm.rango,$BA$4-2,_xlpm.col) +
INDEX(_xlpm.rango,$BA$4-1,_xlpm.col) +
INDEX(_xlpm.rango,$BA$4, _xlpm.col)
)</f>
        <v>#VALUE!</v>
      </c>
      <c r="AT84" s="118" t="e" vm="2">
        <f t="shared" ca="1" si="0"/>
        <v>#VALUE!</v>
      </c>
      <c r="AU84" s="120" t="e" vm="2">
        <f t="shared" ca="1" si="1"/>
        <v>#VALUE!</v>
      </c>
    </row>
    <row r="85" spans="4:47" x14ac:dyDescent="0.25">
      <c r="D85">
        <v>10</v>
      </c>
      <c r="E85" s="106" t="str">
        <f>Inicio!V13</f>
        <v>Mototaxi</v>
      </c>
      <c r="F85" s="100" t="e" cm="1" vm="1">
        <f t="array" aca="1" ref="F85" ca="1">_xlfn.LET(
_xlpm.rango, INDIRECT("N!$C$" &amp; $BA$8 &amp; ":$DR$" &amp; $BA$9),
_xlpm.col, F$72+$D84*10,
INDEX(_xlpm.rango,$BA$4-3,_xlpm.col) +
INDEX(_xlpm.rango,$BA$4-2,_xlpm.col) +
INDEX(_xlpm.rango,$BA$4-1,_xlpm.col) +
INDEX(_xlpm.rango,$BA$4, _xlpm.col)
)</f>
        <v>#VALUE!</v>
      </c>
      <c r="G85" s="95" t="e" cm="1" vm="1">
        <f t="array" aca="1" ref="G85" ca="1">_xlfn.LET(
_xlpm.rango, INDIRECT("N!$C$" &amp; $BA$8 &amp; ":$DR$" &amp; $BA$9),
_xlpm.col, G$72+$D84*10,
INDEX(_xlpm.rango,$BA$4-3,_xlpm.col) +
INDEX(_xlpm.rango,$BA$4-2,_xlpm.col) +
INDEX(_xlpm.rango,$BA$4-1,_xlpm.col) +
INDEX(_xlpm.rango,$BA$4, _xlpm.col)
)</f>
        <v>#VALUE!</v>
      </c>
      <c r="H85" s="95" t="e" cm="1" vm="1">
        <f t="array" aca="1" ref="H85" ca="1">_xlfn.LET(
_xlpm.rango, INDIRECT("N!$C$" &amp; $BA$8 &amp; ":$DR$" &amp; $BA$9),
_xlpm.col, H$72+$D84*10,
INDEX(_xlpm.rango,$BA$4-3,_xlpm.col) +
INDEX(_xlpm.rango,$BA$4-2,_xlpm.col) +
INDEX(_xlpm.rango,$BA$4-1,_xlpm.col) +
INDEX(_xlpm.rango,$BA$4, _xlpm.col)
)</f>
        <v>#VALUE!</v>
      </c>
      <c r="I85" s="95" t="e" cm="1" vm="1">
        <f t="array" aca="1" ref="I85" ca="1">_xlfn.LET(
_xlpm.rango, INDIRECT("N!$C$" &amp; $BA$8 &amp; ":$DR$" &amp; $BA$9),
_xlpm.col, I$72+$D84*10,
INDEX(_xlpm.rango,$BA$4-3,_xlpm.col) +
INDEX(_xlpm.rango,$BA$4-2,_xlpm.col) +
INDEX(_xlpm.rango,$BA$4-1,_xlpm.col) +
INDEX(_xlpm.rango,$BA$4, _xlpm.col)
)</f>
        <v>#VALUE!</v>
      </c>
      <c r="J85" s="95" t="e" cm="1" vm="1">
        <f t="array" aca="1" ref="J85" ca="1">_xlfn.LET(
_xlpm.rango, INDIRECT("N!$C$" &amp; $BA$8 &amp; ":$DR$" &amp; $BA$9),
_xlpm.col, J$72+$D84*10,
INDEX(_xlpm.rango,$BA$4-3,_xlpm.col) +
INDEX(_xlpm.rango,$BA$4-2,_xlpm.col) +
INDEX(_xlpm.rango,$BA$4-1,_xlpm.col) +
INDEX(_xlpm.rango,$BA$4, _xlpm.col)
)</f>
        <v>#VALUE!</v>
      </c>
      <c r="K85" s="95" t="e" cm="1" vm="1">
        <f t="array" aca="1" ref="K85" ca="1">_xlfn.LET(
_xlpm.rango, INDIRECT("N!$C$" &amp; $BA$8 &amp; ":$DR$" &amp; $BA$9),
_xlpm.col, K$72+$D84*10,
INDEX(_xlpm.rango,$BA$4-3,_xlpm.col) +
INDEX(_xlpm.rango,$BA$4-2,_xlpm.col) +
INDEX(_xlpm.rango,$BA$4-1,_xlpm.col) +
INDEX(_xlpm.rango,$BA$4, _xlpm.col)
)</f>
        <v>#VALUE!</v>
      </c>
      <c r="L85" s="95" t="e" cm="1" vm="1">
        <f t="array" aca="1" ref="L85" ca="1">_xlfn.LET(
_xlpm.rango, INDIRECT("N!$C$" &amp; $BA$8 &amp; ":$DR$" &amp; $BA$9),
_xlpm.col, L$72+$D84*10,
INDEX(_xlpm.rango,$BA$4-3,_xlpm.col) +
INDEX(_xlpm.rango,$BA$4-2,_xlpm.col) +
INDEX(_xlpm.rango,$BA$4-1,_xlpm.col) +
INDEX(_xlpm.rango,$BA$4, _xlpm.col)
)</f>
        <v>#VALUE!</v>
      </c>
      <c r="M85" s="95" t="e" cm="1" vm="1">
        <f t="array" aca="1" ref="M85" ca="1">_xlfn.LET(
_xlpm.rango, INDIRECT("N!$C$" &amp; $BA$8 &amp; ":$DR$" &amp; $BA$9),
_xlpm.col, M$72+$D84*10,
INDEX(_xlpm.rango,$BA$4-3,_xlpm.col) +
INDEX(_xlpm.rango,$BA$4-2,_xlpm.col) +
INDEX(_xlpm.rango,$BA$4-1,_xlpm.col) +
INDEX(_xlpm.rango,$BA$4, _xlpm.col)
)</f>
        <v>#VALUE!</v>
      </c>
      <c r="N85" s="95" t="e" cm="1" vm="1">
        <f t="array" aca="1" ref="N85" ca="1">_xlfn.LET(
_xlpm.rango, INDIRECT("N!$C$" &amp; $BA$8 &amp; ":$DR$" &amp; $BA$9),
_xlpm.col, N$72+$D84*10,
INDEX(_xlpm.rango,$BA$4-3,_xlpm.col) +
INDEX(_xlpm.rango,$BA$4-2,_xlpm.col) +
INDEX(_xlpm.rango,$BA$4-1,_xlpm.col) +
INDEX(_xlpm.rango,$BA$4, _xlpm.col)
)</f>
        <v>#VALUE!</v>
      </c>
      <c r="O85" s="96" t="e" cm="1" vm="1">
        <f t="array" aca="1" ref="O85" ca="1">_xlfn.LET(
_xlpm.rango, INDIRECT("N!$C$" &amp; $BA$8 &amp; ":$DR$" &amp; $BA$9),
_xlpm.col, O$72+$D84*10,
INDEX(_xlpm.rango,$BA$4-3,_xlpm.col) +
INDEX(_xlpm.rango,$BA$4-2,_xlpm.col) +
INDEX(_xlpm.rango,$BA$4-1,_xlpm.col) +
INDEX(_xlpm.rango,$BA$4, _xlpm.col)
)</f>
        <v>#VALUE!</v>
      </c>
      <c r="P85" s="95" t="e" cm="1" vm="1">
        <f t="array" aca="1" ref="P85" ca="1">_xlfn.LET(
_xlpm.rango, INDIRECT("S!$C$" &amp; $BA$8 &amp; ":$DR$" &amp; $BA$9),
_xlpm.col, P$72+$D84*10,
INDEX(_xlpm.rango,$BA$4-3,_xlpm.col) +
INDEX(_xlpm.rango,$BA$4-2,_xlpm.col) +
INDEX(_xlpm.rango,$BA$4-1,_xlpm.col) +
INDEX(_xlpm.rango,$BA$4, _xlpm.col)
)</f>
        <v>#VALUE!</v>
      </c>
      <c r="Q85" s="95" t="e" cm="1" vm="1">
        <f t="array" aca="1" ref="Q85" ca="1">_xlfn.LET(
_xlpm.rango, INDIRECT("S!$C$" &amp; $BA$8 &amp; ":$DR$" &amp; $BA$9),
_xlpm.col, Q$72+$D84*10,
INDEX(_xlpm.rango,$BA$4-3,_xlpm.col) +
INDEX(_xlpm.rango,$BA$4-2,_xlpm.col) +
INDEX(_xlpm.rango,$BA$4-1,_xlpm.col) +
INDEX(_xlpm.rango,$BA$4, _xlpm.col)
)</f>
        <v>#VALUE!</v>
      </c>
      <c r="R85" s="95" t="e" cm="1" vm="1">
        <f t="array" aca="1" ref="R85" ca="1">_xlfn.LET(
_xlpm.rango, INDIRECT("S!$C$" &amp; $BA$8 &amp; ":$DR$" &amp; $BA$9),
_xlpm.col, R$72+$D84*10,
INDEX(_xlpm.rango,$BA$4-3,_xlpm.col) +
INDEX(_xlpm.rango,$BA$4-2,_xlpm.col) +
INDEX(_xlpm.rango,$BA$4-1,_xlpm.col) +
INDEX(_xlpm.rango,$BA$4, _xlpm.col)
)</f>
        <v>#VALUE!</v>
      </c>
      <c r="S85" s="95" t="e" cm="1" vm="1">
        <f t="array" aca="1" ref="S85" ca="1">_xlfn.LET(
_xlpm.rango, INDIRECT("S!$C$" &amp; $BA$8 &amp; ":$DR$" &amp; $BA$9),
_xlpm.col, S$72+$D84*10,
INDEX(_xlpm.rango,$BA$4-3,_xlpm.col) +
INDEX(_xlpm.rango,$BA$4-2,_xlpm.col) +
INDEX(_xlpm.rango,$BA$4-1,_xlpm.col) +
INDEX(_xlpm.rango,$BA$4, _xlpm.col)
)</f>
        <v>#VALUE!</v>
      </c>
      <c r="T85" s="95" t="e" cm="1" vm="1">
        <f t="array" aca="1" ref="T85" ca="1">_xlfn.LET(
_xlpm.rango, INDIRECT("S!$C$" &amp; $BA$8 &amp; ":$DR$" &amp; $BA$9),
_xlpm.col, T$72+$D84*10,
INDEX(_xlpm.rango,$BA$4-3,_xlpm.col) +
INDEX(_xlpm.rango,$BA$4-2,_xlpm.col) +
INDEX(_xlpm.rango,$BA$4-1,_xlpm.col) +
INDEX(_xlpm.rango,$BA$4, _xlpm.col)
)</f>
        <v>#VALUE!</v>
      </c>
      <c r="U85" s="95" t="e" cm="1" vm="1">
        <f t="array" aca="1" ref="U85" ca="1">_xlfn.LET(
_xlpm.rango, INDIRECT("S!$C$" &amp; $BA$8 &amp; ":$DR$" &amp; $BA$9),
_xlpm.col, U$72+$D84*10,
INDEX(_xlpm.rango,$BA$4-3,_xlpm.col) +
INDEX(_xlpm.rango,$BA$4-2,_xlpm.col) +
INDEX(_xlpm.rango,$BA$4-1,_xlpm.col) +
INDEX(_xlpm.rango,$BA$4, _xlpm.col)
)</f>
        <v>#VALUE!</v>
      </c>
      <c r="V85" s="95" t="e" cm="1" vm="1">
        <f t="array" aca="1" ref="V85" ca="1">_xlfn.LET(
_xlpm.rango, INDIRECT("S!$C$" &amp; $BA$8 &amp; ":$DR$" &amp; $BA$9),
_xlpm.col, V$72+$D84*10,
INDEX(_xlpm.rango,$BA$4-3,_xlpm.col) +
INDEX(_xlpm.rango,$BA$4-2,_xlpm.col) +
INDEX(_xlpm.rango,$BA$4-1,_xlpm.col) +
INDEX(_xlpm.rango,$BA$4, _xlpm.col)
)</f>
        <v>#VALUE!</v>
      </c>
      <c r="W85" s="95" t="e" cm="1" vm="1">
        <f t="array" aca="1" ref="W85" ca="1">_xlfn.LET(
_xlpm.rango, INDIRECT("S!$C$" &amp; $BA$8 &amp; ":$DR$" &amp; $BA$9),
_xlpm.col, W$72+$D84*10,
INDEX(_xlpm.rango,$BA$4-3,_xlpm.col) +
INDEX(_xlpm.rango,$BA$4-2,_xlpm.col) +
INDEX(_xlpm.rango,$BA$4-1,_xlpm.col) +
INDEX(_xlpm.rango,$BA$4, _xlpm.col)
)</f>
        <v>#VALUE!</v>
      </c>
      <c r="X85" s="95" t="e" cm="1" vm="1">
        <f t="array" aca="1" ref="X85" ca="1">_xlfn.LET(
_xlpm.rango, INDIRECT("S!$C$" &amp; $BA$8 &amp; ":$DR$" &amp; $BA$9),
_xlpm.col, X$72+$D84*10,
INDEX(_xlpm.rango,$BA$4-3,_xlpm.col) +
INDEX(_xlpm.rango,$BA$4-2,_xlpm.col) +
INDEX(_xlpm.rango,$BA$4-1,_xlpm.col) +
INDEX(_xlpm.rango,$BA$4, _xlpm.col)
)</f>
        <v>#VALUE!</v>
      </c>
      <c r="Y85" s="95" t="e" cm="1" vm="1">
        <f t="array" aca="1" ref="Y85" ca="1">_xlfn.LET(
_xlpm.rango, INDIRECT("S!$C$" &amp; $BA$8 &amp; ":$DR$" &amp; $BA$9),
_xlpm.col, Y$72+$D84*10,
INDEX(_xlpm.rango,$BA$4-3,_xlpm.col) +
INDEX(_xlpm.rango,$BA$4-2,_xlpm.col) +
INDEX(_xlpm.rango,$BA$4-1,_xlpm.col) +
INDEX(_xlpm.rango,$BA$4, _xlpm.col)
)</f>
        <v>#VALUE!</v>
      </c>
      <c r="Z85" s="100" t="e" cm="1" vm="1">
        <f t="array" aca="1" ref="Z85" ca="1">_xlfn.LET(
_xlpm.rango, INDIRECT("E!$C$" &amp; $BA$8 &amp; ":$DR$" &amp; $BA$9),
_xlpm.col, Z$72+$D84*10,
INDEX(_xlpm.rango,$BA$4-3,_xlpm.col) +
INDEX(_xlpm.rango,$BA$4-2,_xlpm.col) +
INDEX(_xlpm.rango,$BA$4-1,_xlpm.col) +
INDEX(_xlpm.rango,$BA$4, _xlpm.col)
)</f>
        <v>#VALUE!</v>
      </c>
      <c r="AA85" s="95" t="e" cm="1" vm="1">
        <f t="array" aca="1" ref="AA85" ca="1">_xlfn.LET(
_xlpm.rango, INDIRECT("E!$C$" &amp; $BA$8 &amp; ":$DR$" &amp; $BA$9),
_xlpm.col, AA$72+$D84*10,
INDEX(_xlpm.rango,$BA$4-3,_xlpm.col) +
INDEX(_xlpm.rango,$BA$4-2,_xlpm.col) +
INDEX(_xlpm.rango,$BA$4-1,_xlpm.col) +
INDEX(_xlpm.rango,$BA$4, _xlpm.col)
)</f>
        <v>#VALUE!</v>
      </c>
      <c r="AB85" s="95" t="e" cm="1" vm="1">
        <f t="array" aca="1" ref="AB85" ca="1">_xlfn.LET(
_xlpm.rango, INDIRECT("E!$C$" &amp; $BA$8 &amp; ":$DR$" &amp; $BA$9),
_xlpm.col, AB$72+$D84*10,
INDEX(_xlpm.rango,$BA$4-3,_xlpm.col) +
INDEX(_xlpm.rango,$BA$4-2,_xlpm.col) +
INDEX(_xlpm.rango,$BA$4-1,_xlpm.col) +
INDEX(_xlpm.rango,$BA$4, _xlpm.col)
)</f>
        <v>#VALUE!</v>
      </c>
      <c r="AC85" s="95" t="e" cm="1" vm="1">
        <f t="array" aca="1" ref="AC85" ca="1">_xlfn.LET(
_xlpm.rango, INDIRECT("E!$C$" &amp; $BA$8 &amp; ":$DR$" &amp; $BA$9),
_xlpm.col, AC$72+$D84*10,
INDEX(_xlpm.rango,$BA$4-3,_xlpm.col) +
INDEX(_xlpm.rango,$BA$4-2,_xlpm.col) +
INDEX(_xlpm.rango,$BA$4-1,_xlpm.col) +
INDEX(_xlpm.rango,$BA$4, _xlpm.col)
)</f>
        <v>#VALUE!</v>
      </c>
      <c r="AD85" s="95" t="e" cm="1" vm="1">
        <f t="array" aca="1" ref="AD85" ca="1">_xlfn.LET(
_xlpm.rango, INDIRECT("E!$C$" &amp; $BA$8 &amp; ":$DR$" &amp; $BA$9),
_xlpm.col, AD$72+$D84*10,
INDEX(_xlpm.rango,$BA$4-3,_xlpm.col) +
INDEX(_xlpm.rango,$BA$4-2,_xlpm.col) +
INDEX(_xlpm.rango,$BA$4-1,_xlpm.col) +
INDEX(_xlpm.rango,$BA$4, _xlpm.col)
)</f>
        <v>#VALUE!</v>
      </c>
      <c r="AE85" s="95" t="e" cm="1" vm="1">
        <f t="array" aca="1" ref="AE85" ca="1">_xlfn.LET(
_xlpm.rango, INDIRECT("E!$C$" &amp; $BA$8 &amp; ":$DR$" &amp; $BA$9),
_xlpm.col, AE$72+$D84*10,
INDEX(_xlpm.rango,$BA$4-3,_xlpm.col) +
INDEX(_xlpm.rango,$BA$4-2,_xlpm.col) +
INDEX(_xlpm.rango,$BA$4-1,_xlpm.col) +
INDEX(_xlpm.rango,$BA$4, _xlpm.col)
)</f>
        <v>#VALUE!</v>
      </c>
      <c r="AF85" s="95" t="e" cm="1" vm="1">
        <f t="array" aca="1" ref="AF85" ca="1">_xlfn.LET(
_xlpm.rango, INDIRECT("E!$C$" &amp; $BA$8 &amp; ":$DR$" &amp; $BA$9),
_xlpm.col, AF$72+$D84*10,
INDEX(_xlpm.rango,$BA$4-3,_xlpm.col) +
INDEX(_xlpm.rango,$BA$4-2,_xlpm.col) +
INDEX(_xlpm.rango,$BA$4-1,_xlpm.col) +
INDEX(_xlpm.rango,$BA$4, _xlpm.col)
)</f>
        <v>#VALUE!</v>
      </c>
      <c r="AG85" s="95" t="e" cm="1" vm="1">
        <f t="array" aca="1" ref="AG85" ca="1">_xlfn.LET(
_xlpm.rango, INDIRECT("E!$C$" &amp; $BA$8 &amp; ":$DR$" &amp; $BA$9),
_xlpm.col, AG$72+$D84*10,
INDEX(_xlpm.rango,$BA$4-3,_xlpm.col) +
INDEX(_xlpm.rango,$BA$4-2,_xlpm.col) +
INDEX(_xlpm.rango,$BA$4-1,_xlpm.col) +
INDEX(_xlpm.rango,$BA$4, _xlpm.col)
)</f>
        <v>#VALUE!</v>
      </c>
      <c r="AH85" s="95" t="e" cm="1" vm="1">
        <f t="array" aca="1" ref="AH85" ca="1">_xlfn.LET(
_xlpm.rango, INDIRECT("E!$C$" &amp; $BA$8 &amp; ":$DR$" &amp; $BA$9),
_xlpm.col, AH$72+$D84*10,
INDEX(_xlpm.rango,$BA$4-3,_xlpm.col) +
INDEX(_xlpm.rango,$BA$4-2,_xlpm.col) +
INDEX(_xlpm.rango,$BA$4-1,_xlpm.col) +
INDEX(_xlpm.rango,$BA$4, _xlpm.col)
)</f>
        <v>#VALUE!</v>
      </c>
      <c r="AI85" s="96" t="e" cm="1" vm="1">
        <f t="array" aca="1" ref="AI85" ca="1">_xlfn.LET(
_xlpm.rango, INDIRECT("E!$C$" &amp; $BA$8 &amp; ":$DR$" &amp; $BA$9),
_xlpm.col, AI$72+$D84*10,
INDEX(_xlpm.rango,$BA$4-3,_xlpm.col) +
INDEX(_xlpm.rango,$BA$4-2,_xlpm.col) +
INDEX(_xlpm.rango,$BA$4-1,_xlpm.col) +
INDEX(_xlpm.rango,$BA$4, _xlpm.col)
)</f>
        <v>#VALUE!</v>
      </c>
      <c r="AJ85" s="95" t="e" cm="1" vm="1">
        <f t="array" aca="1" ref="AJ85" ca="1">_xlfn.LET(
_xlpm.rango, INDIRECT("E!$C$" &amp; $BA$8 &amp; ":$DR$" &amp; $BA$9),
_xlpm.col, AJ$72+$D84*10,
INDEX(_xlpm.rango,$BA$4-3,_xlpm.col) +
INDEX(_xlpm.rango,$BA$4-2,_xlpm.col) +
INDEX(_xlpm.rango,$BA$4-1,_xlpm.col) +
INDEX(_xlpm.rango,$BA$4, _xlpm.col)
)</f>
        <v>#VALUE!</v>
      </c>
      <c r="AK85" s="95" t="e" cm="1" vm="1">
        <f t="array" aca="1" ref="AK85" ca="1">_xlfn.LET(
_xlpm.rango, INDIRECT("E!$C$" &amp; $BA$8 &amp; ":$DR$" &amp; $BA$9),
_xlpm.col, AK$72+$D84*10,
INDEX(_xlpm.rango,$BA$4-3,_xlpm.col) +
INDEX(_xlpm.rango,$BA$4-2,_xlpm.col) +
INDEX(_xlpm.rango,$BA$4-1,_xlpm.col) +
INDEX(_xlpm.rango,$BA$4, _xlpm.col)
)</f>
        <v>#VALUE!</v>
      </c>
      <c r="AL85" s="95" t="e" cm="1" vm="1">
        <f t="array" aca="1" ref="AL85" ca="1">_xlfn.LET(
_xlpm.rango, INDIRECT("E!$C$" &amp; $BA$8 &amp; ":$DR$" &amp; $BA$9),
_xlpm.col, AL$72+$D84*10,
INDEX(_xlpm.rango,$BA$4-3,_xlpm.col) +
INDEX(_xlpm.rango,$BA$4-2,_xlpm.col) +
INDEX(_xlpm.rango,$BA$4-1,_xlpm.col) +
INDEX(_xlpm.rango,$BA$4, _xlpm.col)
)</f>
        <v>#VALUE!</v>
      </c>
      <c r="AM85" s="95" t="e" cm="1" vm="1">
        <f t="array" aca="1" ref="AM85" ca="1">_xlfn.LET(
_xlpm.rango, INDIRECT("E!$C$" &amp; $BA$8 &amp; ":$DR$" &amp; $BA$9),
_xlpm.col, AM$72+$D84*10,
INDEX(_xlpm.rango,$BA$4-3,_xlpm.col) +
INDEX(_xlpm.rango,$BA$4-2,_xlpm.col) +
INDEX(_xlpm.rango,$BA$4-1,_xlpm.col) +
INDEX(_xlpm.rango,$BA$4, _xlpm.col)
)</f>
        <v>#VALUE!</v>
      </c>
      <c r="AN85" s="95" t="e" cm="1" vm="1">
        <f t="array" aca="1" ref="AN85" ca="1">_xlfn.LET(
_xlpm.rango, INDIRECT("E!$C$" &amp; $BA$8 &amp; ":$DR$" &amp; $BA$9),
_xlpm.col, AN$72+$D84*10,
INDEX(_xlpm.rango,$BA$4-3,_xlpm.col) +
INDEX(_xlpm.rango,$BA$4-2,_xlpm.col) +
INDEX(_xlpm.rango,$BA$4-1,_xlpm.col) +
INDEX(_xlpm.rango,$BA$4, _xlpm.col)
)</f>
        <v>#VALUE!</v>
      </c>
      <c r="AO85" s="95" t="e" cm="1" vm="1">
        <f t="array" aca="1" ref="AO85" ca="1">_xlfn.LET(
_xlpm.rango, INDIRECT("E!$C$" &amp; $BA$8 &amp; ":$DR$" &amp; $BA$9),
_xlpm.col, AO$72+$D84*10,
INDEX(_xlpm.rango,$BA$4-3,_xlpm.col) +
INDEX(_xlpm.rango,$BA$4-2,_xlpm.col) +
INDEX(_xlpm.rango,$BA$4-1,_xlpm.col) +
INDEX(_xlpm.rango,$BA$4, _xlpm.col)
)</f>
        <v>#VALUE!</v>
      </c>
      <c r="AP85" s="95" t="e" cm="1" vm="1">
        <f t="array" aca="1" ref="AP85" ca="1">_xlfn.LET(
_xlpm.rango, INDIRECT("E!$C$" &amp; $BA$8 &amp; ":$DR$" &amp; $BA$9),
_xlpm.col, AP$72+$D84*10,
INDEX(_xlpm.rango,$BA$4-3,_xlpm.col) +
INDEX(_xlpm.rango,$BA$4-2,_xlpm.col) +
INDEX(_xlpm.rango,$BA$4-1,_xlpm.col) +
INDEX(_xlpm.rango,$BA$4, _xlpm.col)
)</f>
        <v>#VALUE!</v>
      </c>
      <c r="AQ85" s="95" t="e" cm="1" vm="1">
        <f t="array" aca="1" ref="AQ85" ca="1">_xlfn.LET(
_xlpm.rango, INDIRECT("E!$C$" &amp; $BA$8 &amp; ":$DR$" &amp; $BA$9),
_xlpm.col, AQ$72+$D84*10,
INDEX(_xlpm.rango,$BA$4-3,_xlpm.col) +
INDEX(_xlpm.rango,$BA$4-2,_xlpm.col) +
INDEX(_xlpm.rango,$BA$4-1,_xlpm.col) +
INDEX(_xlpm.rango,$BA$4, _xlpm.col)
)</f>
        <v>#VALUE!</v>
      </c>
      <c r="AR85" s="95" t="e" cm="1" vm="1">
        <f t="array" aca="1" ref="AR85" ca="1">_xlfn.LET(
_xlpm.rango, INDIRECT("E!$C$" &amp; $BA$8 &amp; ":$DR$" &amp; $BA$9),
_xlpm.col, AR$72+$D84*10,
INDEX(_xlpm.rango,$BA$4-3,_xlpm.col) +
INDEX(_xlpm.rango,$BA$4-2,_xlpm.col) +
INDEX(_xlpm.rango,$BA$4-1,_xlpm.col) +
INDEX(_xlpm.rango,$BA$4, _xlpm.col)
)</f>
        <v>#VALUE!</v>
      </c>
      <c r="AS85" s="112" t="e" cm="1" vm="1">
        <f t="array" aca="1" ref="AS85" ca="1">_xlfn.LET(
_xlpm.rango, INDIRECT("E!$C$" &amp; $BA$8 &amp; ":$DR$" &amp; $BA$9),
_xlpm.col, AS$72+$D84*10,
INDEX(_xlpm.rango,$BA$4-3,_xlpm.col) +
INDEX(_xlpm.rango,$BA$4-2,_xlpm.col) +
INDEX(_xlpm.rango,$BA$4-1,_xlpm.col) +
INDEX(_xlpm.rango,$BA$4, _xlpm.col)
)</f>
        <v>#VALUE!</v>
      </c>
      <c r="AT85" s="118" t="e" vm="2">
        <f t="shared" ca="1" si="0"/>
        <v>#VALUE!</v>
      </c>
      <c r="AU85" s="120" t="e" vm="2">
        <f t="shared" ca="1" si="1"/>
        <v>#VALUE!</v>
      </c>
    </row>
    <row r="86" spans="4:47" x14ac:dyDescent="0.25">
      <c r="D86">
        <v>11</v>
      </c>
      <c r="E86" s="106" t="str">
        <f>Inicio!V14</f>
        <v>Semi-trailer</v>
      </c>
      <c r="F86" s="100" t="e" cm="1" vm="1">
        <f t="array" aca="1" ref="F86" ca="1">_xlfn.LET(
_xlpm.rango, INDIRECT("N!$C$" &amp; $BA$8 &amp; ":$DR$" &amp; $BA$9),
_xlpm.col, F$72+$D85*10,
INDEX(_xlpm.rango,$BA$4-3,_xlpm.col) +
INDEX(_xlpm.rango,$BA$4-2,_xlpm.col) +
INDEX(_xlpm.rango,$BA$4-1,_xlpm.col) +
INDEX(_xlpm.rango,$BA$4, _xlpm.col)
)</f>
        <v>#VALUE!</v>
      </c>
      <c r="G86" s="95" t="e" cm="1" vm="1">
        <f t="array" aca="1" ref="G86" ca="1">_xlfn.LET(
_xlpm.rango, INDIRECT("N!$C$" &amp; $BA$8 &amp; ":$DR$" &amp; $BA$9),
_xlpm.col, G$72+$D85*10,
INDEX(_xlpm.rango,$BA$4-3,_xlpm.col) +
INDEX(_xlpm.rango,$BA$4-2,_xlpm.col) +
INDEX(_xlpm.rango,$BA$4-1,_xlpm.col) +
INDEX(_xlpm.rango,$BA$4, _xlpm.col)
)</f>
        <v>#VALUE!</v>
      </c>
      <c r="H86" s="95" t="e" cm="1" vm="1">
        <f t="array" aca="1" ref="H86" ca="1">_xlfn.LET(
_xlpm.rango, INDIRECT("N!$C$" &amp; $BA$8 &amp; ":$DR$" &amp; $BA$9),
_xlpm.col, H$72+$D85*10,
INDEX(_xlpm.rango,$BA$4-3,_xlpm.col) +
INDEX(_xlpm.rango,$BA$4-2,_xlpm.col) +
INDEX(_xlpm.rango,$BA$4-1,_xlpm.col) +
INDEX(_xlpm.rango,$BA$4, _xlpm.col)
)</f>
        <v>#VALUE!</v>
      </c>
      <c r="I86" s="95" t="e" cm="1" vm="1">
        <f t="array" aca="1" ref="I86" ca="1">_xlfn.LET(
_xlpm.rango, INDIRECT("N!$C$" &amp; $BA$8 &amp; ":$DR$" &amp; $BA$9),
_xlpm.col, I$72+$D85*10,
INDEX(_xlpm.rango,$BA$4-3,_xlpm.col) +
INDEX(_xlpm.rango,$BA$4-2,_xlpm.col) +
INDEX(_xlpm.rango,$BA$4-1,_xlpm.col) +
INDEX(_xlpm.rango,$BA$4, _xlpm.col)
)</f>
        <v>#VALUE!</v>
      </c>
      <c r="J86" s="95" t="e" cm="1" vm="1">
        <f t="array" aca="1" ref="J86" ca="1">_xlfn.LET(
_xlpm.rango, INDIRECT("N!$C$" &amp; $BA$8 &amp; ":$DR$" &amp; $BA$9),
_xlpm.col, J$72+$D85*10,
INDEX(_xlpm.rango,$BA$4-3,_xlpm.col) +
INDEX(_xlpm.rango,$BA$4-2,_xlpm.col) +
INDEX(_xlpm.rango,$BA$4-1,_xlpm.col) +
INDEX(_xlpm.rango,$BA$4, _xlpm.col)
)</f>
        <v>#VALUE!</v>
      </c>
      <c r="K86" s="95" t="e" cm="1" vm="1">
        <f t="array" aca="1" ref="K86" ca="1">_xlfn.LET(
_xlpm.rango, INDIRECT("N!$C$" &amp; $BA$8 &amp; ":$DR$" &amp; $BA$9),
_xlpm.col, K$72+$D85*10,
INDEX(_xlpm.rango,$BA$4-3,_xlpm.col) +
INDEX(_xlpm.rango,$BA$4-2,_xlpm.col) +
INDEX(_xlpm.rango,$BA$4-1,_xlpm.col) +
INDEX(_xlpm.rango,$BA$4, _xlpm.col)
)</f>
        <v>#VALUE!</v>
      </c>
      <c r="L86" s="95" t="e" cm="1" vm="1">
        <f t="array" aca="1" ref="L86" ca="1">_xlfn.LET(
_xlpm.rango, INDIRECT("N!$C$" &amp; $BA$8 &amp; ":$DR$" &amp; $BA$9),
_xlpm.col, L$72+$D85*10,
INDEX(_xlpm.rango,$BA$4-3,_xlpm.col) +
INDEX(_xlpm.rango,$BA$4-2,_xlpm.col) +
INDEX(_xlpm.rango,$BA$4-1,_xlpm.col) +
INDEX(_xlpm.rango,$BA$4, _xlpm.col)
)</f>
        <v>#VALUE!</v>
      </c>
      <c r="M86" s="95" t="e" cm="1" vm="1">
        <f t="array" aca="1" ref="M86" ca="1">_xlfn.LET(
_xlpm.rango, INDIRECT("N!$C$" &amp; $BA$8 &amp; ":$DR$" &amp; $BA$9),
_xlpm.col, M$72+$D85*10,
INDEX(_xlpm.rango,$BA$4-3,_xlpm.col) +
INDEX(_xlpm.rango,$BA$4-2,_xlpm.col) +
INDEX(_xlpm.rango,$BA$4-1,_xlpm.col) +
INDEX(_xlpm.rango,$BA$4, _xlpm.col)
)</f>
        <v>#VALUE!</v>
      </c>
      <c r="N86" s="95" t="e" cm="1" vm="1">
        <f t="array" aca="1" ref="N86" ca="1">_xlfn.LET(
_xlpm.rango, INDIRECT("N!$C$" &amp; $BA$8 &amp; ":$DR$" &amp; $BA$9),
_xlpm.col, N$72+$D85*10,
INDEX(_xlpm.rango,$BA$4-3,_xlpm.col) +
INDEX(_xlpm.rango,$BA$4-2,_xlpm.col) +
INDEX(_xlpm.rango,$BA$4-1,_xlpm.col) +
INDEX(_xlpm.rango,$BA$4, _xlpm.col)
)</f>
        <v>#VALUE!</v>
      </c>
      <c r="O86" s="96" t="e" cm="1" vm="1">
        <f t="array" aca="1" ref="O86" ca="1">_xlfn.LET(
_xlpm.rango, INDIRECT("N!$C$" &amp; $BA$8 &amp; ":$DR$" &amp; $BA$9),
_xlpm.col, O$72+$D85*10,
INDEX(_xlpm.rango,$BA$4-3,_xlpm.col) +
INDEX(_xlpm.rango,$BA$4-2,_xlpm.col) +
INDEX(_xlpm.rango,$BA$4-1,_xlpm.col) +
INDEX(_xlpm.rango,$BA$4, _xlpm.col)
)</f>
        <v>#VALUE!</v>
      </c>
      <c r="P86" s="95" t="e" cm="1" vm="1">
        <f t="array" aca="1" ref="P86" ca="1">_xlfn.LET(
_xlpm.rango, INDIRECT("S!$C$" &amp; $BA$8 &amp; ":$DR$" &amp; $BA$9),
_xlpm.col, P$72+$D85*10,
INDEX(_xlpm.rango,$BA$4-3,_xlpm.col) +
INDEX(_xlpm.rango,$BA$4-2,_xlpm.col) +
INDEX(_xlpm.rango,$BA$4-1,_xlpm.col) +
INDEX(_xlpm.rango,$BA$4, _xlpm.col)
)</f>
        <v>#VALUE!</v>
      </c>
      <c r="Q86" s="95" t="e" cm="1" vm="1">
        <f t="array" aca="1" ref="Q86" ca="1">_xlfn.LET(
_xlpm.rango, INDIRECT("S!$C$" &amp; $BA$8 &amp; ":$DR$" &amp; $BA$9),
_xlpm.col, Q$72+$D85*10,
INDEX(_xlpm.rango,$BA$4-3,_xlpm.col) +
INDEX(_xlpm.rango,$BA$4-2,_xlpm.col) +
INDEX(_xlpm.rango,$BA$4-1,_xlpm.col) +
INDEX(_xlpm.rango,$BA$4, _xlpm.col)
)</f>
        <v>#VALUE!</v>
      </c>
      <c r="R86" s="95" t="e" cm="1" vm="1">
        <f t="array" aca="1" ref="R86" ca="1">_xlfn.LET(
_xlpm.rango, INDIRECT("S!$C$" &amp; $BA$8 &amp; ":$DR$" &amp; $BA$9),
_xlpm.col, R$72+$D85*10,
INDEX(_xlpm.rango,$BA$4-3,_xlpm.col) +
INDEX(_xlpm.rango,$BA$4-2,_xlpm.col) +
INDEX(_xlpm.rango,$BA$4-1,_xlpm.col) +
INDEX(_xlpm.rango,$BA$4, _xlpm.col)
)</f>
        <v>#VALUE!</v>
      </c>
      <c r="S86" s="95" t="e" cm="1" vm="1">
        <f t="array" aca="1" ref="S86" ca="1">_xlfn.LET(
_xlpm.rango, INDIRECT("S!$C$" &amp; $BA$8 &amp; ":$DR$" &amp; $BA$9),
_xlpm.col, S$72+$D85*10,
INDEX(_xlpm.rango,$BA$4-3,_xlpm.col) +
INDEX(_xlpm.rango,$BA$4-2,_xlpm.col) +
INDEX(_xlpm.rango,$BA$4-1,_xlpm.col) +
INDEX(_xlpm.rango,$BA$4, _xlpm.col)
)</f>
        <v>#VALUE!</v>
      </c>
      <c r="T86" s="95" t="e" cm="1" vm="1">
        <f t="array" aca="1" ref="T86" ca="1">_xlfn.LET(
_xlpm.rango, INDIRECT("S!$C$" &amp; $BA$8 &amp; ":$DR$" &amp; $BA$9),
_xlpm.col, T$72+$D85*10,
INDEX(_xlpm.rango,$BA$4-3,_xlpm.col) +
INDEX(_xlpm.rango,$BA$4-2,_xlpm.col) +
INDEX(_xlpm.rango,$BA$4-1,_xlpm.col) +
INDEX(_xlpm.rango,$BA$4, _xlpm.col)
)</f>
        <v>#VALUE!</v>
      </c>
      <c r="U86" s="95" t="e" cm="1" vm="1">
        <f t="array" aca="1" ref="U86" ca="1">_xlfn.LET(
_xlpm.rango, INDIRECT("S!$C$" &amp; $BA$8 &amp; ":$DR$" &amp; $BA$9),
_xlpm.col, U$72+$D85*10,
INDEX(_xlpm.rango,$BA$4-3,_xlpm.col) +
INDEX(_xlpm.rango,$BA$4-2,_xlpm.col) +
INDEX(_xlpm.rango,$BA$4-1,_xlpm.col) +
INDEX(_xlpm.rango,$BA$4, _xlpm.col)
)</f>
        <v>#VALUE!</v>
      </c>
      <c r="V86" s="95" t="e" cm="1" vm="1">
        <f t="array" aca="1" ref="V86" ca="1">_xlfn.LET(
_xlpm.rango, INDIRECT("S!$C$" &amp; $BA$8 &amp; ":$DR$" &amp; $BA$9),
_xlpm.col, V$72+$D85*10,
INDEX(_xlpm.rango,$BA$4-3,_xlpm.col) +
INDEX(_xlpm.rango,$BA$4-2,_xlpm.col) +
INDEX(_xlpm.rango,$BA$4-1,_xlpm.col) +
INDEX(_xlpm.rango,$BA$4, _xlpm.col)
)</f>
        <v>#VALUE!</v>
      </c>
      <c r="W86" s="95" t="e" cm="1" vm="1">
        <f t="array" aca="1" ref="W86" ca="1">_xlfn.LET(
_xlpm.rango, INDIRECT("S!$C$" &amp; $BA$8 &amp; ":$DR$" &amp; $BA$9),
_xlpm.col, W$72+$D85*10,
INDEX(_xlpm.rango,$BA$4-3,_xlpm.col) +
INDEX(_xlpm.rango,$BA$4-2,_xlpm.col) +
INDEX(_xlpm.rango,$BA$4-1,_xlpm.col) +
INDEX(_xlpm.rango,$BA$4, _xlpm.col)
)</f>
        <v>#VALUE!</v>
      </c>
      <c r="X86" s="95" t="e" cm="1" vm="1">
        <f t="array" aca="1" ref="X86" ca="1">_xlfn.LET(
_xlpm.rango, INDIRECT("S!$C$" &amp; $BA$8 &amp; ":$DR$" &amp; $BA$9),
_xlpm.col, X$72+$D85*10,
INDEX(_xlpm.rango,$BA$4-3,_xlpm.col) +
INDEX(_xlpm.rango,$BA$4-2,_xlpm.col) +
INDEX(_xlpm.rango,$BA$4-1,_xlpm.col) +
INDEX(_xlpm.rango,$BA$4, _xlpm.col)
)</f>
        <v>#VALUE!</v>
      </c>
      <c r="Y86" s="95" t="e" cm="1" vm="1">
        <f t="array" aca="1" ref="Y86" ca="1">_xlfn.LET(
_xlpm.rango, INDIRECT("S!$C$" &amp; $BA$8 &amp; ":$DR$" &amp; $BA$9),
_xlpm.col, Y$72+$D85*10,
INDEX(_xlpm.rango,$BA$4-3,_xlpm.col) +
INDEX(_xlpm.rango,$BA$4-2,_xlpm.col) +
INDEX(_xlpm.rango,$BA$4-1,_xlpm.col) +
INDEX(_xlpm.rango,$BA$4, _xlpm.col)
)</f>
        <v>#VALUE!</v>
      </c>
      <c r="Z86" s="100" t="e" cm="1" vm="1">
        <f t="array" aca="1" ref="Z86" ca="1">_xlfn.LET(
_xlpm.rango, INDIRECT("E!$C$" &amp; $BA$8 &amp; ":$DR$" &amp; $BA$9),
_xlpm.col, Z$72+$D85*10,
INDEX(_xlpm.rango,$BA$4-3,_xlpm.col) +
INDEX(_xlpm.rango,$BA$4-2,_xlpm.col) +
INDEX(_xlpm.rango,$BA$4-1,_xlpm.col) +
INDEX(_xlpm.rango,$BA$4, _xlpm.col)
)</f>
        <v>#VALUE!</v>
      </c>
      <c r="AA86" s="95" t="e" cm="1" vm="1">
        <f t="array" aca="1" ref="AA86" ca="1">_xlfn.LET(
_xlpm.rango, INDIRECT("E!$C$" &amp; $BA$8 &amp; ":$DR$" &amp; $BA$9),
_xlpm.col, AA$72+$D85*10,
INDEX(_xlpm.rango,$BA$4-3,_xlpm.col) +
INDEX(_xlpm.rango,$BA$4-2,_xlpm.col) +
INDEX(_xlpm.rango,$BA$4-1,_xlpm.col) +
INDEX(_xlpm.rango,$BA$4, _xlpm.col)
)</f>
        <v>#VALUE!</v>
      </c>
      <c r="AB86" s="95" t="e" cm="1" vm="1">
        <f t="array" aca="1" ref="AB86" ca="1">_xlfn.LET(
_xlpm.rango, INDIRECT("E!$C$" &amp; $BA$8 &amp; ":$DR$" &amp; $BA$9),
_xlpm.col, AB$72+$D85*10,
INDEX(_xlpm.rango,$BA$4-3,_xlpm.col) +
INDEX(_xlpm.rango,$BA$4-2,_xlpm.col) +
INDEX(_xlpm.rango,$BA$4-1,_xlpm.col) +
INDEX(_xlpm.rango,$BA$4, _xlpm.col)
)</f>
        <v>#VALUE!</v>
      </c>
      <c r="AC86" s="95" t="e" cm="1" vm="1">
        <f t="array" aca="1" ref="AC86" ca="1">_xlfn.LET(
_xlpm.rango, INDIRECT("E!$C$" &amp; $BA$8 &amp; ":$DR$" &amp; $BA$9),
_xlpm.col, AC$72+$D85*10,
INDEX(_xlpm.rango,$BA$4-3,_xlpm.col) +
INDEX(_xlpm.rango,$BA$4-2,_xlpm.col) +
INDEX(_xlpm.rango,$BA$4-1,_xlpm.col) +
INDEX(_xlpm.rango,$BA$4, _xlpm.col)
)</f>
        <v>#VALUE!</v>
      </c>
      <c r="AD86" s="95" t="e" cm="1" vm="1">
        <f t="array" aca="1" ref="AD86" ca="1">_xlfn.LET(
_xlpm.rango, INDIRECT("E!$C$" &amp; $BA$8 &amp; ":$DR$" &amp; $BA$9),
_xlpm.col, AD$72+$D85*10,
INDEX(_xlpm.rango,$BA$4-3,_xlpm.col) +
INDEX(_xlpm.rango,$BA$4-2,_xlpm.col) +
INDEX(_xlpm.rango,$BA$4-1,_xlpm.col) +
INDEX(_xlpm.rango,$BA$4, _xlpm.col)
)</f>
        <v>#VALUE!</v>
      </c>
      <c r="AE86" s="95" t="e" cm="1" vm="1">
        <f t="array" aca="1" ref="AE86" ca="1">_xlfn.LET(
_xlpm.rango, INDIRECT("E!$C$" &amp; $BA$8 &amp; ":$DR$" &amp; $BA$9),
_xlpm.col, AE$72+$D85*10,
INDEX(_xlpm.rango,$BA$4-3,_xlpm.col) +
INDEX(_xlpm.rango,$BA$4-2,_xlpm.col) +
INDEX(_xlpm.rango,$BA$4-1,_xlpm.col) +
INDEX(_xlpm.rango,$BA$4, _xlpm.col)
)</f>
        <v>#VALUE!</v>
      </c>
      <c r="AF86" s="95" t="e" cm="1" vm="1">
        <f t="array" aca="1" ref="AF86" ca="1">_xlfn.LET(
_xlpm.rango, INDIRECT("E!$C$" &amp; $BA$8 &amp; ":$DR$" &amp; $BA$9),
_xlpm.col, AF$72+$D85*10,
INDEX(_xlpm.rango,$BA$4-3,_xlpm.col) +
INDEX(_xlpm.rango,$BA$4-2,_xlpm.col) +
INDEX(_xlpm.rango,$BA$4-1,_xlpm.col) +
INDEX(_xlpm.rango,$BA$4, _xlpm.col)
)</f>
        <v>#VALUE!</v>
      </c>
      <c r="AG86" s="95" t="e" cm="1" vm="1">
        <f t="array" aca="1" ref="AG86" ca="1">_xlfn.LET(
_xlpm.rango, INDIRECT("E!$C$" &amp; $BA$8 &amp; ":$DR$" &amp; $BA$9),
_xlpm.col, AG$72+$D85*10,
INDEX(_xlpm.rango,$BA$4-3,_xlpm.col) +
INDEX(_xlpm.rango,$BA$4-2,_xlpm.col) +
INDEX(_xlpm.rango,$BA$4-1,_xlpm.col) +
INDEX(_xlpm.rango,$BA$4, _xlpm.col)
)</f>
        <v>#VALUE!</v>
      </c>
      <c r="AH86" s="95" t="e" cm="1" vm="1">
        <f t="array" aca="1" ref="AH86" ca="1">_xlfn.LET(
_xlpm.rango, INDIRECT("E!$C$" &amp; $BA$8 &amp; ":$DR$" &amp; $BA$9),
_xlpm.col, AH$72+$D85*10,
INDEX(_xlpm.rango,$BA$4-3,_xlpm.col) +
INDEX(_xlpm.rango,$BA$4-2,_xlpm.col) +
INDEX(_xlpm.rango,$BA$4-1,_xlpm.col) +
INDEX(_xlpm.rango,$BA$4, _xlpm.col)
)</f>
        <v>#VALUE!</v>
      </c>
      <c r="AI86" s="96" t="e" cm="1" vm="1">
        <f t="array" aca="1" ref="AI86" ca="1">_xlfn.LET(
_xlpm.rango, INDIRECT("E!$C$" &amp; $BA$8 &amp; ":$DR$" &amp; $BA$9),
_xlpm.col, AI$72+$D85*10,
INDEX(_xlpm.rango,$BA$4-3,_xlpm.col) +
INDEX(_xlpm.rango,$BA$4-2,_xlpm.col) +
INDEX(_xlpm.rango,$BA$4-1,_xlpm.col) +
INDEX(_xlpm.rango,$BA$4, _xlpm.col)
)</f>
        <v>#VALUE!</v>
      </c>
      <c r="AJ86" s="95" t="e" cm="1" vm="1">
        <f t="array" aca="1" ref="AJ86" ca="1">_xlfn.LET(
_xlpm.rango, INDIRECT("E!$C$" &amp; $BA$8 &amp; ":$DR$" &amp; $BA$9),
_xlpm.col, AJ$72+$D85*10,
INDEX(_xlpm.rango,$BA$4-3,_xlpm.col) +
INDEX(_xlpm.rango,$BA$4-2,_xlpm.col) +
INDEX(_xlpm.rango,$BA$4-1,_xlpm.col) +
INDEX(_xlpm.rango,$BA$4, _xlpm.col)
)</f>
        <v>#VALUE!</v>
      </c>
      <c r="AK86" s="95" t="e" cm="1" vm="1">
        <f t="array" aca="1" ref="AK86" ca="1">_xlfn.LET(
_xlpm.rango, INDIRECT("E!$C$" &amp; $BA$8 &amp; ":$DR$" &amp; $BA$9),
_xlpm.col, AK$72+$D85*10,
INDEX(_xlpm.rango,$BA$4-3,_xlpm.col) +
INDEX(_xlpm.rango,$BA$4-2,_xlpm.col) +
INDEX(_xlpm.rango,$BA$4-1,_xlpm.col) +
INDEX(_xlpm.rango,$BA$4, _xlpm.col)
)</f>
        <v>#VALUE!</v>
      </c>
      <c r="AL86" s="95" t="e" cm="1" vm="1">
        <f t="array" aca="1" ref="AL86" ca="1">_xlfn.LET(
_xlpm.rango, INDIRECT("E!$C$" &amp; $BA$8 &amp; ":$DR$" &amp; $BA$9),
_xlpm.col, AL$72+$D85*10,
INDEX(_xlpm.rango,$BA$4-3,_xlpm.col) +
INDEX(_xlpm.rango,$BA$4-2,_xlpm.col) +
INDEX(_xlpm.rango,$BA$4-1,_xlpm.col) +
INDEX(_xlpm.rango,$BA$4, _xlpm.col)
)</f>
        <v>#VALUE!</v>
      </c>
      <c r="AM86" s="95" t="e" cm="1" vm="1">
        <f t="array" aca="1" ref="AM86" ca="1">_xlfn.LET(
_xlpm.rango, INDIRECT("E!$C$" &amp; $BA$8 &amp; ":$DR$" &amp; $BA$9),
_xlpm.col, AM$72+$D85*10,
INDEX(_xlpm.rango,$BA$4-3,_xlpm.col) +
INDEX(_xlpm.rango,$BA$4-2,_xlpm.col) +
INDEX(_xlpm.rango,$BA$4-1,_xlpm.col) +
INDEX(_xlpm.rango,$BA$4, _xlpm.col)
)</f>
        <v>#VALUE!</v>
      </c>
      <c r="AN86" s="95" t="e" cm="1" vm="1">
        <f t="array" aca="1" ref="AN86" ca="1">_xlfn.LET(
_xlpm.rango, INDIRECT("E!$C$" &amp; $BA$8 &amp; ":$DR$" &amp; $BA$9),
_xlpm.col, AN$72+$D85*10,
INDEX(_xlpm.rango,$BA$4-3,_xlpm.col) +
INDEX(_xlpm.rango,$BA$4-2,_xlpm.col) +
INDEX(_xlpm.rango,$BA$4-1,_xlpm.col) +
INDEX(_xlpm.rango,$BA$4, _xlpm.col)
)</f>
        <v>#VALUE!</v>
      </c>
      <c r="AO86" s="95" t="e" cm="1" vm="1">
        <f t="array" aca="1" ref="AO86" ca="1">_xlfn.LET(
_xlpm.rango, INDIRECT("E!$C$" &amp; $BA$8 &amp; ":$DR$" &amp; $BA$9),
_xlpm.col, AO$72+$D85*10,
INDEX(_xlpm.rango,$BA$4-3,_xlpm.col) +
INDEX(_xlpm.rango,$BA$4-2,_xlpm.col) +
INDEX(_xlpm.rango,$BA$4-1,_xlpm.col) +
INDEX(_xlpm.rango,$BA$4, _xlpm.col)
)</f>
        <v>#VALUE!</v>
      </c>
      <c r="AP86" s="95" t="e" cm="1" vm="1">
        <f t="array" aca="1" ref="AP86" ca="1">_xlfn.LET(
_xlpm.rango, INDIRECT("E!$C$" &amp; $BA$8 &amp; ":$DR$" &amp; $BA$9),
_xlpm.col, AP$72+$D85*10,
INDEX(_xlpm.rango,$BA$4-3,_xlpm.col) +
INDEX(_xlpm.rango,$BA$4-2,_xlpm.col) +
INDEX(_xlpm.rango,$BA$4-1,_xlpm.col) +
INDEX(_xlpm.rango,$BA$4, _xlpm.col)
)</f>
        <v>#VALUE!</v>
      </c>
      <c r="AQ86" s="95" t="e" cm="1" vm="1">
        <f t="array" aca="1" ref="AQ86" ca="1">_xlfn.LET(
_xlpm.rango, INDIRECT("E!$C$" &amp; $BA$8 &amp; ":$DR$" &amp; $BA$9),
_xlpm.col, AQ$72+$D85*10,
INDEX(_xlpm.rango,$BA$4-3,_xlpm.col) +
INDEX(_xlpm.rango,$BA$4-2,_xlpm.col) +
INDEX(_xlpm.rango,$BA$4-1,_xlpm.col) +
INDEX(_xlpm.rango,$BA$4, _xlpm.col)
)</f>
        <v>#VALUE!</v>
      </c>
      <c r="AR86" s="95" t="e" cm="1" vm="1">
        <f t="array" aca="1" ref="AR86" ca="1">_xlfn.LET(
_xlpm.rango, INDIRECT("E!$C$" &amp; $BA$8 &amp; ":$DR$" &amp; $BA$9),
_xlpm.col, AR$72+$D85*10,
INDEX(_xlpm.rango,$BA$4-3,_xlpm.col) +
INDEX(_xlpm.rango,$BA$4-2,_xlpm.col) +
INDEX(_xlpm.rango,$BA$4-1,_xlpm.col) +
INDEX(_xlpm.rango,$BA$4, _xlpm.col)
)</f>
        <v>#VALUE!</v>
      </c>
      <c r="AS86" s="112" t="e" cm="1" vm="1">
        <f t="array" aca="1" ref="AS86" ca="1">_xlfn.LET(
_xlpm.rango, INDIRECT("E!$C$" &amp; $BA$8 &amp; ":$DR$" &amp; $BA$9),
_xlpm.col, AS$72+$D85*10,
INDEX(_xlpm.rango,$BA$4-3,_xlpm.col) +
INDEX(_xlpm.rango,$BA$4-2,_xlpm.col) +
INDEX(_xlpm.rango,$BA$4-1,_xlpm.col) +
INDEX(_xlpm.rango,$BA$4, _xlpm.col)
)</f>
        <v>#VALUE!</v>
      </c>
      <c r="AT86" s="118" t="e" vm="2">
        <f t="shared" ca="1" si="0"/>
        <v>#VALUE!</v>
      </c>
      <c r="AU86" s="120" t="e" vm="2">
        <f t="shared" ca="1" si="1"/>
        <v>#VALUE!</v>
      </c>
    </row>
    <row r="87" spans="4:47" x14ac:dyDescent="0.25">
      <c r="D87">
        <v>12</v>
      </c>
      <c r="E87" s="113" t="str">
        <f>Inicio!V15</f>
        <v>Otros</v>
      </c>
      <c r="F87" s="101" t="e" cm="1" vm="1">
        <f t="array" aca="1" ref="F87" ca="1">_xlfn.LET(
_xlpm.rango, INDIRECT("N!$C$" &amp; $BA$8 &amp; ":$DR$" &amp; $BA$9),
_xlpm.col, F$72+$D86*10,
INDEX(_xlpm.rango,$BA$4-3,_xlpm.col) +
INDEX(_xlpm.rango,$BA$4-2,_xlpm.col) +
INDEX(_xlpm.rango,$BA$4-1,_xlpm.col) +
INDEX(_xlpm.rango,$BA$4, _xlpm.col)
)</f>
        <v>#VALUE!</v>
      </c>
      <c r="G87" s="97" t="e" cm="1" vm="1">
        <f t="array" aca="1" ref="G87" ca="1">_xlfn.LET(
_xlpm.rango, INDIRECT("N!$C$" &amp; $BA$8 &amp; ":$DR$" &amp; $BA$9),
_xlpm.col, G$72+$D86*10,
INDEX(_xlpm.rango,$BA$4-3,_xlpm.col) +
INDEX(_xlpm.rango,$BA$4-2,_xlpm.col) +
INDEX(_xlpm.rango,$BA$4-1,_xlpm.col) +
INDEX(_xlpm.rango,$BA$4, _xlpm.col)
)</f>
        <v>#VALUE!</v>
      </c>
      <c r="H87" s="97" t="e" cm="1" vm="1">
        <f t="array" aca="1" ref="H87" ca="1">_xlfn.LET(
_xlpm.rango, INDIRECT("N!$C$" &amp; $BA$8 &amp; ":$DR$" &amp; $BA$9),
_xlpm.col, H$72+$D86*10,
INDEX(_xlpm.rango,$BA$4-3,_xlpm.col) +
INDEX(_xlpm.rango,$BA$4-2,_xlpm.col) +
INDEX(_xlpm.rango,$BA$4-1,_xlpm.col) +
INDEX(_xlpm.rango,$BA$4, _xlpm.col)
)</f>
        <v>#VALUE!</v>
      </c>
      <c r="I87" s="97" t="e" cm="1" vm="1">
        <f t="array" aca="1" ref="I87" ca="1">_xlfn.LET(
_xlpm.rango, INDIRECT("N!$C$" &amp; $BA$8 &amp; ":$DR$" &amp; $BA$9),
_xlpm.col, I$72+$D86*10,
INDEX(_xlpm.rango,$BA$4-3,_xlpm.col) +
INDEX(_xlpm.rango,$BA$4-2,_xlpm.col) +
INDEX(_xlpm.rango,$BA$4-1,_xlpm.col) +
INDEX(_xlpm.rango,$BA$4, _xlpm.col)
)</f>
        <v>#VALUE!</v>
      </c>
      <c r="J87" s="97" t="e" cm="1" vm="1">
        <f t="array" aca="1" ref="J87" ca="1">_xlfn.LET(
_xlpm.rango, INDIRECT("N!$C$" &amp; $BA$8 &amp; ":$DR$" &amp; $BA$9),
_xlpm.col, J$72+$D86*10,
INDEX(_xlpm.rango,$BA$4-3,_xlpm.col) +
INDEX(_xlpm.rango,$BA$4-2,_xlpm.col) +
INDEX(_xlpm.rango,$BA$4-1,_xlpm.col) +
INDEX(_xlpm.rango,$BA$4, _xlpm.col)
)</f>
        <v>#VALUE!</v>
      </c>
      <c r="K87" s="97" t="e" cm="1" vm="1">
        <f t="array" aca="1" ref="K87" ca="1">_xlfn.LET(
_xlpm.rango, INDIRECT("N!$C$" &amp; $BA$8 &amp; ":$DR$" &amp; $BA$9),
_xlpm.col, K$72+$D86*10,
INDEX(_xlpm.rango,$BA$4-3,_xlpm.col) +
INDEX(_xlpm.rango,$BA$4-2,_xlpm.col) +
INDEX(_xlpm.rango,$BA$4-1,_xlpm.col) +
INDEX(_xlpm.rango,$BA$4, _xlpm.col)
)</f>
        <v>#VALUE!</v>
      </c>
      <c r="L87" s="97" t="e" cm="1" vm="1">
        <f t="array" aca="1" ref="L87" ca="1">_xlfn.LET(
_xlpm.rango, INDIRECT("N!$C$" &amp; $BA$8 &amp; ":$DR$" &amp; $BA$9),
_xlpm.col, L$72+$D86*10,
INDEX(_xlpm.rango,$BA$4-3,_xlpm.col) +
INDEX(_xlpm.rango,$BA$4-2,_xlpm.col) +
INDEX(_xlpm.rango,$BA$4-1,_xlpm.col) +
INDEX(_xlpm.rango,$BA$4, _xlpm.col)
)</f>
        <v>#VALUE!</v>
      </c>
      <c r="M87" s="97" t="e" cm="1" vm="1">
        <f t="array" aca="1" ref="M87" ca="1">_xlfn.LET(
_xlpm.rango, INDIRECT("N!$C$" &amp; $BA$8 &amp; ":$DR$" &amp; $BA$9),
_xlpm.col, M$72+$D86*10,
INDEX(_xlpm.rango,$BA$4-3,_xlpm.col) +
INDEX(_xlpm.rango,$BA$4-2,_xlpm.col) +
INDEX(_xlpm.rango,$BA$4-1,_xlpm.col) +
INDEX(_xlpm.rango,$BA$4, _xlpm.col)
)</f>
        <v>#VALUE!</v>
      </c>
      <c r="N87" s="97" t="e" cm="1" vm="1">
        <f t="array" aca="1" ref="N87" ca="1">_xlfn.LET(
_xlpm.rango, INDIRECT("N!$C$" &amp; $BA$8 &amp; ":$DR$" &amp; $BA$9),
_xlpm.col, N$72+$D86*10,
INDEX(_xlpm.rango,$BA$4-3,_xlpm.col) +
INDEX(_xlpm.rango,$BA$4-2,_xlpm.col) +
INDEX(_xlpm.rango,$BA$4-1,_xlpm.col) +
INDEX(_xlpm.rango,$BA$4, _xlpm.col)
)</f>
        <v>#VALUE!</v>
      </c>
      <c r="O87" s="98" t="e" cm="1" vm="1">
        <f t="array" aca="1" ref="O87" ca="1">_xlfn.LET(
_xlpm.rango, INDIRECT("N!$C$" &amp; $BA$8 &amp; ":$DR$" &amp; $BA$9),
_xlpm.col, O$72+$D86*10,
INDEX(_xlpm.rango,$BA$4-3,_xlpm.col) +
INDEX(_xlpm.rango,$BA$4-2,_xlpm.col) +
INDEX(_xlpm.rango,$BA$4-1,_xlpm.col) +
INDEX(_xlpm.rango,$BA$4, _xlpm.col)
)</f>
        <v>#VALUE!</v>
      </c>
      <c r="P87" s="97" t="e" cm="1" vm="1">
        <f t="array" aca="1" ref="P87" ca="1">_xlfn.LET(
_xlpm.rango, INDIRECT("S!$C$" &amp; $BA$8 &amp; ":$DR$" &amp; $BA$9),
_xlpm.col, P$72+$D86*10,
INDEX(_xlpm.rango,$BA$4-3,_xlpm.col) +
INDEX(_xlpm.rango,$BA$4-2,_xlpm.col) +
INDEX(_xlpm.rango,$BA$4-1,_xlpm.col) +
INDEX(_xlpm.rango,$BA$4, _xlpm.col)
)</f>
        <v>#VALUE!</v>
      </c>
      <c r="Q87" s="97" t="e" cm="1" vm="1">
        <f t="array" aca="1" ref="Q87" ca="1">_xlfn.LET(
_xlpm.rango, INDIRECT("S!$C$" &amp; $BA$8 &amp; ":$DR$" &amp; $BA$9),
_xlpm.col, Q$72+$D86*10,
INDEX(_xlpm.rango,$BA$4-3,_xlpm.col) +
INDEX(_xlpm.rango,$BA$4-2,_xlpm.col) +
INDEX(_xlpm.rango,$BA$4-1,_xlpm.col) +
INDEX(_xlpm.rango,$BA$4, _xlpm.col)
)</f>
        <v>#VALUE!</v>
      </c>
      <c r="R87" s="97" t="e" cm="1" vm="1">
        <f t="array" aca="1" ref="R87" ca="1">_xlfn.LET(
_xlpm.rango, INDIRECT("S!$C$" &amp; $BA$8 &amp; ":$DR$" &amp; $BA$9),
_xlpm.col, R$72+$D86*10,
INDEX(_xlpm.rango,$BA$4-3,_xlpm.col) +
INDEX(_xlpm.rango,$BA$4-2,_xlpm.col) +
INDEX(_xlpm.rango,$BA$4-1,_xlpm.col) +
INDEX(_xlpm.rango,$BA$4, _xlpm.col)
)</f>
        <v>#VALUE!</v>
      </c>
      <c r="S87" s="97" t="e" cm="1" vm="1">
        <f t="array" aca="1" ref="S87" ca="1">_xlfn.LET(
_xlpm.rango, INDIRECT("S!$C$" &amp; $BA$8 &amp; ":$DR$" &amp; $BA$9),
_xlpm.col, S$72+$D86*10,
INDEX(_xlpm.rango,$BA$4-3,_xlpm.col) +
INDEX(_xlpm.rango,$BA$4-2,_xlpm.col) +
INDEX(_xlpm.rango,$BA$4-1,_xlpm.col) +
INDEX(_xlpm.rango,$BA$4, _xlpm.col)
)</f>
        <v>#VALUE!</v>
      </c>
      <c r="T87" s="97" t="e" cm="1" vm="1">
        <f t="array" aca="1" ref="T87" ca="1">_xlfn.LET(
_xlpm.rango, INDIRECT("S!$C$" &amp; $BA$8 &amp; ":$DR$" &amp; $BA$9),
_xlpm.col, T$72+$D86*10,
INDEX(_xlpm.rango,$BA$4-3,_xlpm.col) +
INDEX(_xlpm.rango,$BA$4-2,_xlpm.col) +
INDEX(_xlpm.rango,$BA$4-1,_xlpm.col) +
INDEX(_xlpm.rango,$BA$4, _xlpm.col)
)</f>
        <v>#VALUE!</v>
      </c>
      <c r="U87" s="97" t="e" cm="1" vm="1">
        <f t="array" aca="1" ref="U87" ca="1">_xlfn.LET(
_xlpm.rango, INDIRECT("S!$C$" &amp; $BA$8 &amp; ":$DR$" &amp; $BA$9),
_xlpm.col, U$72+$D86*10,
INDEX(_xlpm.rango,$BA$4-3,_xlpm.col) +
INDEX(_xlpm.rango,$BA$4-2,_xlpm.col) +
INDEX(_xlpm.rango,$BA$4-1,_xlpm.col) +
INDEX(_xlpm.rango,$BA$4, _xlpm.col)
)</f>
        <v>#VALUE!</v>
      </c>
      <c r="V87" s="97" t="e" cm="1" vm="1">
        <f t="array" aca="1" ref="V87" ca="1">_xlfn.LET(
_xlpm.rango, INDIRECT("S!$C$" &amp; $BA$8 &amp; ":$DR$" &amp; $BA$9),
_xlpm.col, V$72+$D86*10,
INDEX(_xlpm.rango,$BA$4-3,_xlpm.col) +
INDEX(_xlpm.rango,$BA$4-2,_xlpm.col) +
INDEX(_xlpm.rango,$BA$4-1,_xlpm.col) +
INDEX(_xlpm.rango,$BA$4, _xlpm.col)
)</f>
        <v>#VALUE!</v>
      </c>
      <c r="W87" s="97" t="e" cm="1" vm="1">
        <f t="array" aca="1" ref="W87" ca="1">_xlfn.LET(
_xlpm.rango, INDIRECT("S!$C$" &amp; $BA$8 &amp; ":$DR$" &amp; $BA$9),
_xlpm.col, W$72+$D86*10,
INDEX(_xlpm.rango,$BA$4-3,_xlpm.col) +
INDEX(_xlpm.rango,$BA$4-2,_xlpm.col) +
INDEX(_xlpm.rango,$BA$4-1,_xlpm.col) +
INDEX(_xlpm.rango,$BA$4, _xlpm.col)
)</f>
        <v>#VALUE!</v>
      </c>
      <c r="X87" s="97" t="e" cm="1" vm="1">
        <f t="array" aca="1" ref="X87" ca="1">_xlfn.LET(
_xlpm.rango, INDIRECT("S!$C$" &amp; $BA$8 &amp; ":$DR$" &amp; $BA$9),
_xlpm.col, X$72+$D86*10,
INDEX(_xlpm.rango,$BA$4-3,_xlpm.col) +
INDEX(_xlpm.rango,$BA$4-2,_xlpm.col) +
INDEX(_xlpm.rango,$BA$4-1,_xlpm.col) +
INDEX(_xlpm.rango,$BA$4, _xlpm.col)
)</f>
        <v>#VALUE!</v>
      </c>
      <c r="Y87" s="97" t="e" cm="1" vm="1">
        <f t="array" aca="1" ref="Y87" ca="1">_xlfn.LET(
_xlpm.rango, INDIRECT("S!$C$" &amp; $BA$8 &amp; ":$DR$" &amp; $BA$9),
_xlpm.col, Y$72+$D86*10,
INDEX(_xlpm.rango,$BA$4-3,_xlpm.col) +
INDEX(_xlpm.rango,$BA$4-2,_xlpm.col) +
INDEX(_xlpm.rango,$BA$4-1,_xlpm.col) +
INDEX(_xlpm.rango,$BA$4, _xlpm.col)
)</f>
        <v>#VALUE!</v>
      </c>
      <c r="Z87" s="101" t="e" cm="1" vm="1">
        <f t="array" aca="1" ref="Z87" ca="1">_xlfn.LET(
_xlpm.rango, INDIRECT("E!$C$" &amp; $BA$8 &amp; ":$DR$" &amp; $BA$9),
_xlpm.col, Z$72+$D86*10,
INDEX(_xlpm.rango,$BA$4-3,_xlpm.col) +
INDEX(_xlpm.rango,$BA$4-2,_xlpm.col) +
INDEX(_xlpm.rango,$BA$4-1,_xlpm.col) +
INDEX(_xlpm.rango,$BA$4, _xlpm.col)
)</f>
        <v>#VALUE!</v>
      </c>
      <c r="AA87" s="97" t="e" cm="1" vm="1">
        <f t="array" aca="1" ref="AA87" ca="1">_xlfn.LET(
_xlpm.rango, INDIRECT("E!$C$" &amp; $BA$8 &amp; ":$DR$" &amp; $BA$9),
_xlpm.col, AA$72+$D86*10,
INDEX(_xlpm.rango,$BA$4-3,_xlpm.col) +
INDEX(_xlpm.rango,$BA$4-2,_xlpm.col) +
INDEX(_xlpm.rango,$BA$4-1,_xlpm.col) +
INDEX(_xlpm.rango,$BA$4, _xlpm.col)
)</f>
        <v>#VALUE!</v>
      </c>
      <c r="AB87" s="97" t="e" cm="1" vm="1">
        <f t="array" aca="1" ref="AB87" ca="1">_xlfn.LET(
_xlpm.rango, INDIRECT("E!$C$" &amp; $BA$8 &amp; ":$DR$" &amp; $BA$9),
_xlpm.col, AB$72+$D86*10,
INDEX(_xlpm.rango,$BA$4-3,_xlpm.col) +
INDEX(_xlpm.rango,$BA$4-2,_xlpm.col) +
INDEX(_xlpm.rango,$BA$4-1,_xlpm.col) +
INDEX(_xlpm.rango,$BA$4, _xlpm.col)
)</f>
        <v>#VALUE!</v>
      </c>
      <c r="AC87" s="97" t="e" cm="1" vm="1">
        <f t="array" aca="1" ref="AC87" ca="1">_xlfn.LET(
_xlpm.rango, INDIRECT("E!$C$" &amp; $BA$8 &amp; ":$DR$" &amp; $BA$9),
_xlpm.col, AC$72+$D86*10,
INDEX(_xlpm.rango,$BA$4-3,_xlpm.col) +
INDEX(_xlpm.rango,$BA$4-2,_xlpm.col) +
INDEX(_xlpm.rango,$BA$4-1,_xlpm.col) +
INDEX(_xlpm.rango,$BA$4, _xlpm.col)
)</f>
        <v>#VALUE!</v>
      </c>
      <c r="AD87" s="97" t="e" cm="1" vm="1">
        <f t="array" aca="1" ref="AD87" ca="1">_xlfn.LET(
_xlpm.rango, INDIRECT("E!$C$" &amp; $BA$8 &amp; ":$DR$" &amp; $BA$9),
_xlpm.col, AD$72+$D86*10,
INDEX(_xlpm.rango,$BA$4-3,_xlpm.col) +
INDEX(_xlpm.rango,$BA$4-2,_xlpm.col) +
INDEX(_xlpm.rango,$BA$4-1,_xlpm.col) +
INDEX(_xlpm.rango,$BA$4, _xlpm.col)
)</f>
        <v>#VALUE!</v>
      </c>
      <c r="AE87" s="97" t="e" cm="1" vm="1">
        <f t="array" aca="1" ref="AE87" ca="1">_xlfn.LET(
_xlpm.rango, INDIRECT("E!$C$" &amp; $BA$8 &amp; ":$DR$" &amp; $BA$9),
_xlpm.col, AE$72+$D86*10,
INDEX(_xlpm.rango,$BA$4-3,_xlpm.col) +
INDEX(_xlpm.rango,$BA$4-2,_xlpm.col) +
INDEX(_xlpm.rango,$BA$4-1,_xlpm.col) +
INDEX(_xlpm.rango,$BA$4, _xlpm.col)
)</f>
        <v>#VALUE!</v>
      </c>
      <c r="AF87" s="97" t="e" cm="1" vm="1">
        <f t="array" aca="1" ref="AF87" ca="1">_xlfn.LET(
_xlpm.rango, INDIRECT("E!$C$" &amp; $BA$8 &amp; ":$DR$" &amp; $BA$9),
_xlpm.col, AF$72+$D86*10,
INDEX(_xlpm.rango,$BA$4-3,_xlpm.col) +
INDEX(_xlpm.rango,$BA$4-2,_xlpm.col) +
INDEX(_xlpm.rango,$BA$4-1,_xlpm.col) +
INDEX(_xlpm.rango,$BA$4, _xlpm.col)
)</f>
        <v>#VALUE!</v>
      </c>
      <c r="AG87" s="97" t="e" cm="1" vm="1">
        <f t="array" aca="1" ref="AG87" ca="1">_xlfn.LET(
_xlpm.rango, INDIRECT("E!$C$" &amp; $BA$8 &amp; ":$DR$" &amp; $BA$9),
_xlpm.col, AG$72+$D86*10,
INDEX(_xlpm.rango,$BA$4-3,_xlpm.col) +
INDEX(_xlpm.rango,$BA$4-2,_xlpm.col) +
INDEX(_xlpm.rango,$BA$4-1,_xlpm.col) +
INDEX(_xlpm.rango,$BA$4, _xlpm.col)
)</f>
        <v>#VALUE!</v>
      </c>
      <c r="AH87" s="97" t="e" cm="1" vm="1">
        <f t="array" aca="1" ref="AH87" ca="1">_xlfn.LET(
_xlpm.rango, INDIRECT("E!$C$" &amp; $BA$8 &amp; ":$DR$" &amp; $BA$9),
_xlpm.col, AH$72+$D86*10,
INDEX(_xlpm.rango,$BA$4-3,_xlpm.col) +
INDEX(_xlpm.rango,$BA$4-2,_xlpm.col) +
INDEX(_xlpm.rango,$BA$4-1,_xlpm.col) +
INDEX(_xlpm.rango,$BA$4, _xlpm.col)
)</f>
        <v>#VALUE!</v>
      </c>
      <c r="AI87" s="98" t="e" cm="1" vm="1">
        <f t="array" aca="1" ref="AI87" ca="1">_xlfn.LET(
_xlpm.rango, INDIRECT("E!$C$" &amp; $BA$8 &amp; ":$DR$" &amp; $BA$9),
_xlpm.col, AI$72+$D86*10,
INDEX(_xlpm.rango,$BA$4-3,_xlpm.col) +
INDEX(_xlpm.rango,$BA$4-2,_xlpm.col) +
INDEX(_xlpm.rango,$BA$4-1,_xlpm.col) +
INDEX(_xlpm.rango,$BA$4, _xlpm.col)
)</f>
        <v>#VALUE!</v>
      </c>
      <c r="AJ87" s="97" t="e" cm="1" vm="1">
        <f t="array" aca="1" ref="AJ87" ca="1">_xlfn.LET(
_xlpm.rango, INDIRECT("E!$C$" &amp; $BA$8 &amp; ":$DR$" &amp; $BA$9),
_xlpm.col, AJ$72+$D86*10,
INDEX(_xlpm.rango,$BA$4-3,_xlpm.col) +
INDEX(_xlpm.rango,$BA$4-2,_xlpm.col) +
INDEX(_xlpm.rango,$BA$4-1,_xlpm.col) +
INDEX(_xlpm.rango,$BA$4, _xlpm.col)
)</f>
        <v>#VALUE!</v>
      </c>
      <c r="AK87" s="97" t="e" cm="1" vm="1">
        <f t="array" aca="1" ref="AK87" ca="1">_xlfn.LET(
_xlpm.rango, INDIRECT("E!$C$" &amp; $BA$8 &amp; ":$DR$" &amp; $BA$9),
_xlpm.col, AK$72+$D86*10,
INDEX(_xlpm.rango,$BA$4-3,_xlpm.col) +
INDEX(_xlpm.rango,$BA$4-2,_xlpm.col) +
INDEX(_xlpm.rango,$BA$4-1,_xlpm.col) +
INDEX(_xlpm.rango,$BA$4, _xlpm.col)
)</f>
        <v>#VALUE!</v>
      </c>
      <c r="AL87" s="97" t="e" cm="1" vm="1">
        <f t="array" aca="1" ref="AL87" ca="1">_xlfn.LET(
_xlpm.rango, INDIRECT("E!$C$" &amp; $BA$8 &amp; ":$DR$" &amp; $BA$9),
_xlpm.col, AL$72+$D86*10,
INDEX(_xlpm.rango,$BA$4-3,_xlpm.col) +
INDEX(_xlpm.rango,$BA$4-2,_xlpm.col) +
INDEX(_xlpm.rango,$BA$4-1,_xlpm.col) +
INDEX(_xlpm.rango,$BA$4, _xlpm.col)
)</f>
        <v>#VALUE!</v>
      </c>
      <c r="AM87" s="97" t="e" cm="1" vm="1">
        <f t="array" aca="1" ref="AM87" ca="1">_xlfn.LET(
_xlpm.rango, INDIRECT("E!$C$" &amp; $BA$8 &amp; ":$DR$" &amp; $BA$9),
_xlpm.col, AM$72+$D86*10,
INDEX(_xlpm.rango,$BA$4-3,_xlpm.col) +
INDEX(_xlpm.rango,$BA$4-2,_xlpm.col) +
INDEX(_xlpm.rango,$BA$4-1,_xlpm.col) +
INDEX(_xlpm.rango,$BA$4, _xlpm.col)
)</f>
        <v>#VALUE!</v>
      </c>
      <c r="AN87" s="97" t="e" cm="1" vm="1">
        <f t="array" aca="1" ref="AN87" ca="1">_xlfn.LET(
_xlpm.rango, INDIRECT("E!$C$" &amp; $BA$8 &amp; ":$DR$" &amp; $BA$9),
_xlpm.col, AN$72+$D86*10,
INDEX(_xlpm.rango,$BA$4-3,_xlpm.col) +
INDEX(_xlpm.rango,$BA$4-2,_xlpm.col) +
INDEX(_xlpm.rango,$BA$4-1,_xlpm.col) +
INDEX(_xlpm.rango,$BA$4, _xlpm.col)
)</f>
        <v>#VALUE!</v>
      </c>
      <c r="AO87" s="97" t="e" cm="1" vm="1">
        <f t="array" aca="1" ref="AO87" ca="1">_xlfn.LET(
_xlpm.rango, INDIRECT("E!$C$" &amp; $BA$8 &amp; ":$DR$" &amp; $BA$9),
_xlpm.col, AO$72+$D86*10,
INDEX(_xlpm.rango,$BA$4-3,_xlpm.col) +
INDEX(_xlpm.rango,$BA$4-2,_xlpm.col) +
INDEX(_xlpm.rango,$BA$4-1,_xlpm.col) +
INDEX(_xlpm.rango,$BA$4, _xlpm.col)
)</f>
        <v>#VALUE!</v>
      </c>
      <c r="AP87" s="97" t="e" cm="1" vm="1">
        <f t="array" aca="1" ref="AP87" ca="1">_xlfn.LET(
_xlpm.rango, INDIRECT("E!$C$" &amp; $BA$8 &amp; ":$DR$" &amp; $BA$9),
_xlpm.col, AP$72+$D86*10,
INDEX(_xlpm.rango,$BA$4-3,_xlpm.col) +
INDEX(_xlpm.rango,$BA$4-2,_xlpm.col) +
INDEX(_xlpm.rango,$BA$4-1,_xlpm.col) +
INDEX(_xlpm.rango,$BA$4, _xlpm.col)
)</f>
        <v>#VALUE!</v>
      </c>
      <c r="AQ87" s="97" t="e" cm="1" vm="1">
        <f t="array" aca="1" ref="AQ87" ca="1">_xlfn.LET(
_xlpm.rango, INDIRECT("E!$C$" &amp; $BA$8 &amp; ":$DR$" &amp; $BA$9),
_xlpm.col, AQ$72+$D86*10,
INDEX(_xlpm.rango,$BA$4-3,_xlpm.col) +
INDEX(_xlpm.rango,$BA$4-2,_xlpm.col) +
INDEX(_xlpm.rango,$BA$4-1,_xlpm.col) +
INDEX(_xlpm.rango,$BA$4, _xlpm.col)
)</f>
        <v>#VALUE!</v>
      </c>
      <c r="AR87" s="97" t="e" cm="1" vm="1">
        <f t="array" aca="1" ref="AR87" ca="1">_xlfn.LET(
_xlpm.rango, INDIRECT("E!$C$" &amp; $BA$8 &amp; ":$DR$" &amp; $BA$9),
_xlpm.col, AR$72+$D86*10,
INDEX(_xlpm.rango,$BA$4-3,_xlpm.col) +
INDEX(_xlpm.rango,$BA$4-2,_xlpm.col) +
INDEX(_xlpm.rango,$BA$4-1,_xlpm.col) +
INDEX(_xlpm.rango,$BA$4, _xlpm.col)
)</f>
        <v>#VALUE!</v>
      </c>
      <c r="AS87" s="114" t="e" cm="1" vm="1">
        <f t="array" aca="1" ref="AS87" ca="1">_xlfn.LET(
_xlpm.rango, INDIRECT("E!$C$" &amp; $BA$8 &amp; ":$DR$" &amp; $BA$9),
_xlpm.col, AS$72+$D86*10,
INDEX(_xlpm.rango,$BA$4-3,_xlpm.col) +
INDEX(_xlpm.rango,$BA$4-2,_xlpm.col) +
INDEX(_xlpm.rango,$BA$4-1,_xlpm.col) +
INDEX(_xlpm.rango,$BA$4, _xlpm.col)
)</f>
        <v>#VALUE!</v>
      </c>
      <c r="AT87" s="121" t="e" vm="2">
        <f t="shared" ca="1" si="0"/>
        <v>#VALUE!</v>
      </c>
      <c r="AU87" s="122" t="e" vm="2">
        <f t="shared" ca="1" si="1"/>
        <v>#VALUE!</v>
      </c>
    </row>
    <row r="88" spans="4:47" ht="15.75" thickBot="1" x14ac:dyDescent="0.3">
      <c r="E88" s="115" t="s">
        <v>153</v>
      </c>
      <c r="F88" s="92" t="e" vm="2">
        <f ca="1">SUM(F76:F87)</f>
        <v>#VALUE!</v>
      </c>
      <c r="G88" s="92" t="e" vm="2">
        <f t="shared" ref="G88:AT88" ca="1" si="2">SUM(G76:G87)</f>
        <v>#VALUE!</v>
      </c>
      <c r="H88" s="92" t="e" vm="2">
        <f t="shared" ca="1" si="2"/>
        <v>#VALUE!</v>
      </c>
      <c r="I88" s="92" t="e" vm="2">
        <f t="shared" ca="1" si="2"/>
        <v>#VALUE!</v>
      </c>
      <c r="J88" s="92" t="e" vm="2">
        <f t="shared" ca="1" si="2"/>
        <v>#VALUE!</v>
      </c>
      <c r="K88" s="92" t="e" vm="2">
        <f t="shared" ca="1" si="2"/>
        <v>#VALUE!</v>
      </c>
      <c r="L88" s="92" t="e" vm="2">
        <f t="shared" ca="1" si="2"/>
        <v>#VALUE!</v>
      </c>
      <c r="M88" s="92" t="e" vm="2">
        <f t="shared" ca="1" si="2"/>
        <v>#VALUE!</v>
      </c>
      <c r="N88" s="92" t="e" vm="2">
        <f t="shared" ca="1" si="2"/>
        <v>#VALUE!</v>
      </c>
      <c r="O88" s="92" t="e" vm="2">
        <f t="shared" ca="1" si="2"/>
        <v>#VALUE!</v>
      </c>
      <c r="P88" s="128" t="e" vm="2">
        <f t="shared" ca="1" si="2"/>
        <v>#VALUE!</v>
      </c>
      <c r="Q88" s="92" t="e" vm="2">
        <f t="shared" ca="1" si="2"/>
        <v>#VALUE!</v>
      </c>
      <c r="R88" s="92" t="e" vm="2">
        <f t="shared" ca="1" si="2"/>
        <v>#VALUE!</v>
      </c>
      <c r="S88" s="92" t="e" vm="2">
        <f t="shared" ca="1" si="2"/>
        <v>#VALUE!</v>
      </c>
      <c r="T88" s="92" t="e" vm="2">
        <f t="shared" ca="1" si="2"/>
        <v>#VALUE!</v>
      </c>
      <c r="U88" s="92" t="e" vm="2">
        <f t="shared" ca="1" si="2"/>
        <v>#VALUE!</v>
      </c>
      <c r="V88" s="92" t="e" vm="2">
        <f t="shared" ca="1" si="2"/>
        <v>#VALUE!</v>
      </c>
      <c r="W88" s="92" t="e" vm="2">
        <f t="shared" ca="1" si="2"/>
        <v>#VALUE!</v>
      </c>
      <c r="X88" s="92" t="e" vm="2">
        <f t="shared" ca="1" si="2"/>
        <v>#VALUE!</v>
      </c>
      <c r="Y88" s="92" t="e" vm="2">
        <f t="shared" ca="1" si="2"/>
        <v>#VALUE!</v>
      </c>
      <c r="Z88" s="92" t="e" vm="2">
        <f t="shared" ca="1" si="2"/>
        <v>#VALUE!</v>
      </c>
      <c r="AA88" s="92" t="e" vm="2">
        <f t="shared" ca="1" si="2"/>
        <v>#VALUE!</v>
      </c>
      <c r="AB88" s="92" t="e" vm="2">
        <f t="shared" ca="1" si="2"/>
        <v>#VALUE!</v>
      </c>
      <c r="AC88" s="92" t="e" vm="2">
        <f t="shared" ca="1" si="2"/>
        <v>#VALUE!</v>
      </c>
      <c r="AD88" s="92" t="e" vm="2">
        <f t="shared" ca="1" si="2"/>
        <v>#VALUE!</v>
      </c>
      <c r="AE88" s="92" t="e" vm="2">
        <f t="shared" ca="1" si="2"/>
        <v>#VALUE!</v>
      </c>
      <c r="AF88" s="92" t="e" vm="2">
        <f t="shared" ca="1" si="2"/>
        <v>#VALUE!</v>
      </c>
      <c r="AG88" s="92" t="e" vm="2">
        <f t="shared" ca="1" si="2"/>
        <v>#VALUE!</v>
      </c>
      <c r="AH88" s="92" t="e" vm="2">
        <f t="shared" ca="1" si="2"/>
        <v>#VALUE!</v>
      </c>
      <c r="AI88" s="92" t="e" vm="2">
        <f t="shared" ca="1" si="2"/>
        <v>#VALUE!</v>
      </c>
      <c r="AJ88" s="92" t="e" vm="2">
        <f t="shared" ca="1" si="2"/>
        <v>#VALUE!</v>
      </c>
      <c r="AK88" s="92" t="e" vm="2">
        <f t="shared" ca="1" si="2"/>
        <v>#VALUE!</v>
      </c>
      <c r="AL88" s="92" t="e" vm="2">
        <f t="shared" ca="1" si="2"/>
        <v>#VALUE!</v>
      </c>
      <c r="AM88" s="92" t="e" vm="2">
        <f t="shared" ca="1" si="2"/>
        <v>#VALUE!</v>
      </c>
      <c r="AN88" s="92" t="e" vm="2">
        <f t="shared" ca="1" si="2"/>
        <v>#VALUE!</v>
      </c>
      <c r="AO88" s="92" t="e" vm="2">
        <f t="shared" ca="1" si="2"/>
        <v>#VALUE!</v>
      </c>
      <c r="AP88" s="92" t="e" vm="2">
        <f t="shared" ca="1" si="2"/>
        <v>#VALUE!</v>
      </c>
      <c r="AQ88" s="92" t="e" vm="2">
        <f t="shared" ca="1" si="2"/>
        <v>#VALUE!</v>
      </c>
      <c r="AR88" s="92" t="e" vm="2">
        <f t="shared" ca="1" si="2"/>
        <v>#VALUE!</v>
      </c>
      <c r="AS88" s="116" t="e" vm="2">
        <f t="shared" ca="1" si="2"/>
        <v>#VALUE!</v>
      </c>
      <c r="AT88" s="123" t="e" vm="2">
        <f t="shared" ca="1" si="2"/>
        <v>#VALUE!</v>
      </c>
      <c r="AU88" s="124" t="e" vm="2">
        <f ca="1">SUM(AU76:AU87)</f>
        <v>#VALUE!</v>
      </c>
    </row>
    <row r="89" spans="4:47" ht="15.75" thickBot="1" x14ac:dyDescent="0.3">
      <c r="E89" s="117" t="s">
        <v>3</v>
      </c>
      <c r="F89" s="226" t="e" vm="2">
        <f ca="1">F76*Inicio!$W$4+F77*Inicio!$W$5+F78*Inicio!$W$6+F79*Inicio!$W$7+F80*Inicio!$W$8+F81*Inicio!$W$9+F82*Inicio!$W$10+F83*Inicio!$W$11+F84*Inicio!$W$12+F85*Inicio!$W$13+F86*Inicio!$W$14+F87*Inicio!$W$15</f>
        <v>#VALUE!</v>
      </c>
      <c r="G89" s="226" t="e" vm="2">
        <f ca="1">G76*Inicio!$W$4+G77*Inicio!$W$5+G78*Inicio!$W$6+G79*Inicio!$W$7+G80*Inicio!$W$8+G81*Inicio!$W$9+G82*Inicio!$W$10+G83*Inicio!$W$11+G84*Inicio!$W$12+G85*Inicio!$W$13+G86*Inicio!$W$14+G87*Inicio!$W$15</f>
        <v>#VALUE!</v>
      </c>
      <c r="H89" s="226" t="e" vm="2">
        <f ca="1">H76*Inicio!$W$4+H77*Inicio!$W$5+H78*Inicio!$W$6+H79*Inicio!$W$7+H80*Inicio!$W$8+H81*Inicio!$W$9+H82*Inicio!$W$10+H83*Inicio!$W$11+H84*Inicio!$W$12+H85*Inicio!$W$13+H86*Inicio!$W$14+H87*Inicio!$W$15</f>
        <v>#VALUE!</v>
      </c>
      <c r="I89" s="226" t="e" vm="2">
        <f ca="1">I76*Inicio!$W$4+I77*Inicio!$W$5+I78*Inicio!$W$6+I79*Inicio!$W$7+I80*Inicio!$W$8+I81*Inicio!$W$9+I82*Inicio!$W$10+I83*Inicio!$W$11+I84*Inicio!$W$12+I85*Inicio!$W$13+I86*Inicio!$W$14+I87*Inicio!$W$15</f>
        <v>#VALUE!</v>
      </c>
      <c r="J89" s="226" t="e" vm="2">
        <f ca="1">J76*Inicio!$W$4+J77*Inicio!$W$5+J78*Inicio!$W$6+J79*Inicio!$W$7+J80*Inicio!$W$8+J81*Inicio!$W$9+J82*Inicio!$W$10+J83*Inicio!$W$11+J84*Inicio!$W$12+J85*Inicio!$W$13+J86*Inicio!$W$14+J87*Inicio!$W$15</f>
        <v>#VALUE!</v>
      </c>
      <c r="K89" s="226" t="e" vm="2">
        <f ca="1">K76*Inicio!$W$4+K77*Inicio!$W$5+K78*Inicio!$W$6+K79*Inicio!$W$7+K80*Inicio!$W$8+K81*Inicio!$W$9+K82*Inicio!$W$10+K83*Inicio!$W$11+K84*Inicio!$W$12+K85*Inicio!$W$13+K86*Inicio!$W$14+K87*Inicio!$W$15</f>
        <v>#VALUE!</v>
      </c>
      <c r="L89" s="226" t="e" vm="2">
        <f ca="1">L76*Inicio!$W$4+L77*Inicio!$W$5+L78*Inicio!$W$6+L79*Inicio!$W$7+L80*Inicio!$W$8+L81*Inicio!$W$9+L82*Inicio!$W$10+L83*Inicio!$W$11+L84*Inicio!$W$12+L85*Inicio!$W$13+L86*Inicio!$W$14+L87*Inicio!$W$15</f>
        <v>#VALUE!</v>
      </c>
      <c r="M89" s="226" t="e" vm="2">
        <f ca="1">M76*Inicio!$W$4+M77*Inicio!$W$5+M78*Inicio!$W$6+M79*Inicio!$W$7+M80*Inicio!$W$8+M81*Inicio!$W$9+M82*Inicio!$W$10+M83*Inicio!$W$11+M84*Inicio!$W$12+M85*Inicio!$W$13+M86*Inicio!$W$14+M87*Inicio!$W$15</f>
        <v>#VALUE!</v>
      </c>
      <c r="N89" s="226" t="e" vm="2">
        <f ca="1">N76*Inicio!$W$4+N77*Inicio!$W$5+N78*Inicio!$W$6+N79*Inicio!$W$7+N80*Inicio!$W$8+N81*Inicio!$W$9+N82*Inicio!$W$10+N83*Inicio!$W$11+N84*Inicio!$W$12+N85*Inicio!$W$13+N86*Inicio!$W$14+N87*Inicio!$W$15</f>
        <v>#VALUE!</v>
      </c>
      <c r="O89" s="226" t="e" vm="2">
        <f ca="1">O76*Inicio!$W$4+O77*Inicio!$W$5+O78*Inicio!$W$6+O79*Inicio!$W$7+O80*Inicio!$W$8+O81*Inicio!$W$9+O82*Inicio!$W$10+O83*Inicio!$W$11+O84*Inicio!$W$12+O85*Inicio!$W$13+O86*Inicio!$W$14+O87*Inicio!$W$15</f>
        <v>#VALUE!</v>
      </c>
      <c r="P89" s="226" t="e" vm="2">
        <f ca="1">P76*Inicio!$W$4+P77*Inicio!$W$5+P78*Inicio!$W$6+P79*Inicio!$W$7+P80*Inicio!$W$8+P81*Inicio!$W$9+P82*Inicio!$W$10+P83*Inicio!$W$11+P84*Inicio!$W$12+P85*Inicio!$W$13+P86*Inicio!$W$14+P87*Inicio!$W$15</f>
        <v>#VALUE!</v>
      </c>
      <c r="Q89" s="226" t="e" vm="2">
        <f ca="1">Q76*Inicio!$W$4+Q77*Inicio!$W$5+Q78*Inicio!$W$6+Q79*Inicio!$W$7+Q80*Inicio!$W$8+Q81*Inicio!$W$9+Q82*Inicio!$W$10+Q83*Inicio!$W$11+Q84*Inicio!$W$12+Q85*Inicio!$W$13+Q86*Inicio!$W$14+Q87*Inicio!$W$15</f>
        <v>#VALUE!</v>
      </c>
      <c r="R89" s="226" t="e" vm="2">
        <f ca="1">R76*Inicio!$W$4+R77*Inicio!$W$5+R78*Inicio!$W$6+R79*Inicio!$W$7+R80*Inicio!$W$8+R81*Inicio!$W$9+R82*Inicio!$W$10+R83*Inicio!$W$11+R84*Inicio!$W$12+R85*Inicio!$W$13+R86*Inicio!$W$14+R87*Inicio!$W$15</f>
        <v>#VALUE!</v>
      </c>
      <c r="S89" s="226" t="e" vm="2">
        <f ca="1">S76*Inicio!$W$4+S77*Inicio!$W$5+S78*Inicio!$W$6+S79*Inicio!$W$7+S80*Inicio!$W$8+S81*Inicio!$W$9+S82*Inicio!$W$10+S83*Inicio!$W$11+S84*Inicio!$W$12+S85*Inicio!$W$13+S86*Inicio!$W$14+S87*Inicio!$W$15</f>
        <v>#VALUE!</v>
      </c>
      <c r="T89" s="226" t="e" vm="2">
        <f ca="1">T76*Inicio!$W$4+T77*Inicio!$W$5+T78*Inicio!$W$6+T79*Inicio!$W$7+T80*Inicio!$W$8+T81*Inicio!$W$9+T82*Inicio!$W$10+T83*Inicio!$W$11+T84*Inicio!$W$12+T85*Inicio!$W$13+T86*Inicio!$W$14+T87*Inicio!$W$15</f>
        <v>#VALUE!</v>
      </c>
      <c r="U89" s="226" t="e" vm="2">
        <f ca="1">U76*Inicio!$W$4+U77*Inicio!$W$5+U78*Inicio!$W$6+U79*Inicio!$W$7+U80*Inicio!$W$8+U81*Inicio!$W$9+U82*Inicio!$W$10+U83*Inicio!$W$11+U84*Inicio!$W$12+U85*Inicio!$W$13+U86*Inicio!$W$14+U87*Inicio!$W$15</f>
        <v>#VALUE!</v>
      </c>
      <c r="V89" s="226" t="e" vm="2">
        <f ca="1">V76*Inicio!$W$4+V77*Inicio!$W$5+V78*Inicio!$W$6+V79*Inicio!$W$7+V80*Inicio!$W$8+V81*Inicio!$W$9+V82*Inicio!$W$10+V83*Inicio!$W$11+V84*Inicio!$W$12+V85*Inicio!$W$13+V86*Inicio!$W$14+V87*Inicio!$W$15</f>
        <v>#VALUE!</v>
      </c>
      <c r="W89" s="226" t="e" vm="2">
        <f ca="1">W76*Inicio!$W$4+W77*Inicio!$W$5+W78*Inicio!$W$6+W79*Inicio!$W$7+W80*Inicio!$W$8+W81*Inicio!$W$9+W82*Inicio!$W$10+W83*Inicio!$W$11+W84*Inicio!$W$12+W85*Inicio!$W$13+W86*Inicio!$W$14+W87*Inicio!$W$15</f>
        <v>#VALUE!</v>
      </c>
      <c r="X89" s="226" t="e" vm="2">
        <f ca="1">X76*Inicio!$W$4+X77*Inicio!$W$5+X78*Inicio!$W$6+X79*Inicio!$W$7+X80*Inicio!$W$8+X81*Inicio!$W$9+X82*Inicio!$W$10+X83*Inicio!$W$11+X84*Inicio!$W$12+X85*Inicio!$W$13+X86*Inicio!$W$14+X87*Inicio!$W$15</f>
        <v>#VALUE!</v>
      </c>
      <c r="Y89" s="226" t="e" vm="2">
        <f ca="1">Y76*Inicio!$W$4+Y77*Inicio!$W$5+Y78*Inicio!$W$6+Y79*Inicio!$W$7+Y80*Inicio!$W$8+Y81*Inicio!$W$9+Y82*Inicio!$W$10+Y83*Inicio!$W$11+Y84*Inicio!$W$12+Y85*Inicio!$W$13+Y86*Inicio!$W$14+Y87*Inicio!$W$15</f>
        <v>#VALUE!</v>
      </c>
      <c r="Z89" s="226" t="e" vm="2">
        <f ca="1">Z76*Inicio!$W$4+Z77*Inicio!$W$5+Z78*Inicio!$W$6+Z79*Inicio!$W$7+Z80*Inicio!$W$8+Z81*Inicio!$W$9+Z82*Inicio!$W$10+Z83*Inicio!$W$11+Z84*Inicio!$W$12+Z85*Inicio!$W$13+Z86*Inicio!$W$14+Z87*Inicio!$W$15</f>
        <v>#VALUE!</v>
      </c>
      <c r="AA89" s="226" t="e" vm="2">
        <f ca="1">AA76*Inicio!$W$4+AA77*Inicio!$W$5+AA78*Inicio!$W$6+AA79*Inicio!$W$7+AA80*Inicio!$W$8+AA81*Inicio!$W$9+AA82*Inicio!$W$10+AA83*Inicio!$W$11+AA84*Inicio!$W$12+AA85*Inicio!$W$13+AA86*Inicio!$W$14+AA87*Inicio!$W$15</f>
        <v>#VALUE!</v>
      </c>
      <c r="AB89" s="226" t="e" vm="2">
        <f ca="1">AB76*Inicio!$W$4+AB77*Inicio!$W$5+AB78*Inicio!$W$6+AB79*Inicio!$W$7+AB80*Inicio!$W$8+AB81*Inicio!$W$9+AB82*Inicio!$W$10+AB83*Inicio!$W$11+AB84*Inicio!$W$12+AB85*Inicio!$W$13+AB86*Inicio!$W$14+AB87*Inicio!$W$15</f>
        <v>#VALUE!</v>
      </c>
      <c r="AC89" s="226" t="e" vm="2">
        <f ca="1">AC76*Inicio!$W$4+AC77*Inicio!$W$5+AC78*Inicio!$W$6+AC79*Inicio!$W$7+AC80*Inicio!$W$8+AC81*Inicio!$W$9+AC82*Inicio!$W$10+AC83*Inicio!$W$11+AC84*Inicio!$W$12+AC85*Inicio!$W$13+AC86*Inicio!$W$14+AC87*Inicio!$W$15</f>
        <v>#VALUE!</v>
      </c>
      <c r="AD89" s="226" t="e" vm="2">
        <f ca="1">AD76*Inicio!$W$4+AD77*Inicio!$W$5+AD78*Inicio!$W$6+AD79*Inicio!$W$7+AD80*Inicio!$W$8+AD81*Inicio!$W$9+AD82*Inicio!$W$10+AD83*Inicio!$W$11+AD84*Inicio!$W$12+AD85*Inicio!$W$13+AD86*Inicio!$W$14+AD87*Inicio!$W$15</f>
        <v>#VALUE!</v>
      </c>
      <c r="AE89" s="226" t="e" vm="2">
        <f ca="1">AE76*Inicio!$W$4+AE77*Inicio!$W$5+AE78*Inicio!$W$6+AE79*Inicio!$W$7+AE80*Inicio!$W$8+AE81*Inicio!$W$9+AE82*Inicio!$W$10+AE83*Inicio!$W$11+AE84*Inicio!$W$12+AE85*Inicio!$W$13+AE86*Inicio!$W$14+AE87*Inicio!$W$15</f>
        <v>#VALUE!</v>
      </c>
      <c r="AF89" s="226" t="e" vm="2">
        <f ca="1">AF76*Inicio!$W$4+AF77*Inicio!$W$5+AF78*Inicio!$W$6+AF79*Inicio!$W$7+AF80*Inicio!$W$8+AF81*Inicio!$W$9+AF82*Inicio!$W$10+AF83*Inicio!$W$11+AF84*Inicio!$W$12+AF85*Inicio!$W$13+AF86*Inicio!$W$14+AF87*Inicio!$W$15</f>
        <v>#VALUE!</v>
      </c>
      <c r="AG89" s="226" t="e" vm="2">
        <f ca="1">AG76*Inicio!$W$4+AG77*Inicio!$W$5+AG78*Inicio!$W$6+AG79*Inicio!$W$7+AG80*Inicio!$W$8+AG81*Inicio!$W$9+AG82*Inicio!$W$10+AG83*Inicio!$W$11+AG84*Inicio!$W$12+AG85*Inicio!$W$13+AG86*Inicio!$W$14+AG87*Inicio!$W$15</f>
        <v>#VALUE!</v>
      </c>
      <c r="AH89" s="226" t="e" vm="2">
        <f ca="1">AH76*Inicio!$W$4+AH77*Inicio!$W$5+AH78*Inicio!$W$6+AH79*Inicio!$W$7+AH80*Inicio!$W$8+AH81*Inicio!$W$9+AH82*Inicio!$W$10+AH83*Inicio!$W$11+AH84*Inicio!$W$12+AH85*Inicio!$W$13+AH86*Inicio!$W$14+AH87*Inicio!$W$15</f>
        <v>#VALUE!</v>
      </c>
      <c r="AI89" s="226" t="e" vm="2">
        <f ca="1">AI76*Inicio!$W$4+AI77*Inicio!$W$5+AI78*Inicio!$W$6+AI79*Inicio!$W$7+AI80*Inicio!$W$8+AI81*Inicio!$W$9+AI82*Inicio!$W$10+AI83*Inicio!$W$11+AI84*Inicio!$W$12+AI85*Inicio!$W$13+AI86*Inicio!$W$14+AI87*Inicio!$W$15</f>
        <v>#VALUE!</v>
      </c>
      <c r="AJ89" s="226" t="e" vm="2">
        <f ca="1">AJ76*Inicio!$W$4+AJ77*Inicio!$W$5+AJ78*Inicio!$W$6+AJ79*Inicio!$W$7+AJ80*Inicio!$W$8+AJ81*Inicio!$W$9+AJ82*Inicio!$W$10+AJ83*Inicio!$W$11+AJ84*Inicio!$W$12+AJ85*Inicio!$W$13+AJ86*Inicio!$W$14+AJ87*Inicio!$W$15</f>
        <v>#VALUE!</v>
      </c>
      <c r="AK89" s="226" t="e" vm="2">
        <f ca="1">AK76*Inicio!$W$4+AK77*Inicio!$W$5+AK78*Inicio!$W$6+AK79*Inicio!$W$7+AK80*Inicio!$W$8+AK81*Inicio!$W$9+AK82*Inicio!$W$10+AK83*Inicio!$W$11+AK84*Inicio!$W$12+AK85*Inicio!$W$13+AK86*Inicio!$W$14+AK87*Inicio!$W$15</f>
        <v>#VALUE!</v>
      </c>
      <c r="AL89" s="226" t="e" vm="2">
        <f ca="1">AL76*Inicio!$W$4+AL77*Inicio!$W$5+AL78*Inicio!$W$6+AL79*Inicio!$W$7+AL80*Inicio!$W$8+AL81*Inicio!$W$9+AL82*Inicio!$W$10+AL83*Inicio!$W$11+AL84*Inicio!$W$12+AL85*Inicio!$W$13+AL86*Inicio!$W$14+AL87*Inicio!$W$15</f>
        <v>#VALUE!</v>
      </c>
      <c r="AM89" s="226" t="e" vm="2">
        <f ca="1">AM76*Inicio!$W$4+AM77*Inicio!$W$5+AM78*Inicio!$W$6+AM79*Inicio!$W$7+AM80*Inicio!$W$8+AM81*Inicio!$W$9+AM82*Inicio!$W$10+AM83*Inicio!$W$11+AM84*Inicio!$W$12+AM85*Inicio!$W$13+AM86*Inicio!$W$14+AM87*Inicio!$W$15</f>
        <v>#VALUE!</v>
      </c>
      <c r="AN89" s="226" t="e" vm="2">
        <f ca="1">AN76*Inicio!$W$4+AN77*Inicio!$W$5+AN78*Inicio!$W$6+AN79*Inicio!$W$7+AN80*Inicio!$W$8+AN81*Inicio!$W$9+AN82*Inicio!$W$10+AN83*Inicio!$W$11+AN84*Inicio!$W$12+AN85*Inicio!$W$13+AN86*Inicio!$W$14+AN87*Inicio!$W$15</f>
        <v>#VALUE!</v>
      </c>
      <c r="AO89" s="226" t="e" vm="2">
        <f ca="1">AO76*Inicio!$W$4+AO77*Inicio!$W$5+AO78*Inicio!$W$6+AO79*Inicio!$W$7+AO80*Inicio!$W$8+AO81*Inicio!$W$9+AO82*Inicio!$W$10+AO83*Inicio!$W$11+AO84*Inicio!$W$12+AO85*Inicio!$W$13+AO86*Inicio!$W$14+AO87*Inicio!$W$15</f>
        <v>#VALUE!</v>
      </c>
      <c r="AP89" s="226" t="e" vm="2">
        <f ca="1">AP76*Inicio!$W$4+AP77*Inicio!$W$5+AP78*Inicio!$W$6+AP79*Inicio!$W$7+AP80*Inicio!$W$8+AP81*Inicio!$W$9+AP82*Inicio!$W$10+AP83*Inicio!$W$11+AP84*Inicio!$W$12+AP85*Inicio!$W$13+AP86*Inicio!$W$14+AP87*Inicio!$W$15</f>
        <v>#VALUE!</v>
      </c>
      <c r="AQ89" s="226" t="e" vm="2">
        <f ca="1">AQ76*Inicio!$W$4+AQ77*Inicio!$W$5+AQ78*Inicio!$W$6+AQ79*Inicio!$W$7+AQ80*Inicio!$W$8+AQ81*Inicio!$W$9+AQ82*Inicio!$W$10+AQ83*Inicio!$W$11+AQ84*Inicio!$W$12+AQ85*Inicio!$W$13+AQ86*Inicio!$W$14+AQ87*Inicio!$W$15</f>
        <v>#VALUE!</v>
      </c>
      <c r="AR89" s="226" t="e" vm="2">
        <f ca="1">AR76*Inicio!$W$4+AR77*Inicio!$W$5+AR78*Inicio!$W$6+AR79*Inicio!$W$7+AR80*Inicio!$W$8+AR81*Inicio!$W$9+AR82*Inicio!$W$10+AR83*Inicio!$W$11+AR84*Inicio!$W$12+AR85*Inicio!$W$13+AR86*Inicio!$W$14+AR87*Inicio!$W$15</f>
        <v>#VALUE!</v>
      </c>
      <c r="AS89" s="227" t="e" vm="2">
        <f ca="1">AS76*Inicio!$W$4+AS77*Inicio!$W$5+AS78*Inicio!$W$6+AS79*Inicio!$W$7+AS80*Inicio!$W$8+AS81*Inicio!$W$9+AS82*Inicio!$W$10+AS83*Inicio!$W$11+AS84*Inicio!$W$12+AS85*Inicio!$W$13+AS86*Inicio!$W$14+AS87*Inicio!$W$15</f>
        <v>#VALUE!</v>
      </c>
    </row>
  </sheetData>
  <mergeCells count="26">
    <mergeCell ref="E2:AU2"/>
    <mergeCell ref="F4:J4"/>
    <mergeCell ref="AQ4:AR4"/>
    <mergeCell ref="AS4:AU4"/>
    <mergeCell ref="F5:J5"/>
    <mergeCell ref="AQ5:AR5"/>
    <mergeCell ref="AS5:AU5"/>
    <mergeCell ref="F6:J6"/>
    <mergeCell ref="AQ6:AR6"/>
    <mergeCell ref="AS6:AU6"/>
    <mergeCell ref="F7:J7"/>
    <mergeCell ref="AQ7:AR7"/>
    <mergeCell ref="AS7:AU7"/>
    <mergeCell ref="P74:Y74"/>
    <mergeCell ref="Z74:AI74"/>
    <mergeCell ref="AJ74:AS74"/>
    <mergeCell ref="E9:AU68"/>
    <mergeCell ref="E70:AU70"/>
    <mergeCell ref="E73:E75"/>
    <mergeCell ref="F73:O73"/>
    <mergeCell ref="P73:Y73"/>
    <mergeCell ref="Z73:AI73"/>
    <mergeCell ref="AJ73:AS73"/>
    <mergeCell ref="AT73:AT75"/>
    <mergeCell ref="AU73:AU75"/>
    <mergeCell ref="F74:O74"/>
  </mergeCells>
  <pageMargins left="0.7" right="0.7" top="0.75" bottom="0.75" header="0.3" footer="0.3"/>
  <ignoredErrors>
    <ignoredError sqref="P88:Y88 F88:O8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99AE-3B0B-4AAC-B6D1-B5E7AD25DCF2}">
  <dimension ref="A1:BA89"/>
  <sheetViews>
    <sheetView topLeftCell="A44" zoomScale="70" zoomScaleNormal="70" workbookViewId="0"/>
  </sheetViews>
  <sheetFormatPr baseColWidth="10" defaultRowHeight="15" x14ac:dyDescent="0.25"/>
  <cols>
    <col min="1" max="1" width="11.42578125" style="47" customWidth="1"/>
    <col min="2" max="3" width="11.42578125" style="47"/>
    <col min="4" max="4" width="4.140625" hidden="1" customWidth="1"/>
    <col min="5" max="5" width="14.85546875" customWidth="1"/>
    <col min="6" max="45" width="6.7109375" customWidth="1"/>
    <col min="46" max="47" width="7.28515625" style="47" customWidth="1"/>
    <col min="48" max="49" width="14.85546875" customWidth="1"/>
    <col min="53" max="53" width="14.42578125" bestFit="1" customWidth="1"/>
  </cols>
  <sheetData>
    <row r="1" spans="5:53" s="47" customFormat="1" ht="15.75" thickBot="1" x14ac:dyDescent="0.3"/>
    <row r="2" spans="5:53" s="47" customFormat="1" ht="36.75" thickBot="1" x14ac:dyDescent="0.6">
      <c r="E2" s="183" t="s">
        <v>154</v>
      </c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</row>
    <row r="3" spans="5:53" s="47" customFormat="1" ht="15.75" thickBot="1" x14ac:dyDescent="0.3">
      <c r="AZ3" s="126" t="s">
        <v>163</v>
      </c>
    </row>
    <row r="4" spans="5:53" s="47" customFormat="1" x14ac:dyDescent="0.25">
      <c r="E4" s="104" t="s">
        <v>158</v>
      </c>
      <c r="F4" s="186" t="str">
        <f>Inicio!G5</f>
        <v/>
      </c>
      <c r="G4" s="186"/>
      <c r="H4" s="186"/>
      <c r="I4" s="186"/>
      <c r="J4" s="186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87" t="s">
        <v>159</v>
      </c>
      <c r="AR4" s="187"/>
      <c r="AS4" s="186" t="str">
        <f>Inicio!G9</f>
        <v/>
      </c>
      <c r="AT4" s="186"/>
      <c r="AU4" s="188"/>
      <c r="AZ4" s="47" t="s">
        <v>164</v>
      </c>
      <c r="BA4" s="47">
        <f ca="1">_xlfn.LET(
_xlpm.rango, INDIRECT("N!EJ" &amp; $BA$8 &amp; ":EJ" &amp; BA9),
MATCH(MAX(_xlpm.rango),_xlpm.rango,0)
)</f>
        <v>1</v>
      </c>
    </row>
    <row r="5" spans="5:53" s="47" customFormat="1" x14ac:dyDescent="0.25">
      <c r="E5" s="106" t="s">
        <v>157</v>
      </c>
      <c r="F5" s="189">
        <f>Inicio!G6</f>
        <v>45658</v>
      </c>
      <c r="G5" s="177"/>
      <c r="H5" s="177"/>
      <c r="I5" s="177"/>
      <c r="J5" s="177"/>
      <c r="AQ5" s="178" t="s">
        <v>160</v>
      </c>
      <c r="AR5" s="178"/>
      <c r="AS5" s="177" t="s">
        <v>123</v>
      </c>
      <c r="AT5" s="177"/>
      <c r="AU5" s="179"/>
      <c r="AZ5" s="47" t="s">
        <v>165</v>
      </c>
      <c r="BA5" s="90">
        <f ca="1">TIME(0,15,0)*BA4+TIME((BA8-9)/4,0,0)</f>
        <v>0.76041666666666663</v>
      </c>
    </row>
    <row r="6" spans="5:53" s="47" customFormat="1" x14ac:dyDescent="0.25">
      <c r="E6" s="106" t="s">
        <v>156</v>
      </c>
      <c r="F6" s="177" t="str">
        <f>Inicio!G8</f>
        <v>MIÉRCOLES</v>
      </c>
      <c r="G6" s="177"/>
      <c r="H6" s="177"/>
      <c r="I6" s="177"/>
      <c r="J6" s="177"/>
      <c r="AQ6" s="178" t="s">
        <v>161</v>
      </c>
      <c r="AR6" s="178"/>
      <c r="AS6" s="177" t="str">
        <f ca="1">BA7</f>
        <v>17:15 - 18:15</v>
      </c>
      <c r="AT6" s="177"/>
      <c r="AU6" s="179"/>
      <c r="AZ6" s="47" t="s">
        <v>167</v>
      </c>
      <c r="BA6" s="90">
        <f ca="1">TIME(0,15,0)*(BA4-4)+TIME((BA8-9)/4,0,0)</f>
        <v>0.71875</v>
      </c>
    </row>
    <row r="7" spans="5:53" s="47" customFormat="1" ht="15.75" thickBot="1" x14ac:dyDescent="0.3">
      <c r="E7" s="107" t="s">
        <v>155</v>
      </c>
      <c r="F7" s="180"/>
      <c r="G7" s="180"/>
      <c r="H7" s="180"/>
      <c r="I7" s="180"/>
      <c r="J7" s="180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81" t="s">
        <v>162</v>
      </c>
      <c r="AR7" s="181"/>
      <c r="AS7" s="180"/>
      <c r="AT7" s="180"/>
      <c r="AU7" s="182"/>
      <c r="AZ7" s="47" t="s">
        <v>166</v>
      </c>
      <c r="BA7" s="103" t="str">
        <f ca="1">TEXT(BA6, "[hh]:mm") &amp; " - " &amp; TEXT(BA5, "[hh]:mm")</f>
        <v>17:15 - 18:15</v>
      </c>
    </row>
    <row r="8" spans="5:53" s="47" customFormat="1" ht="15.75" thickBot="1" x14ac:dyDescent="0.3">
      <c r="AV8" s="89"/>
      <c r="AZ8" s="47" t="s">
        <v>170</v>
      </c>
      <c r="BA8" s="47">
        <v>81</v>
      </c>
    </row>
    <row r="9" spans="5:53" s="47" customFormat="1" x14ac:dyDescent="0.25">
      <c r="E9" s="155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7"/>
      <c r="AV9" s="89"/>
      <c r="AZ9" s="47" t="s">
        <v>171</v>
      </c>
      <c r="BA9" s="47">
        <v>104</v>
      </c>
    </row>
    <row r="10" spans="5:53" s="47" customFormat="1" x14ac:dyDescent="0.25"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60"/>
      <c r="AV10" s="89"/>
    </row>
    <row r="11" spans="5:53" s="47" customFormat="1" x14ac:dyDescent="0.25">
      <c r="E11" s="158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60"/>
      <c r="AV11" s="89"/>
    </row>
    <row r="12" spans="5:53" s="47" customFormat="1" x14ac:dyDescent="0.25">
      <c r="E12" s="158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60"/>
      <c r="AV12" s="89"/>
    </row>
    <row r="13" spans="5:53" s="47" customFormat="1" x14ac:dyDescent="0.25">
      <c r="E13" s="158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60"/>
      <c r="AV13" s="89"/>
    </row>
    <row r="14" spans="5:53" s="47" customFormat="1" x14ac:dyDescent="0.25">
      <c r="E14" s="158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60"/>
      <c r="AV14" s="89"/>
    </row>
    <row r="15" spans="5:53" s="47" customFormat="1" x14ac:dyDescent="0.25">
      <c r="E15" s="158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60"/>
      <c r="AV15" s="89"/>
    </row>
    <row r="16" spans="5:53" s="47" customFormat="1" x14ac:dyDescent="0.25">
      <c r="E16" s="158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60"/>
      <c r="AV16" s="89"/>
    </row>
    <row r="17" spans="5:48" s="47" customFormat="1" x14ac:dyDescent="0.25">
      <c r="E17" s="158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60"/>
      <c r="AV17" s="89"/>
    </row>
    <row r="18" spans="5:48" s="47" customFormat="1" x14ac:dyDescent="0.25">
      <c r="E18" s="158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60"/>
      <c r="AV18" s="89"/>
    </row>
    <row r="19" spans="5:48" s="47" customFormat="1" x14ac:dyDescent="0.25">
      <c r="E19" s="158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60"/>
      <c r="AV19" s="89"/>
    </row>
    <row r="20" spans="5:48" s="47" customFormat="1" x14ac:dyDescent="0.25">
      <c r="E20" s="158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60"/>
      <c r="AV20" s="89"/>
    </row>
    <row r="21" spans="5:48" s="47" customFormat="1" x14ac:dyDescent="0.25">
      <c r="E21" s="158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60"/>
      <c r="AV21" s="89"/>
    </row>
    <row r="22" spans="5:48" s="47" customFormat="1" x14ac:dyDescent="0.25">
      <c r="E22" s="158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60"/>
      <c r="AV22" s="89"/>
    </row>
    <row r="23" spans="5:48" s="47" customFormat="1" x14ac:dyDescent="0.25">
      <c r="E23" s="158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60"/>
      <c r="AV23" s="89"/>
    </row>
    <row r="24" spans="5:48" s="47" customFormat="1" x14ac:dyDescent="0.25"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60"/>
      <c r="AV24" s="89"/>
    </row>
    <row r="25" spans="5:48" s="47" customFormat="1" x14ac:dyDescent="0.25"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60"/>
      <c r="AV25" s="89"/>
    </row>
    <row r="26" spans="5:48" s="47" customFormat="1" x14ac:dyDescent="0.25"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60"/>
      <c r="AV26" s="89"/>
    </row>
    <row r="27" spans="5:48" s="47" customFormat="1" x14ac:dyDescent="0.25"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60"/>
      <c r="AV27" s="89"/>
    </row>
    <row r="28" spans="5:48" s="47" customFormat="1" x14ac:dyDescent="0.25"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60"/>
      <c r="AV28" s="89"/>
    </row>
    <row r="29" spans="5:48" s="47" customFormat="1" x14ac:dyDescent="0.25"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60"/>
      <c r="AV29" s="89"/>
    </row>
    <row r="30" spans="5:48" s="47" customFormat="1" x14ac:dyDescent="0.25"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60"/>
      <c r="AV30" s="89"/>
    </row>
    <row r="31" spans="5:48" s="47" customFormat="1" x14ac:dyDescent="0.25"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60"/>
      <c r="AV31" s="89"/>
    </row>
    <row r="32" spans="5:48" s="47" customFormat="1" x14ac:dyDescent="0.25">
      <c r="E32" s="158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60"/>
      <c r="AV32" s="89"/>
    </row>
    <row r="33" spans="5:48" s="47" customFormat="1" x14ac:dyDescent="0.25">
      <c r="E33" s="158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60"/>
      <c r="AV33" s="89"/>
    </row>
    <row r="34" spans="5:48" s="47" customFormat="1" x14ac:dyDescent="0.25">
      <c r="E34" s="158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60"/>
      <c r="AV34" s="89"/>
    </row>
    <row r="35" spans="5:48" s="47" customFormat="1" x14ac:dyDescent="0.25">
      <c r="E35" s="158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60"/>
      <c r="AV35" s="89"/>
    </row>
    <row r="36" spans="5:48" s="47" customFormat="1" x14ac:dyDescent="0.25">
      <c r="E36" s="158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60"/>
      <c r="AV36" s="89"/>
    </row>
    <row r="37" spans="5:48" s="47" customFormat="1" x14ac:dyDescent="0.25">
      <c r="E37" s="158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60"/>
      <c r="AV37" s="89"/>
    </row>
    <row r="38" spans="5:48" s="47" customFormat="1" x14ac:dyDescent="0.25">
      <c r="E38" s="158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60"/>
      <c r="AV38" s="89"/>
    </row>
    <row r="39" spans="5:48" s="47" customFormat="1" x14ac:dyDescent="0.25">
      <c r="E39" s="158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60"/>
      <c r="AV39" s="89"/>
    </row>
    <row r="40" spans="5:48" s="47" customFormat="1" x14ac:dyDescent="0.25">
      <c r="E40" s="158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60"/>
      <c r="AV40" s="89"/>
    </row>
    <row r="41" spans="5:48" s="47" customFormat="1" x14ac:dyDescent="0.25">
      <c r="E41" s="158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60"/>
      <c r="AV41" s="89"/>
    </row>
    <row r="42" spans="5:48" s="47" customFormat="1" x14ac:dyDescent="0.25">
      <c r="E42" s="158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60"/>
      <c r="AV42" s="89"/>
    </row>
    <row r="43" spans="5:48" s="47" customFormat="1" x14ac:dyDescent="0.25">
      <c r="E43" s="158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60"/>
      <c r="AV43" s="89"/>
    </row>
    <row r="44" spans="5:48" s="47" customFormat="1" x14ac:dyDescent="0.25">
      <c r="E44" s="158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60"/>
      <c r="AV44" s="89"/>
    </row>
    <row r="45" spans="5:48" s="47" customFormat="1" x14ac:dyDescent="0.25">
      <c r="E45" s="158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60"/>
      <c r="AV45" s="89"/>
    </row>
    <row r="46" spans="5:48" s="47" customFormat="1" x14ac:dyDescent="0.25">
      <c r="E46" s="158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60"/>
      <c r="AV46" s="89"/>
    </row>
    <row r="47" spans="5:48" s="47" customFormat="1" x14ac:dyDescent="0.25">
      <c r="E47" s="158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60"/>
      <c r="AV47" s="89"/>
    </row>
    <row r="48" spans="5:48" s="47" customFormat="1" x14ac:dyDescent="0.25">
      <c r="E48" s="158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60"/>
      <c r="AV48" s="89"/>
    </row>
    <row r="49" spans="5:48" s="47" customFormat="1" x14ac:dyDescent="0.25">
      <c r="E49" s="158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60"/>
      <c r="AV49" s="89"/>
    </row>
    <row r="50" spans="5:48" s="47" customFormat="1" x14ac:dyDescent="0.25">
      <c r="E50" s="158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60"/>
      <c r="AV50" s="89"/>
    </row>
    <row r="51" spans="5:48" s="47" customFormat="1" x14ac:dyDescent="0.25">
      <c r="E51" s="158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60"/>
      <c r="AV51" s="89"/>
    </row>
    <row r="52" spans="5:48" s="47" customFormat="1" x14ac:dyDescent="0.25">
      <c r="E52" s="158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60"/>
      <c r="AV52" s="89"/>
    </row>
    <row r="53" spans="5:48" s="47" customFormat="1" x14ac:dyDescent="0.25">
      <c r="E53" s="158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60"/>
      <c r="AV53" s="89"/>
    </row>
    <row r="54" spans="5:48" s="47" customFormat="1" x14ac:dyDescent="0.25">
      <c r="E54" s="158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60"/>
      <c r="AV54" s="89"/>
    </row>
    <row r="55" spans="5:48" s="47" customFormat="1" x14ac:dyDescent="0.25">
      <c r="E55" s="158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60"/>
      <c r="AV55" s="89"/>
    </row>
    <row r="56" spans="5:48" s="47" customFormat="1" x14ac:dyDescent="0.25">
      <c r="E56" s="158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60"/>
      <c r="AV56" s="89"/>
    </row>
    <row r="57" spans="5:48" s="47" customFormat="1" x14ac:dyDescent="0.25">
      <c r="E57" s="158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60"/>
      <c r="AV57" s="89"/>
    </row>
    <row r="58" spans="5:48" s="47" customFormat="1" x14ac:dyDescent="0.25">
      <c r="E58" s="158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60"/>
    </row>
    <row r="59" spans="5:48" s="47" customFormat="1" x14ac:dyDescent="0.25">
      <c r="E59" s="158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60"/>
    </row>
    <row r="60" spans="5:48" s="47" customFormat="1" x14ac:dyDescent="0.25">
      <c r="E60" s="158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60"/>
    </row>
    <row r="61" spans="5:48" s="47" customFormat="1" x14ac:dyDescent="0.25">
      <c r="E61" s="158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60"/>
    </row>
    <row r="62" spans="5:48" s="47" customFormat="1" x14ac:dyDescent="0.25">
      <c r="E62" s="158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60"/>
    </row>
    <row r="63" spans="5:48" s="47" customFormat="1" x14ac:dyDescent="0.25">
      <c r="E63" s="158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60"/>
    </row>
    <row r="64" spans="5:48" s="47" customFormat="1" x14ac:dyDescent="0.25">
      <c r="E64" s="158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60"/>
    </row>
    <row r="65" spans="4:47" s="47" customFormat="1" x14ac:dyDescent="0.25">
      <c r="E65" s="158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60"/>
    </row>
    <row r="66" spans="4:47" x14ac:dyDescent="0.25">
      <c r="E66" s="158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60"/>
    </row>
    <row r="67" spans="4:47" x14ac:dyDescent="0.25">
      <c r="E67" s="158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60"/>
    </row>
    <row r="68" spans="4:47" ht="15.75" thickBot="1" x14ac:dyDescent="0.3">
      <c r="E68" s="161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3"/>
    </row>
    <row r="69" spans="4:47" s="47" customFormat="1" ht="15.75" thickBot="1" x14ac:dyDescent="0.3"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</row>
    <row r="70" spans="4:47" s="47" customFormat="1" ht="30" customHeight="1" thickBot="1" x14ac:dyDescent="0.3">
      <c r="E70" s="164" t="s">
        <v>169</v>
      </c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6"/>
    </row>
    <row r="71" spans="4:47" ht="15.75" thickBot="1" x14ac:dyDescent="0.3"/>
    <row r="72" spans="4:47" ht="15.75" hidden="1" thickBot="1" x14ac:dyDescent="0.3">
      <c r="F72" s="17">
        <v>1</v>
      </c>
      <c r="G72" s="17">
        <v>2</v>
      </c>
      <c r="H72" s="17">
        <v>3</v>
      </c>
      <c r="I72" s="17">
        <v>4</v>
      </c>
      <c r="J72" s="17">
        <v>5</v>
      </c>
      <c r="K72" s="17">
        <v>6</v>
      </c>
      <c r="L72" s="17">
        <v>7</v>
      </c>
      <c r="M72" s="17">
        <v>8</v>
      </c>
      <c r="N72" s="17">
        <v>9</v>
      </c>
      <c r="O72" s="17">
        <v>10</v>
      </c>
      <c r="P72" s="17">
        <v>1</v>
      </c>
      <c r="Q72" s="17">
        <v>2</v>
      </c>
      <c r="R72" s="17">
        <v>3</v>
      </c>
      <c r="S72" s="17">
        <v>4</v>
      </c>
      <c r="T72" s="17">
        <v>5</v>
      </c>
      <c r="U72" s="17">
        <v>6</v>
      </c>
      <c r="V72" s="17">
        <v>7</v>
      </c>
      <c r="W72" s="17">
        <v>8</v>
      </c>
      <c r="X72" s="17">
        <v>9</v>
      </c>
      <c r="Y72" s="17">
        <v>10</v>
      </c>
      <c r="Z72" s="17">
        <v>1</v>
      </c>
      <c r="AA72" s="17">
        <v>2</v>
      </c>
      <c r="AB72" s="17">
        <v>3</v>
      </c>
      <c r="AC72" s="17">
        <v>4</v>
      </c>
      <c r="AD72" s="17">
        <v>5</v>
      </c>
      <c r="AE72" s="17">
        <v>6</v>
      </c>
      <c r="AF72" s="17">
        <v>7</v>
      </c>
      <c r="AG72" s="17">
        <v>8</v>
      </c>
      <c r="AH72" s="17">
        <v>9</v>
      </c>
      <c r="AI72" s="17">
        <v>10</v>
      </c>
      <c r="AJ72" s="17">
        <v>1</v>
      </c>
      <c r="AK72" s="17">
        <v>2</v>
      </c>
      <c r="AL72" s="17">
        <v>3</v>
      </c>
      <c r="AM72" s="17">
        <v>4</v>
      </c>
      <c r="AN72" s="17">
        <v>5</v>
      </c>
      <c r="AO72" s="17">
        <v>6</v>
      </c>
      <c r="AP72" s="17">
        <v>7</v>
      </c>
      <c r="AQ72" s="17">
        <v>8</v>
      </c>
      <c r="AR72" s="17">
        <v>9</v>
      </c>
      <c r="AS72" s="17">
        <v>10</v>
      </c>
      <c r="AT72" s="88"/>
      <c r="AU72" s="88"/>
    </row>
    <row r="73" spans="4:47" ht="21.75" customHeight="1" x14ac:dyDescent="0.25">
      <c r="E73" s="167" t="s">
        <v>152</v>
      </c>
      <c r="F73" s="169">
        <f>Inicio!$H$12</f>
        <v>0</v>
      </c>
      <c r="G73" s="169"/>
      <c r="H73" s="169"/>
      <c r="I73" s="169"/>
      <c r="J73" s="169"/>
      <c r="K73" s="169"/>
      <c r="L73" s="169"/>
      <c r="M73" s="169"/>
      <c r="N73" s="169"/>
      <c r="O73" s="169"/>
      <c r="P73" s="169">
        <f>Inicio!$H$12</f>
        <v>0</v>
      </c>
      <c r="Q73" s="169"/>
      <c r="R73" s="169"/>
      <c r="S73" s="169"/>
      <c r="T73" s="169"/>
      <c r="U73" s="169"/>
      <c r="V73" s="169"/>
      <c r="W73" s="169"/>
      <c r="X73" s="169"/>
      <c r="Y73" s="169"/>
      <c r="Z73" s="169">
        <f>Inicio!$H$12</f>
        <v>0</v>
      </c>
      <c r="AA73" s="169"/>
      <c r="AB73" s="169"/>
      <c r="AC73" s="169"/>
      <c r="AD73" s="169"/>
      <c r="AE73" s="169"/>
      <c r="AF73" s="169"/>
      <c r="AG73" s="169"/>
      <c r="AH73" s="169"/>
      <c r="AI73" s="169"/>
      <c r="AJ73" s="169">
        <f>Inicio!$H$12</f>
        <v>0</v>
      </c>
      <c r="AK73" s="169"/>
      <c r="AL73" s="169"/>
      <c r="AM73" s="169"/>
      <c r="AN73" s="169"/>
      <c r="AO73" s="169"/>
      <c r="AP73" s="169"/>
      <c r="AQ73" s="169"/>
      <c r="AR73" s="169"/>
      <c r="AS73" s="170"/>
      <c r="AT73" s="171" t="s">
        <v>153</v>
      </c>
      <c r="AU73" s="174" t="s">
        <v>168</v>
      </c>
    </row>
    <row r="74" spans="4:47" ht="15" customHeight="1" x14ac:dyDescent="0.25">
      <c r="E74" s="168"/>
      <c r="F74" s="153" t="s">
        <v>18</v>
      </c>
      <c r="G74" s="153"/>
      <c r="H74" s="153"/>
      <c r="I74" s="153"/>
      <c r="J74" s="153"/>
      <c r="K74" s="153"/>
      <c r="L74" s="153"/>
      <c r="M74" s="153"/>
      <c r="N74" s="153"/>
      <c r="O74" s="153"/>
      <c r="P74" s="152" t="s">
        <v>19</v>
      </c>
      <c r="Q74" s="152"/>
      <c r="R74" s="152"/>
      <c r="S74" s="152"/>
      <c r="T74" s="152"/>
      <c r="U74" s="152"/>
      <c r="V74" s="152"/>
      <c r="W74" s="152"/>
      <c r="X74" s="152"/>
      <c r="Y74" s="152"/>
      <c r="Z74" s="153" t="s">
        <v>20</v>
      </c>
      <c r="AA74" s="153"/>
      <c r="AB74" s="153"/>
      <c r="AC74" s="153"/>
      <c r="AD74" s="153"/>
      <c r="AE74" s="153"/>
      <c r="AF74" s="153"/>
      <c r="AG74" s="153"/>
      <c r="AH74" s="153"/>
      <c r="AI74" s="153"/>
      <c r="AJ74" s="152" t="s">
        <v>21</v>
      </c>
      <c r="AK74" s="152"/>
      <c r="AL74" s="152"/>
      <c r="AM74" s="152"/>
      <c r="AN74" s="152"/>
      <c r="AO74" s="152"/>
      <c r="AP74" s="152"/>
      <c r="AQ74" s="152"/>
      <c r="AR74" s="152"/>
      <c r="AS74" s="154"/>
      <c r="AT74" s="172"/>
      <c r="AU74" s="175"/>
    </row>
    <row r="75" spans="4:47" x14ac:dyDescent="0.25">
      <c r="D75">
        <v>0</v>
      </c>
      <c r="E75" s="168"/>
      <c r="F75" s="127">
        <f>Inicio!$G$12</f>
        <v>0</v>
      </c>
      <c r="G75" s="127">
        <f>Inicio!$G$13</f>
        <v>0</v>
      </c>
      <c r="H75" s="127">
        <f>Inicio!$G$14</f>
        <v>0</v>
      </c>
      <c r="I75" s="127">
        <f>Inicio!$G$15</f>
        <v>0</v>
      </c>
      <c r="J75" s="127">
        <f>Inicio!$G$16</f>
        <v>0</v>
      </c>
      <c r="K75" s="127">
        <f>Inicio!$G$17</f>
        <v>0</v>
      </c>
      <c r="L75" s="127">
        <f>Inicio!$G$18</f>
        <v>0</v>
      </c>
      <c r="M75" s="127">
        <f>Inicio!$G$19</f>
        <v>0</v>
      </c>
      <c r="N75" s="127">
        <f>Inicio!$G$20</f>
        <v>0</v>
      </c>
      <c r="O75" s="127">
        <f>Inicio!$G$21</f>
        <v>0</v>
      </c>
      <c r="P75" s="91">
        <f>Inicio!$M$12</f>
        <v>0</v>
      </c>
      <c r="Q75" s="91">
        <f>Inicio!$M$13</f>
        <v>0</v>
      </c>
      <c r="R75" s="91">
        <f>Inicio!$M$14</f>
        <v>0</v>
      </c>
      <c r="S75" s="91">
        <f>Inicio!$M$15</f>
        <v>0</v>
      </c>
      <c r="T75" s="91">
        <f>Inicio!$M$16</f>
        <v>0</v>
      </c>
      <c r="U75" s="91">
        <f>Inicio!$M$17</f>
        <v>0</v>
      </c>
      <c r="V75" s="91">
        <f>Inicio!$M$18</f>
        <v>0</v>
      </c>
      <c r="W75" s="91">
        <f>Inicio!$M$19</f>
        <v>0</v>
      </c>
      <c r="X75" s="91">
        <f>Inicio!$M$20</f>
        <v>0</v>
      </c>
      <c r="Y75" s="91">
        <f>Inicio!$M$21</f>
        <v>0</v>
      </c>
      <c r="Z75" s="127">
        <f>Inicio!$G$24</f>
        <v>0</v>
      </c>
      <c r="AA75" s="127">
        <f>Inicio!$G$25</f>
        <v>0</v>
      </c>
      <c r="AB75" s="127">
        <f>Inicio!$G$26</f>
        <v>0</v>
      </c>
      <c r="AC75" s="127">
        <f>Inicio!$G$27</f>
        <v>0</v>
      </c>
      <c r="AD75" s="127">
        <f>Inicio!$G$28</f>
        <v>0</v>
      </c>
      <c r="AE75" s="127">
        <f>Inicio!$G$29</f>
        <v>0</v>
      </c>
      <c r="AF75" s="127">
        <f>Inicio!$G$30</f>
        <v>0</v>
      </c>
      <c r="AG75" s="127">
        <f>Inicio!$G$31</f>
        <v>0</v>
      </c>
      <c r="AH75" s="127">
        <f>Inicio!$G$32</f>
        <v>0</v>
      </c>
      <c r="AI75" s="127">
        <f>Inicio!$G$33</f>
        <v>0</v>
      </c>
      <c r="AJ75" s="91">
        <f>Inicio!$M$24</f>
        <v>0</v>
      </c>
      <c r="AK75" s="91">
        <f>Inicio!$M$25</f>
        <v>0</v>
      </c>
      <c r="AL75" s="91">
        <f>Inicio!$M$26</f>
        <v>0</v>
      </c>
      <c r="AM75" s="91">
        <f>Inicio!$M$27</f>
        <v>0</v>
      </c>
      <c r="AN75" s="91">
        <f>Inicio!$M$28</f>
        <v>0</v>
      </c>
      <c r="AO75" s="91">
        <f>Inicio!$M$29</f>
        <v>0</v>
      </c>
      <c r="AP75" s="91">
        <f>Inicio!$M$30</f>
        <v>0</v>
      </c>
      <c r="AQ75" s="91">
        <f>Inicio!$M$31</f>
        <v>0</v>
      </c>
      <c r="AR75" s="91">
        <f>Inicio!$M$32</f>
        <v>0</v>
      </c>
      <c r="AS75" s="109">
        <f>Inicio!$M$33</f>
        <v>0</v>
      </c>
      <c r="AT75" s="173"/>
      <c r="AU75" s="176"/>
    </row>
    <row r="76" spans="4:47" x14ac:dyDescent="0.25">
      <c r="D76">
        <v>1</v>
      </c>
      <c r="E76" s="110" t="str">
        <f>Inicio!V4</f>
        <v>Auto</v>
      </c>
      <c r="F76" s="99" t="e" cm="1" vm="1">
        <f t="array" aca="1" ref="F76" ca="1">_xlfn.LET(
_xlpm.rango, INDIRECT("N!$C$" &amp; $BA$8 &amp; ":$DR$" &amp; $BA$9),
_xlpm.col, F$72+$D75*10,
INDEX(_xlpm.rango,$BA$4-3,_xlpm.col) +
INDEX(_xlpm.rango,$BA$4-2,_xlpm.col) +
INDEX(_xlpm.rango,$BA$4-1,_xlpm.col) +
INDEX(_xlpm.rango,$BA$4, _xlpm.col)
)</f>
        <v>#VALUE!</v>
      </c>
      <c r="G76" s="93" t="e" cm="1" vm="1">
        <f t="array" aca="1" ref="G76" ca="1">_xlfn.LET(
_xlpm.rango, INDIRECT("N!$C$" &amp; $BA$8 &amp; ":$DR$" &amp; $BA$9),
_xlpm.col, G$72+$D75*10,
INDEX(_xlpm.rango,$BA$4-3,_xlpm.col) +
INDEX(_xlpm.rango,$BA$4-2,_xlpm.col) +
INDEX(_xlpm.rango,$BA$4-1,_xlpm.col) +
INDEX(_xlpm.rango,$BA$4, _xlpm.col)
)</f>
        <v>#VALUE!</v>
      </c>
      <c r="H76" s="93" t="e" cm="1" vm="1">
        <f t="array" aca="1" ref="H76" ca="1">_xlfn.LET(
_xlpm.rango, INDIRECT("N!$C$" &amp; $BA$8 &amp; ":$DR$" &amp; $BA$9),
_xlpm.col, H$72+$D75*10,
INDEX(_xlpm.rango,$BA$4-3,_xlpm.col) +
INDEX(_xlpm.rango,$BA$4-2,_xlpm.col) +
INDEX(_xlpm.rango,$BA$4-1,_xlpm.col) +
INDEX(_xlpm.rango,$BA$4, _xlpm.col)
)</f>
        <v>#VALUE!</v>
      </c>
      <c r="I76" s="93" t="e" cm="1" vm="1">
        <f t="array" aca="1" ref="I76" ca="1">_xlfn.LET(
_xlpm.rango, INDIRECT("N!$C$" &amp; $BA$8 &amp; ":$DR$" &amp; $BA$9),
_xlpm.col, I$72+$D75*10,
INDEX(_xlpm.rango,$BA$4-3,_xlpm.col) +
INDEX(_xlpm.rango,$BA$4-2,_xlpm.col) +
INDEX(_xlpm.rango,$BA$4-1,_xlpm.col) +
INDEX(_xlpm.rango,$BA$4, _xlpm.col)
)</f>
        <v>#VALUE!</v>
      </c>
      <c r="J76" s="93" t="e" cm="1" vm="1">
        <f t="array" aca="1" ref="J76" ca="1">_xlfn.LET(
_xlpm.rango, INDIRECT("N!$C$" &amp; $BA$8 &amp; ":$DR$" &amp; $BA$9),
_xlpm.col, J$72+$D75*10,
INDEX(_xlpm.rango,$BA$4-3,_xlpm.col) +
INDEX(_xlpm.rango,$BA$4-2,_xlpm.col) +
INDEX(_xlpm.rango,$BA$4-1,_xlpm.col) +
INDEX(_xlpm.rango,$BA$4, _xlpm.col)
)</f>
        <v>#VALUE!</v>
      </c>
      <c r="K76" s="93" t="e" cm="1" vm="1">
        <f t="array" aca="1" ref="K76" ca="1">_xlfn.LET(
_xlpm.rango, INDIRECT("N!$C$" &amp; $BA$8 &amp; ":$DR$" &amp; $BA$9),
_xlpm.col, K$72+$D75*10,
INDEX(_xlpm.rango,$BA$4-3,_xlpm.col) +
INDEX(_xlpm.rango,$BA$4-2,_xlpm.col) +
INDEX(_xlpm.rango,$BA$4-1,_xlpm.col) +
INDEX(_xlpm.rango,$BA$4, _xlpm.col)
)</f>
        <v>#VALUE!</v>
      </c>
      <c r="L76" s="93" t="e" cm="1" vm="1">
        <f t="array" aca="1" ref="L76" ca="1">_xlfn.LET(
_xlpm.rango, INDIRECT("N!$C$" &amp; $BA$8 &amp; ":$DR$" &amp; $BA$9),
_xlpm.col, L$72+$D75*10,
INDEX(_xlpm.rango,$BA$4-3,_xlpm.col) +
INDEX(_xlpm.rango,$BA$4-2,_xlpm.col) +
INDEX(_xlpm.rango,$BA$4-1,_xlpm.col) +
INDEX(_xlpm.rango,$BA$4, _xlpm.col)
)</f>
        <v>#VALUE!</v>
      </c>
      <c r="M76" s="93" t="e" cm="1" vm="1">
        <f t="array" aca="1" ref="M76" ca="1">_xlfn.LET(
_xlpm.rango, INDIRECT("N!$C$" &amp; $BA$8 &amp; ":$DR$" &amp; $BA$9),
_xlpm.col, M$72+$D75*10,
INDEX(_xlpm.rango,$BA$4-3,_xlpm.col) +
INDEX(_xlpm.rango,$BA$4-2,_xlpm.col) +
INDEX(_xlpm.rango,$BA$4-1,_xlpm.col) +
INDEX(_xlpm.rango,$BA$4, _xlpm.col)
)</f>
        <v>#VALUE!</v>
      </c>
      <c r="N76" s="93" t="e" cm="1" vm="1">
        <f t="array" aca="1" ref="N76" ca="1">_xlfn.LET(
_xlpm.rango, INDIRECT("N!$C$" &amp; $BA$8 &amp; ":$DR$" &amp; $BA$9),
_xlpm.col, N$72+$D75*10,
INDEX(_xlpm.rango,$BA$4-3,_xlpm.col) +
INDEX(_xlpm.rango,$BA$4-2,_xlpm.col) +
INDEX(_xlpm.rango,$BA$4-1,_xlpm.col) +
INDEX(_xlpm.rango,$BA$4, _xlpm.col)
)</f>
        <v>#VALUE!</v>
      </c>
      <c r="O76" s="94" t="e" cm="1" vm="1">
        <f t="array" aca="1" ref="O76" ca="1">_xlfn.LET(
_xlpm.rango, INDIRECT("N!$C$" &amp; $BA$8 &amp; ":$DR$" &amp; $BA$9),
_xlpm.col, O$72+$D75*10,
INDEX(_xlpm.rango,$BA$4-3,_xlpm.col) +
INDEX(_xlpm.rango,$BA$4-2,_xlpm.col) +
INDEX(_xlpm.rango,$BA$4-1,_xlpm.col) +
INDEX(_xlpm.rango,$BA$4, _xlpm.col)
)</f>
        <v>#VALUE!</v>
      </c>
      <c r="P76" s="93" t="e" cm="1" vm="1">
        <f t="array" aca="1" ref="P76" ca="1">_xlfn.LET(
_xlpm.rango, INDIRECT("S!$C$" &amp; $BA$8 &amp; ":$DR$" &amp; $BA$9),
_xlpm.col, P$72+$D75*10,
INDEX(_xlpm.rango,$BA$4-3,_xlpm.col) +
INDEX(_xlpm.rango,$BA$4-2,_xlpm.col) +
INDEX(_xlpm.rango,$BA$4-1,_xlpm.col) +
INDEX(_xlpm.rango,$BA$4, _xlpm.col)
)</f>
        <v>#VALUE!</v>
      </c>
      <c r="Q76" s="93" t="e" cm="1" vm="1">
        <f t="array" aca="1" ref="Q76" ca="1">_xlfn.LET(
_xlpm.rango, INDIRECT("S!$C$" &amp; $BA$8 &amp; ":$DR$" &amp; $BA$9),
_xlpm.col, Q$72+$D75*10,
INDEX(_xlpm.rango,$BA$4-3,_xlpm.col) +
INDEX(_xlpm.rango,$BA$4-2,_xlpm.col) +
INDEX(_xlpm.rango,$BA$4-1,_xlpm.col) +
INDEX(_xlpm.rango,$BA$4, _xlpm.col)
)</f>
        <v>#VALUE!</v>
      </c>
      <c r="R76" s="93" t="e" cm="1" vm="1">
        <f t="array" aca="1" ref="R76" ca="1">_xlfn.LET(
_xlpm.rango, INDIRECT("S!$C$" &amp; $BA$8 &amp; ":$DR$" &amp; $BA$9),
_xlpm.col, R$72+$D75*10,
INDEX(_xlpm.rango,$BA$4-3,_xlpm.col) +
INDEX(_xlpm.rango,$BA$4-2,_xlpm.col) +
INDEX(_xlpm.rango,$BA$4-1,_xlpm.col) +
INDEX(_xlpm.rango,$BA$4, _xlpm.col)
)</f>
        <v>#VALUE!</v>
      </c>
      <c r="S76" s="93" t="e" cm="1" vm="1">
        <f t="array" aca="1" ref="S76" ca="1">_xlfn.LET(
_xlpm.rango, INDIRECT("S!$C$" &amp; $BA$8 &amp; ":$DR$" &amp; $BA$9),
_xlpm.col, S$72+$D75*10,
INDEX(_xlpm.rango,$BA$4-3,_xlpm.col) +
INDEX(_xlpm.rango,$BA$4-2,_xlpm.col) +
INDEX(_xlpm.rango,$BA$4-1,_xlpm.col) +
INDEX(_xlpm.rango,$BA$4, _xlpm.col)
)</f>
        <v>#VALUE!</v>
      </c>
      <c r="T76" s="93" t="e" cm="1" vm="1">
        <f t="array" aca="1" ref="T76" ca="1">_xlfn.LET(
_xlpm.rango, INDIRECT("S!$C$" &amp; $BA$8 &amp; ":$DR$" &amp; $BA$9),
_xlpm.col, T$72+$D75*10,
INDEX(_xlpm.rango,$BA$4-3,_xlpm.col) +
INDEX(_xlpm.rango,$BA$4-2,_xlpm.col) +
INDEX(_xlpm.rango,$BA$4-1,_xlpm.col) +
INDEX(_xlpm.rango,$BA$4, _xlpm.col)
)</f>
        <v>#VALUE!</v>
      </c>
      <c r="U76" s="93" t="e" cm="1" vm="1">
        <f t="array" aca="1" ref="U76" ca="1">_xlfn.LET(
_xlpm.rango, INDIRECT("S!$C$" &amp; $BA$8 &amp; ":$DR$" &amp; $BA$9),
_xlpm.col, U$72+$D75*10,
INDEX(_xlpm.rango,$BA$4-3,_xlpm.col) +
INDEX(_xlpm.rango,$BA$4-2,_xlpm.col) +
INDEX(_xlpm.rango,$BA$4-1,_xlpm.col) +
INDEX(_xlpm.rango,$BA$4, _xlpm.col)
)</f>
        <v>#VALUE!</v>
      </c>
      <c r="V76" s="93" t="e" cm="1" vm="1">
        <f t="array" aca="1" ref="V76" ca="1">_xlfn.LET(
_xlpm.rango, INDIRECT("S!$C$" &amp; $BA$8 &amp; ":$DR$" &amp; $BA$9),
_xlpm.col, V$72+$D75*10,
INDEX(_xlpm.rango,$BA$4-3,_xlpm.col) +
INDEX(_xlpm.rango,$BA$4-2,_xlpm.col) +
INDEX(_xlpm.rango,$BA$4-1,_xlpm.col) +
INDEX(_xlpm.rango,$BA$4, _xlpm.col)
)</f>
        <v>#VALUE!</v>
      </c>
      <c r="W76" s="93" t="e" cm="1" vm="1">
        <f t="array" aca="1" ref="W76" ca="1">_xlfn.LET(
_xlpm.rango, INDIRECT("S!$C$" &amp; $BA$8 &amp; ":$DR$" &amp; $BA$9),
_xlpm.col, W$72+$D75*10,
INDEX(_xlpm.rango,$BA$4-3,_xlpm.col) +
INDEX(_xlpm.rango,$BA$4-2,_xlpm.col) +
INDEX(_xlpm.rango,$BA$4-1,_xlpm.col) +
INDEX(_xlpm.rango,$BA$4, _xlpm.col)
)</f>
        <v>#VALUE!</v>
      </c>
      <c r="X76" s="93" t="e" cm="1" vm="1">
        <f t="array" aca="1" ref="X76" ca="1">_xlfn.LET(
_xlpm.rango, INDIRECT("S!$C$" &amp; $BA$8 &amp; ":$DR$" &amp; $BA$9),
_xlpm.col, X$72+$D75*10,
INDEX(_xlpm.rango,$BA$4-3,_xlpm.col) +
INDEX(_xlpm.rango,$BA$4-2,_xlpm.col) +
INDEX(_xlpm.rango,$BA$4-1,_xlpm.col) +
INDEX(_xlpm.rango,$BA$4, _xlpm.col)
)</f>
        <v>#VALUE!</v>
      </c>
      <c r="Y76" s="93" t="e" cm="1" vm="1">
        <f t="array" aca="1" ref="Y76" ca="1">_xlfn.LET(
_xlpm.rango, INDIRECT("S!$C$" &amp; $BA$8 &amp; ":$DR$" &amp; $BA$9),
_xlpm.col, Y$72+$D75*10,
INDEX(_xlpm.rango,$BA$4-3,_xlpm.col) +
INDEX(_xlpm.rango,$BA$4-2,_xlpm.col) +
INDEX(_xlpm.rango,$BA$4-1,_xlpm.col) +
INDEX(_xlpm.rango,$BA$4, _xlpm.col)
)</f>
        <v>#VALUE!</v>
      </c>
      <c r="Z76" s="99" t="e" cm="1" vm="1">
        <f t="array" aca="1" ref="Z76" ca="1">_xlfn.LET(
_xlpm.rango, INDIRECT("E!$C$" &amp; $BA$8 &amp; ":$DR$" &amp; $BA$9),
_xlpm.col, Z$72+$D75*10,
INDEX(_xlpm.rango,$BA$4-3,_xlpm.col) +
INDEX(_xlpm.rango,$BA$4-2,_xlpm.col) +
INDEX(_xlpm.rango,$BA$4-1,_xlpm.col) +
INDEX(_xlpm.rango,$BA$4, _xlpm.col)
)</f>
        <v>#VALUE!</v>
      </c>
      <c r="AA76" s="93" t="e" cm="1" vm="1">
        <f t="array" aca="1" ref="AA76" ca="1">_xlfn.LET(
_xlpm.rango, INDIRECT("E!$C$" &amp; $BA$8 &amp; ":$DR$" &amp; $BA$9),
_xlpm.col, AA$72+$D75*10,
INDEX(_xlpm.rango,$BA$4-3,_xlpm.col) +
INDEX(_xlpm.rango,$BA$4-2,_xlpm.col) +
INDEX(_xlpm.rango,$BA$4-1,_xlpm.col) +
INDEX(_xlpm.rango,$BA$4, _xlpm.col)
)</f>
        <v>#VALUE!</v>
      </c>
      <c r="AB76" s="93" t="e" cm="1" vm="1">
        <f t="array" aca="1" ref="AB76" ca="1">_xlfn.LET(
_xlpm.rango, INDIRECT("E!$C$" &amp; $BA$8 &amp; ":$DR$" &amp; $BA$9),
_xlpm.col, AB$72+$D75*10,
INDEX(_xlpm.rango,$BA$4-3,_xlpm.col) +
INDEX(_xlpm.rango,$BA$4-2,_xlpm.col) +
INDEX(_xlpm.rango,$BA$4-1,_xlpm.col) +
INDEX(_xlpm.rango,$BA$4, _xlpm.col)
)</f>
        <v>#VALUE!</v>
      </c>
      <c r="AC76" s="93" t="e" cm="1" vm="1">
        <f t="array" aca="1" ref="AC76" ca="1">_xlfn.LET(
_xlpm.rango, INDIRECT("E!$C$" &amp; $BA$8 &amp; ":$DR$" &amp; $BA$9),
_xlpm.col, AC$72+$D75*10,
INDEX(_xlpm.rango,$BA$4-3,_xlpm.col) +
INDEX(_xlpm.rango,$BA$4-2,_xlpm.col) +
INDEX(_xlpm.rango,$BA$4-1,_xlpm.col) +
INDEX(_xlpm.rango,$BA$4, _xlpm.col)
)</f>
        <v>#VALUE!</v>
      </c>
      <c r="AD76" s="93" t="e" cm="1" vm="1">
        <f t="array" aca="1" ref="AD76" ca="1">_xlfn.LET(
_xlpm.rango, INDIRECT("E!$C$" &amp; $BA$8 &amp; ":$DR$" &amp; $BA$9),
_xlpm.col, AD$72+$D75*10,
INDEX(_xlpm.rango,$BA$4-3,_xlpm.col) +
INDEX(_xlpm.rango,$BA$4-2,_xlpm.col) +
INDEX(_xlpm.rango,$BA$4-1,_xlpm.col) +
INDEX(_xlpm.rango,$BA$4, _xlpm.col)
)</f>
        <v>#VALUE!</v>
      </c>
      <c r="AE76" s="93" t="e" cm="1" vm="1">
        <f t="array" aca="1" ref="AE76" ca="1">_xlfn.LET(
_xlpm.rango, INDIRECT("E!$C$" &amp; $BA$8 &amp; ":$DR$" &amp; $BA$9),
_xlpm.col, AE$72+$D75*10,
INDEX(_xlpm.rango,$BA$4-3,_xlpm.col) +
INDEX(_xlpm.rango,$BA$4-2,_xlpm.col) +
INDEX(_xlpm.rango,$BA$4-1,_xlpm.col) +
INDEX(_xlpm.rango,$BA$4, _xlpm.col)
)</f>
        <v>#VALUE!</v>
      </c>
      <c r="AF76" s="93" t="e" cm="1" vm="1">
        <f t="array" aca="1" ref="AF76" ca="1">_xlfn.LET(
_xlpm.rango, INDIRECT("E!$C$" &amp; $BA$8 &amp; ":$DR$" &amp; $BA$9),
_xlpm.col, AF$72+$D75*10,
INDEX(_xlpm.rango,$BA$4-3,_xlpm.col) +
INDEX(_xlpm.rango,$BA$4-2,_xlpm.col) +
INDEX(_xlpm.rango,$BA$4-1,_xlpm.col) +
INDEX(_xlpm.rango,$BA$4, _xlpm.col)
)</f>
        <v>#VALUE!</v>
      </c>
      <c r="AG76" s="93" t="e" cm="1" vm="1">
        <f t="array" aca="1" ref="AG76" ca="1">_xlfn.LET(
_xlpm.rango, INDIRECT("E!$C$" &amp; $BA$8 &amp; ":$DR$" &amp; $BA$9),
_xlpm.col, AG$72+$D75*10,
INDEX(_xlpm.rango,$BA$4-3,_xlpm.col) +
INDEX(_xlpm.rango,$BA$4-2,_xlpm.col) +
INDEX(_xlpm.rango,$BA$4-1,_xlpm.col) +
INDEX(_xlpm.rango,$BA$4, _xlpm.col)
)</f>
        <v>#VALUE!</v>
      </c>
      <c r="AH76" s="93" t="e" cm="1" vm="1">
        <f t="array" aca="1" ref="AH76" ca="1">_xlfn.LET(
_xlpm.rango, INDIRECT("E!$C$" &amp; $BA$8 &amp; ":$DR$" &amp; $BA$9),
_xlpm.col, AH$72+$D75*10,
INDEX(_xlpm.rango,$BA$4-3,_xlpm.col) +
INDEX(_xlpm.rango,$BA$4-2,_xlpm.col) +
INDEX(_xlpm.rango,$BA$4-1,_xlpm.col) +
INDEX(_xlpm.rango,$BA$4, _xlpm.col)
)</f>
        <v>#VALUE!</v>
      </c>
      <c r="AI76" s="94" t="e" cm="1" vm="1">
        <f t="array" aca="1" ref="AI76" ca="1">_xlfn.LET(
_xlpm.rango, INDIRECT("E!$C$" &amp; $BA$8 &amp; ":$DR$" &amp; $BA$9),
_xlpm.col, AI$72+$D75*10,
INDEX(_xlpm.rango,$BA$4-3,_xlpm.col) +
INDEX(_xlpm.rango,$BA$4-2,_xlpm.col) +
INDEX(_xlpm.rango,$BA$4-1,_xlpm.col) +
INDEX(_xlpm.rango,$BA$4, _xlpm.col)
)</f>
        <v>#VALUE!</v>
      </c>
      <c r="AJ76" s="99" t="e" cm="1" vm="1">
        <f t="array" aca="1" ref="AJ76" ca="1">_xlfn.LET(
_xlpm.rango, INDIRECT("E!$C$" &amp; $BA$8 &amp; ":$DR$" &amp; $BA$9),
_xlpm.col, AJ$72+$D75*10,
INDEX(_xlpm.rango,$BA$4-3,_xlpm.col) +
INDEX(_xlpm.rango,$BA$4-2,_xlpm.col) +
INDEX(_xlpm.rango,$BA$4-1,_xlpm.col) +
INDEX(_xlpm.rango,$BA$4, _xlpm.col)
)</f>
        <v>#VALUE!</v>
      </c>
      <c r="AK76" s="93" t="e" cm="1" vm="1">
        <f t="array" aca="1" ref="AK76" ca="1">_xlfn.LET(
_xlpm.rango, INDIRECT("E!$C$" &amp; $BA$8 &amp; ":$DR$" &amp; $BA$9),
_xlpm.col, AK$72+$D75*10,
INDEX(_xlpm.rango,$BA$4-3,_xlpm.col) +
INDEX(_xlpm.rango,$BA$4-2,_xlpm.col) +
INDEX(_xlpm.rango,$BA$4-1,_xlpm.col) +
INDEX(_xlpm.rango,$BA$4, _xlpm.col)
)</f>
        <v>#VALUE!</v>
      </c>
      <c r="AL76" s="93" t="e" cm="1" vm="1">
        <f t="array" aca="1" ref="AL76" ca="1">_xlfn.LET(
_xlpm.rango, INDIRECT("E!$C$" &amp; $BA$8 &amp; ":$DR$" &amp; $BA$9),
_xlpm.col, AL$72+$D75*10,
INDEX(_xlpm.rango,$BA$4-3,_xlpm.col) +
INDEX(_xlpm.rango,$BA$4-2,_xlpm.col) +
INDEX(_xlpm.rango,$BA$4-1,_xlpm.col) +
INDEX(_xlpm.rango,$BA$4, _xlpm.col)
)</f>
        <v>#VALUE!</v>
      </c>
      <c r="AM76" s="93" t="e" cm="1" vm="1">
        <f t="array" aca="1" ref="AM76" ca="1">_xlfn.LET(
_xlpm.rango, INDIRECT("E!$C$" &amp; $BA$8 &amp; ":$DR$" &amp; $BA$9),
_xlpm.col, AM$72+$D75*10,
INDEX(_xlpm.rango,$BA$4-3,_xlpm.col) +
INDEX(_xlpm.rango,$BA$4-2,_xlpm.col) +
INDEX(_xlpm.rango,$BA$4-1,_xlpm.col) +
INDEX(_xlpm.rango,$BA$4, _xlpm.col)
)</f>
        <v>#VALUE!</v>
      </c>
      <c r="AN76" s="93" t="e" cm="1" vm="1">
        <f t="array" aca="1" ref="AN76" ca="1">_xlfn.LET(
_xlpm.rango, INDIRECT("E!$C$" &amp; $BA$8 &amp; ":$DR$" &amp; $BA$9),
_xlpm.col, AN$72+$D75*10,
INDEX(_xlpm.rango,$BA$4-3,_xlpm.col) +
INDEX(_xlpm.rango,$BA$4-2,_xlpm.col) +
INDEX(_xlpm.rango,$BA$4-1,_xlpm.col) +
INDEX(_xlpm.rango,$BA$4, _xlpm.col)
)</f>
        <v>#VALUE!</v>
      </c>
      <c r="AO76" s="93" t="e" cm="1" vm="1">
        <f t="array" aca="1" ref="AO76" ca="1">_xlfn.LET(
_xlpm.rango, INDIRECT("E!$C$" &amp; $BA$8 &amp; ":$DR$" &amp; $BA$9),
_xlpm.col, AO$72+$D75*10,
INDEX(_xlpm.rango,$BA$4-3,_xlpm.col) +
INDEX(_xlpm.rango,$BA$4-2,_xlpm.col) +
INDEX(_xlpm.rango,$BA$4-1,_xlpm.col) +
INDEX(_xlpm.rango,$BA$4, _xlpm.col)
)</f>
        <v>#VALUE!</v>
      </c>
      <c r="AP76" s="93" t="e" cm="1" vm="1">
        <f t="array" aca="1" ref="AP76" ca="1">_xlfn.LET(
_xlpm.rango, INDIRECT("E!$C$" &amp; $BA$8 &amp; ":$DR$" &amp; $BA$9),
_xlpm.col, AP$72+$D75*10,
INDEX(_xlpm.rango,$BA$4-3,_xlpm.col) +
INDEX(_xlpm.rango,$BA$4-2,_xlpm.col) +
INDEX(_xlpm.rango,$BA$4-1,_xlpm.col) +
INDEX(_xlpm.rango,$BA$4, _xlpm.col)
)</f>
        <v>#VALUE!</v>
      </c>
      <c r="AQ76" s="93" t="e" cm="1" vm="1">
        <f t="array" aca="1" ref="AQ76" ca="1">_xlfn.LET(
_xlpm.rango, INDIRECT("E!$C$" &amp; $BA$8 &amp; ":$DR$" &amp; $BA$9),
_xlpm.col, AQ$72+$D75*10,
INDEX(_xlpm.rango,$BA$4-3,_xlpm.col) +
INDEX(_xlpm.rango,$BA$4-2,_xlpm.col) +
INDEX(_xlpm.rango,$BA$4-1,_xlpm.col) +
INDEX(_xlpm.rango,$BA$4, _xlpm.col)
)</f>
        <v>#VALUE!</v>
      </c>
      <c r="AR76" s="93" t="e" cm="1" vm="1">
        <f t="array" aca="1" ref="AR76" ca="1">_xlfn.LET(
_xlpm.rango, INDIRECT("E!$C$" &amp; $BA$8 &amp; ":$DR$" &amp; $BA$9),
_xlpm.col, AR$72+$D75*10,
INDEX(_xlpm.rango,$BA$4-3,_xlpm.col) +
INDEX(_xlpm.rango,$BA$4-2,_xlpm.col) +
INDEX(_xlpm.rango,$BA$4-1,_xlpm.col) +
INDEX(_xlpm.rango,$BA$4, _xlpm.col)
)</f>
        <v>#VALUE!</v>
      </c>
      <c r="AS76" s="111" t="e" cm="1" vm="1">
        <f t="array" aca="1" ref="AS76" ca="1">_xlfn.LET(
_xlpm.rango, INDIRECT("E!$C$" &amp; $BA$8 &amp; ":$DR$" &amp; $BA$9),
_xlpm.col, AS$72+$D75*10,
INDEX(_xlpm.rango,$BA$4-3,_xlpm.col) +
INDEX(_xlpm.rango,$BA$4-2,_xlpm.col) +
INDEX(_xlpm.rango,$BA$4-1,_xlpm.col) +
INDEX(_xlpm.rango,$BA$4, _xlpm.col)
)</f>
        <v>#VALUE!</v>
      </c>
      <c r="AT76" s="118" t="e" vm="2">
        <f ca="1">SUM(F76:AS76)</f>
        <v>#VALUE!</v>
      </c>
      <c r="AU76" s="119" t="e" vm="2">
        <f ca="1">AT76/$AT$88</f>
        <v>#VALUE!</v>
      </c>
    </row>
    <row r="77" spans="4:47" x14ac:dyDescent="0.25">
      <c r="D77">
        <v>2</v>
      </c>
      <c r="E77" s="106" t="str">
        <f>Inicio!V5</f>
        <v>Moto</v>
      </c>
      <c r="F77" s="100" t="e" cm="1" vm="1">
        <f t="array" aca="1" ref="F77" ca="1">_xlfn.LET(
_xlpm.rango, INDIRECT("N!$C$" &amp; $BA$8 &amp; ":$DR$" &amp; $BA$9),
_xlpm.col, F$72+$D76*10,
INDEX(_xlpm.rango,$BA$4-3,_xlpm.col) +
INDEX(_xlpm.rango,$BA$4-2,_xlpm.col) +
INDEX(_xlpm.rango,$BA$4-1,_xlpm.col) +
INDEX(_xlpm.rango,$BA$4, _xlpm.col)
)</f>
        <v>#VALUE!</v>
      </c>
      <c r="G77" s="95" t="e" cm="1" vm="1">
        <f t="array" aca="1" ref="G77" ca="1">_xlfn.LET(
_xlpm.rango, INDIRECT("N!$C$" &amp; $BA$8 &amp; ":$DR$" &amp; $BA$9),
_xlpm.col, G$72+$D76*10,
INDEX(_xlpm.rango,$BA$4-3,_xlpm.col) +
INDEX(_xlpm.rango,$BA$4-2,_xlpm.col) +
INDEX(_xlpm.rango,$BA$4-1,_xlpm.col) +
INDEX(_xlpm.rango,$BA$4, _xlpm.col)
)</f>
        <v>#VALUE!</v>
      </c>
      <c r="H77" s="95" t="e" cm="1" vm="1">
        <f t="array" aca="1" ref="H77" ca="1">_xlfn.LET(
_xlpm.rango, INDIRECT("N!$C$" &amp; $BA$8 &amp; ":$DR$" &amp; $BA$9),
_xlpm.col, H$72+$D76*10,
INDEX(_xlpm.rango,$BA$4-3,_xlpm.col) +
INDEX(_xlpm.rango,$BA$4-2,_xlpm.col) +
INDEX(_xlpm.rango,$BA$4-1,_xlpm.col) +
INDEX(_xlpm.rango,$BA$4, _xlpm.col)
)</f>
        <v>#VALUE!</v>
      </c>
      <c r="I77" s="95" t="e" cm="1" vm="1">
        <f t="array" aca="1" ref="I77" ca="1">_xlfn.LET(
_xlpm.rango, INDIRECT("N!$C$" &amp; $BA$8 &amp; ":$DR$" &amp; $BA$9),
_xlpm.col, I$72+$D76*10,
INDEX(_xlpm.rango,$BA$4-3,_xlpm.col) +
INDEX(_xlpm.rango,$BA$4-2,_xlpm.col) +
INDEX(_xlpm.rango,$BA$4-1,_xlpm.col) +
INDEX(_xlpm.rango,$BA$4, _xlpm.col)
)</f>
        <v>#VALUE!</v>
      </c>
      <c r="J77" s="95" t="e" cm="1" vm="1">
        <f t="array" aca="1" ref="J77" ca="1">_xlfn.LET(
_xlpm.rango, INDIRECT("N!$C$" &amp; $BA$8 &amp; ":$DR$" &amp; $BA$9),
_xlpm.col, J$72+$D76*10,
INDEX(_xlpm.rango,$BA$4-3,_xlpm.col) +
INDEX(_xlpm.rango,$BA$4-2,_xlpm.col) +
INDEX(_xlpm.rango,$BA$4-1,_xlpm.col) +
INDEX(_xlpm.rango,$BA$4, _xlpm.col)
)</f>
        <v>#VALUE!</v>
      </c>
      <c r="K77" s="95" t="e" cm="1" vm="1">
        <f t="array" aca="1" ref="K77" ca="1">_xlfn.LET(
_xlpm.rango, INDIRECT("N!$C$" &amp; $BA$8 &amp; ":$DR$" &amp; $BA$9),
_xlpm.col, K$72+$D76*10,
INDEX(_xlpm.rango,$BA$4-3,_xlpm.col) +
INDEX(_xlpm.rango,$BA$4-2,_xlpm.col) +
INDEX(_xlpm.rango,$BA$4-1,_xlpm.col) +
INDEX(_xlpm.rango,$BA$4, _xlpm.col)
)</f>
        <v>#VALUE!</v>
      </c>
      <c r="L77" s="95" t="e" cm="1" vm="1">
        <f t="array" aca="1" ref="L77" ca="1">_xlfn.LET(
_xlpm.rango, INDIRECT("N!$C$" &amp; $BA$8 &amp; ":$DR$" &amp; $BA$9),
_xlpm.col, L$72+$D76*10,
INDEX(_xlpm.rango,$BA$4-3,_xlpm.col) +
INDEX(_xlpm.rango,$BA$4-2,_xlpm.col) +
INDEX(_xlpm.rango,$BA$4-1,_xlpm.col) +
INDEX(_xlpm.rango,$BA$4, _xlpm.col)
)</f>
        <v>#VALUE!</v>
      </c>
      <c r="M77" s="95" t="e" cm="1" vm="1">
        <f t="array" aca="1" ref="M77" ca="1">_xlfn.LET(
_xlpm.rango, INDIRECT("N!$C$" &amp; $BA$8 &amp; ":$DR$" &amp; $BA$9),
_xlpm.col, M$72+$D76*10,
INDEX(_xlpm.rango,$BA$4-3,_xlpm.col) +
INDEX(_xlpm.rango,$BA$4-2,_xlpm.col) +
INDEX(_xlpm.rango,$BA$4-1,_xlpm.col) +
INDEX(_xlpm.rango,$BA$4, _xlpm.col)
)</f>
        <v>#VALUE!</v>
      </c>
      <c r="N77" s="95" t="e" cm="1" vm="1">
        <f t="array" aca="1" ref="N77" ca="1">_xlfn.LET(
_xlpm.rango, INDIRECT("N!$C$" &amp; $BA$8 &amp; ":$DR$" &amp; $BA$9),
_xlpm.col, N$72+$D76*10,
INDEX(_xlpm.rango,$BA$4-3,_xlpm.col) +
INDEX(_xlpm.rango,$BA$4-2,_xlpm.col) +
INDEX(_xlpm.rango,$BA$4-1,_xlpm.col) +
INDEX(_xlpm.rango,$BA$4, _xlpm.col)
)</f>
        <v>#VALUE!</v>
      </c>
      <c r="O77" s="96" t="e" cm="1" vm="1">
        <f t="array" aca="1" ref="O77" ca="1">_xlfn.LET(
_xlpm.rango, INDIRECT("N!$C$" &amp; $BA$8 &amp; ":$DR$" &amp; $BA$9),
_xlpm.col, O$72+$D76*10,
INDEX(_xlpm.rango,$BA$4-3,_xlpm.col) +
INDEX(_xlpm.rango,$BA$4-2,_xlpm.col) +
INDEX(_xlpm.rango,$BA$4-1,_xlpm.col) +
INDEX(_xlpm.rango,$BA$4, _xlpm.col)
)</f>
        <v>#VALUE!</v>
      </c>
      <c r="P77" s="95" t="e" cm="1" vm="1">
        <f t="array" aca="1" ref="P77" ca="1">_xlfn.LET(
_xlpm.rango, INDIRECT("S!$C$" &amp; $BA$8 &amp; ":$DR$" &amp; $BA$9),
_xlpm.col, P$72+$D76*10,
INDEX(_xlpm.rango,$BA$4-3,_xlpm.col) +
INDEX(_xlpm.rango,$BA$4-2,_xlpm.col) +
INDEX(_xlpm.rango,$BA$4-1,_xlpm.col) +
INDEX(_xlpm.rango,$BA$4, _xlpm.col)
)</f>
        <v>#VALUE!</v>
      </c>
      <c r="Q77" s="95" t="e" cm="1" vm="1">
        <f t="array" aca="1" ref="Q77" ca="1">_xlfn.LET(
_xlpm.rango, INDIRECT("S!$C$" &amp; $BA$8 &amp; ":$DR$" &amp; $BA$9),
_xlpm.col, Q$72+$D76*10,
INDEX(_xlpm.rango,$BA$4-3,_xlpm.col) +
INDEX(_xlpm.rango,$BA$4-2,_xlpm.col) +
INDEX(_xlpm.rango,$BA$4-1,_xlpm.col) +
INDEX(_xlpm.rango,$BA$4, _xlpm.col)
)</f>
        <v>#VALUE!</v>
      </c>
      <c r="R77" s="95" t="e" cm="1" vm="1">
        <f t="array" aca="1" ref="R77" ca="1">_xlfn.LET(
_xlpm.rango, INDIRECT("S!$C$" &amp; $BA$8 &amp; ":$DR$" &amp; $BA$9),
_xlpm.col, R$72+$D76*10,
INDEX(_xlpm.rango,$BA$4-3,_xlpm.col) +
INDEX(_xlpm.rango,$BA$4-2,_xlpm.col) +
INDEX(_xlpm.rango,$BA$4-1,_xlpm.col) +
INDEX(_xlpm.rango,$BA$4, _xlpm.col)
)</f>
        <v>#VALUE!</v>
      </c>
      <c r="S77" s="95" t="e" cm="1" vm="1">
        <f t="array" aca="1" ref="S77" ca="1">_xlfn.LET(
_xlpm.rango, INDIRECT("S!$C$" &amp; $BA$8 &amp; ":$DR$" &amp; $BA$9),
_xlpm.col, S$72+$D76*10,
INDEX(_xlpm.rango,$BA$4-3,_xlpm.col) +
INDEX(_xlpm.rango,$BA$4-2,_xlpm.col) +
INDEX(_xlpm.rango,$BA$4-1,_xlpm.col) +
INDEX(_xlpm.rango,$BA$4, _xlpm.col)
)</f>
        <v>#VALUE!</v>
      </c>
      <c r="T77" s="95" t="e" cm="1" vm="1">
        <f t="array" aca="1" ref="T77" ca="1">_xlfn.LET(
_xlpm.rango, INDIRECT("S!$C$" &amp; $BA$8 &amp; ":$DR$" &amp; $BA$9),
_xlpm.col, T$72+$D76*10,
INDEX(_xlpm.rango,$BA$4-3,_xlpm.col) +
INDEX(_xlpm.rango,$BA$4-2,_xlpm.col) +
INDEX(_xlpm.rango,$BA$4-1,_xlpm.col) +
INDEX(_xlpm.rango,$BA$4, _xlpm.col)
)</f>
        <v>#VALUE!</v>
      </c>
      <c r="U77" s="95" t="e" cm="1" vm="1">
        <f t="array" aca="1" ref="U77" ca="1">_xlfn.LET(
_xlpm.rango, INDIRECT("S!$C$" &amp; $BA$8 &amp; ":$DR$" &amp; $BA$9),
_xlpm.col, U$72+$D76*10,
INDEX(_xlpm.rango,$BA$4-3,_xlpm.col) +
INDEX(_xlpm.rango,$BA$4-2,_xlpm.col) +
INDEX(_xlpm.rango,$BA$4-1,_xlpm.col) +
INDEX(_xlpm.rango,$BA$4, _xlpm.col)
)</f>
        <v>#VALUE!</v>
      </c>
      <c r="V77" s="95" t="e" cm="1" vm="1">
        <f t="array" aca="1" ref="V77" ca="1">_xlfn.LET(
_xlpm.rango, INDIRECT("S!$C$" &amp; $BA$8 &amp; ":$DR$" &amp; $BA$9),
_xlpm.col, V$72+$D76*10,
INDEX(_xlpm.rango,$BA$4-3,_xlpm.col) +
INDEX(_xlpm.rango,$BA$4-2,_xlpm.col) +
INDEX(_xlpm.rango,$BA$4-1,_xlpm.col) +
INDEX(_xlpm.rango,$BA$4, _xlpm.col)
)</f>
        <v>#VALUE!</v>
      </c>
      <c r="W77" s="95" t="e" cm="1" vm="1">
        <f t="array" aca="1" ref="W77" ca="1">_xlfn.LET(
_xlpm.rango, INDIRECT("S!$C$" &amp; $BA$8 &amp; ":$DR$" &amp; $BA$9),
_xlpm.col, W$72+$D76*10,
INDEX(_xlpm.rango,$BA$4-3,_xlpm.col) +
INDEX(_xlpm.rango,$BA$4-2,_xlpm.col) +
INDEX(_xlpm.rango,$BA$4-1,_xlpm.col) +
INDEX(_xlpm.rango,$BA$4, _xlpm.col)
)</f>
        <v>#VALUE!</v>
      </c>
      <c r="X77" s="95" t="e" cm="1" vm="1">
        <f t="array" aca="1" ref="X77" ca="1">_xlfn.LET(
_xlpm.rango, INDIRECT("S!$C$" &amp; $BA$8 &amp; ":$DR$" &amp; $BA$9),
_xlpm.col, X$72+$D76*10,
INDEX(_xlpm.rango,$BA$4-3,_xlpm.col) +
INDEX(_xlpm.rango,$BA$4-2,_xlpm.col) +
INDEX(_xlpm.rango,$BA$4-1,_xlpm.col) +
INDEX(_xlpm.rango,$BA$4, _xlpm.col)
)</f>
        <v>#VALUE!</v>
      </c>
      <c r="Y77" s="95" t="e" cm="1" vm="1">
        <f t="array" aca="1" ref="Y77" ca="1">_xlfn.LET(
_xlpm.rango, INDIRECT("S!$C$" &amp; $BA$8 &amp; ":$DR$" &amp; $BA$9),
_xlpm.col, Y$72+$D76*10,
INDEX(_xlpm.rango,$BA$4-3,_xlpm.col) +
INDEX(_xlpm.rango,$BA$4-2,_xlpm.col) +
INDEX(_xlpm.rango,$BA$4-1,_xlpm.col) +
INDEX(_xlpm.rango,$BA$4, _xlpm.col)
)</f>
        <v>#VALUE!</v>
      </c>
      <c r="Z77" s="100" t="e" cm="1" vm="1">
        <f t="array" aca="1" ref="Z77" ca="1">_xlfn.LET(
_xlpm.rango, INDIRECT("E!$C$" &amp; $BA$8 &amp; ":$DR$" &amp; $BA$9),
_xlpm.col, Z$72+$D76*10,
INDEX(_xlpm.rango,$BA$4-3,_xlpm.col) +
INDEX(_xlpm.rango,$BA$4-2,_xlpm.col) +
INDEX(_xlpm.rango,$BA$4-1,_xlpm.col) +
INDEX(_xlpm.rango,$BA$4, _xlpm.col)
)</f>
        <v>#VALUE!</v>
      </c>
      <c r="AA77" s="95" t="e" cm="1" vm="1">
        <f t="array" aca="1" ref="AA77" ca="1">_xlfn.LET(
_xlpm.rango, INDIRECT("E!$C$" &amp; $BA$8 &amp; ":$DR$" &amp; $BA$9),
_xlpm.col, AA$72+$D76*10,
INDEX(_xlpm.rango,$BA$4-3,_xlpm.col) +
INDEX(_xlpm.rango,$BA$4-2,_xlpm.col) +
INDEX(_xlpm.rango,$BA$4-1,_xlpm.col) +
INDEX(_xlpm.rango,$BA$4, _xlpm.col)
)</f>
        <v>#VALUE!</v>
      </c>
      <c r="AB77" s="95" t="e" cm="1" vm="1">
        <f t="array" aca="1" ref="AB77" ca="1">_xlfn.LET(
_xlpm.rango, INDIRECT("E!$C$" &amp; $BA$8 &amp; ":$DR$" &amp; $BA$9),
_xlpm.col, AB$72+$D76*10,
INDEX(_xlpm.rango,$BA$4-3,_xlpm.col) +
INDEX(_xlpm.rango,$BA$4-2,_xlpm.col) +
INDEX(_xlpm.rango,$BA$4-1,_xlpm.col) +
INDEX(_xlpm.rango,$BA$4, _xlpm.col)
)</f>
        <v>#VALUE!</v>
      </c>
      <c r="AC77" s="95" t="e" cm="1" vm="1">
        <f t="array" aca="1" ref="AC77" ca="1">_xlfn.LET(
_xlpm.rango, INDIRECT("E!$C$" &amp; $BA$8 &amp; ":$DR$" &amp; $BA$9),
_xlpm.col, AC$72+$D76*10,
INDEX(_xlpm.rango,$BA$4-3,_xlpm.col) +
INDEX(_xlpm.rango,$BA$4-2,_xlpm.col) +
INDEX(_xlpm.rango,$BA$4-1,_xlpm.col) +
INDEX(_xlpm.rango,$BA$4, _xlpm.col)
)</f>
        <v>#VALUE!</v>
      </c>
      <c r="AD77" s="95" t="e" cm="1" vm="1">
        <f t="array" aca="1" ref="AD77" ca="1">_xlfn.LET(
_xlpm.rango, INDIRECT("E!$C$" &amp; $BA$8 &amp; ":$DR$" &amp; $BA$9),
_xlpm.col, AD$72+$D76*10,
INDEX(_xlpm.rango,$BA$4-3,_xlpm.col) +
INDEX(_xlpm.rango,$BA$4-2,_xlpm.col) +
INDEX(_xlpm.rango,$BA$4-1,_xlpm.col) +
INDEX(_xlpm.rango,$BA$4, _xlpm.col)
)</f>
        <v>#VALUE!</v>
      </c>
      <c r="AE77" s="95" t="e" cm="1" vm="1">
        <f t="array" aca="1" ref="AE77" ca="1">_xlfn.LET(
_xlpm.rango, INDIRECT("E!$C$" &amp; $BA$8 &amp; ":$DR$" &amp; $BA$9),
_xlpm.col, AE$72+$D76*10,
INDEX(_xlpm.rango,$BA$4-3,_xlpm.col) +
INDEX(_xlpm.rango,$BA$4-2,_xlpm.col) +
INDEX(_xlpm.rango,$BA$4-1,_xlpm.col) +
INDEX(_xlpm.rango,$BA$4, _xlpm.col)
)</f>
        <v>#VALUE!</v>
      </c>
      <c r="AF77" s="95" t="e" cm="1" vm="1">
        <f t="array" aca="1" ref="AF77" ca="1">_xlfn.LET(
_xlpm.rango, INDIRECT("E!$C$" &amp; $BA$8 &amp; ":$DR$" &amp; $BA$9),
_xlpm.col, AF$72+$D76*10,
INDEX(_xlpm.rango,$BA$4-3,_xlpm.col) +
INDEX(_xlpm.rango,$BA$4-2,_xlpm.col) +
INDEX(_xlpm.rango,$BA$4-1,_xlpm.col) +
INDEX(_xlpm.rango,$BA$4, _xlpm.col)
)</f>
        <v>#VALUE!</v>
      </c>
      <c r="AG77" s="95" t="e" cm="1" vm="1">
        <f t="array" aca="1" ref="AG77" ca="1">_xlfn.LET(
_xlpm.rango, INDIRECT("E!$C$" &amp; $BA$8 &amp; ":$DR$" &amp; $BA$9),
_xlpm.col, AG$72+$D76*10,
INDEX(_xlpm.rango,$BA$4-3,_xlpm.col) +
INDEX(_xlpm.rango,$BA$4-2,_xlpm.col) +
INDEX(_xlpm.rango,$BA$4-1,_xlpm.col) +
INDEX(_xlpm.rango,$BA$4, _xlpm.col)
)</f>
        <v>#VALUE!</v>
      </c>
      <c r="AH77" s="95" t="e" cm="1" vm="1">
        <f t="array" aca="1" ref="AH77" ca="1">_xlfn.LET(
_xlpm.rango, INDIRECT("E!$C$" &amp; $BA$8 &amp; ":$DR$" &amp; $BA$9),
_xlpm.col, AH$72+$D76*10,
INDEX(_xlpm.rango,$BA$4-3,_xlpm.col) +
INDEX(_xlpm.rango,$BA$4-2,_xlpm.col) +
INDEX(_xlpm.rango,$BA$4-1,_xlpm.col) +
INDEX(_xlpm.rango,$BA$4, _xlpm.col)
)</f>
        <v>#VALUE!</v>
      </c>
      <c r="AI77" s="96" t="e" cm="1" vm="1">
        <f t="array" aca="1" ref="AI77" ca="1">_xlfn.LET(
_xlpm.rango, INDIRECT("E!$C$" &amp; $BA$8 &amp; ":$DR$" &amp; $BA$9),
_xlpm.col, AI$72+$D76*10,
INDEX(_xlpm.rango,$BA$4-3,_xlpm.col) +
INDEX(_xlpm.rango,$BA$4-2,_xlpm.col) +
INDEX(_xlpm.rango,$BA$4-1,_xlpm.col) +
INDEX(_xlpm.rango,$BA$4, _xlpm.col)
)</f>
        <v>#VALUE!</v>
      </c>
      <c r="AJ77" s="95" t="e" cm="1" vm="1">
        <f t="array" aca="1" ref="AJ77" ca="1">_xlfn.LET(
_xlpm.rango, INDIRECT("E!$C$" &amp; $BA$8 &amp; ":$DR$" &amp; $BA$9),
_xlpm.col, AJ$72+$D76*10,
INDEX(_xlpm.rango,$BA$4-3,_xlpm.col) +
INDEX(_xlpm.rango,$BA$4-2,_xlpm.col) +
INDEX(_xlpm.rango,$BA$4-1,_xlpm.col) +
INDEX(_xlpm.rango,$BA$4, _xlpm.col)
)</f>
        <v>#VALUE!</v>
      </c>
      <c r="AK77" s="95" t="e" cm="1" vm="1">
        <f t="array" aca="1" ref="AK77" ca="1">_xlfn.LET(
_xlpm.rango, INDIRECT("E!$C$" &amp; $BA$8 &amp; ":$DR$" &amp; $BA$9),
_xlpm.col, AK$72+$D76*10,
INDEX(_xlpm.rango,$BA$4-3,_xlpm.col) +
INDEX(_xlpm.rango,$BA$4-2,_xlpm.col) +
INDEX(_xlpm.rango,$BA$4-1,_xlpm.col) +
INDEX(_xlpm.rango,$BA$4, _xlpm.col)
)</f>
        <v>#VALUE!</v>
      </c>
      <c r="AL77" s="95" t="e" cm="1" vm="1">
        <f t="array" aca="1" ref="AL77" ca="1">_xlfn.LET(
_xlpm.rango, INDIRECT("E!$C$" &amp; $BA$8 &amp; ":$DR$" &amp; $BA$9),
_xlpm.col, AL$72+$D76*10,
INDEX(_xlpm.rango,$BA$4-3,_xlpm.col) +
INDEX(_xlpm.rango,$BA$4-2,_xlpm.col) +
INDEX(_xlpm.rango,$BA$4-1,_xlpm.col) +
INDEX(_xlpm.rango,$BA$4, _xlpm.col)
)</f>
        <v>#VALUE!</v>
      </c>
      <c r="AM77" s="95" t="e" cm="1" vm="1">
        <f t="array" aca="1" ref="AM77" ca="1">_xlfn.LET(
_xlpm.rango, INDIRECT("E!$C$" &amp; $BA$8 &amp; ":$DR$" &amp; $BA$9),
_xlpm.col, AM$72+$D76*10,
INDEX(_xlpm.rango,$BA$4-3,_xlpm.col) +
INDEX(_xlpm.rango,$BA$4-2,_xlpm.col) +
INDEX(_xlpm.rango,$BA$4-1,_xlpm.col) +
INDEX(_xlpm.rango,$BA$4, _xlpm.col)
)</f>
        <v>#VALUE!</v>
      </c>
      <c r="AN77" s="95" t="e" cm="1" vm="1">
        <f t="array" aca="1" ref="AN77" ca="1">_xlfn.LET(
_xlpm.rango, INDIRECT("E!$C$" &amp; $BA$8 &amp; ":$DR$" &amp; $BA$9),
_xlpm.col, AN$72+$D76*10,
INDEX(_xlpm.rango,$BA$4-3,_xlpm.col) +
INDEX(_xlpm.rango,$BA$4-2,_xlpm.col) +
INDEX(_xlpm.rango,$BA$4-1,_xlpm.col) +
INDEX(_xlpm.rango,$BA$4, _xlpm.col)
)</f>
        <v>#VALUE!</v>
      </c>
      <c r="AO77" s="95" t="e" cm="1" vm="1">
        <f t="array" aca="1" ref="AO77" ca="1">_xlfn.LET(
_xlpm.rango, INDIRECT("E!$C$" &amp; $BA$8 &amp; ":$DR$" &amp; $BA$9),
_xlpm.col, AO$72+$D76*10,
INDEX(_xlpm.rango,$BA$4-3,_xlpm.col) +
INDEX(_xlpm.rango,$BA$4-2,_xlpm.col) +
INDEX(_xlpm.rango,$BA$4-1,_xlpm.col) +
INDEX(_xlpm.rango,$BA$4, _xlpm.col)
)</f>
        <v>#VALUE!</v>
      </c>
      <c r="AP77" s="95" t="e" cm="1" vm="1">
        <f t="array" aca="1" ref="AP77" ca="1">_xlfn.LET(
_xlpm.rango, INDIRECT("E!$C$" &amp; $BA$8 &amp; ":$DR$" &amp; $BA$9),
_xlpm.col, AP$72+$D76*10,
INDEX(_xlpm.rango,$BA$4-3,_xlpm.col) +
INDEX(_xlpm.rango,$BA$4-2,_xlpm.col) +
INDEX(_xlpm.rango,$BA$4-1,_xlpm.col) +
INDEX(_xlpm.rango,$BA$4, _xlpm.col)
)</f>
        <v>#VALUE!</v>
      </c>
      <c r="AQ77" s="95" t="e" cm="1" vm="1">
        <f t="array" aca="1" ref="AQ77" ca="1">_xlfn.LET(
_xlpm.rango, INDIRECT("E!$C$" &amp; $BA$8 &amp; ":$DR$" &amp; $BA$9),
_xlpm.col, AQ$72+$D76*10,
INDEX(_xlpm.rango,$BA$4-3,_xlpm.col) +
INDEX(_xlpm.rango,$BA$4-2,_xlpm.col) +
INDEX(_xlpm.rango,$BA$4-1,_xlpm.col) +
INDEX(_xlpm.rango,$BA$4, _xlpm.col)
)</f>
        <v>#VALUE!</v>
      </c>
      <c r="AR77" s="95" t="e" cm="1" vm="1">
        <f t="array" aca="1" ref="AR77" ca="1">_xlfn.LET(
_xlpm.rango, INDIRECT("E!$C$" &amp; $BA$8 &amp; ":$DR$" &amp; $BA$9),
_xlpm.col, AR$72+$D76*10,
INDEX(_xlpm.rango,$BA$4-3,_xlpm.col) +
INDEX(_xlpm.rango,$BA$4-2,_xlpm.col) +
INDEX(_xlpm.rango,$BA$4-1,_xlpm.col) +
INDEX(_xlpm.rango,$BA$4, _xlpm.col)
)</f>
        <v>#VALUE!</v>
      </c>
      <c r="AS77" s="112" t="e" cm="1" vm="1">
        <f t="array" aca="1" ref="AS77" ca="1">_xlfn.LET(
_xlpm.rango, INDIRECT("E!$C$" &amp; $BA$8 &amp; ":$DR$" &amp; $BA$9),
_xlpm.col, AS$72+$D76*10,
INDEX(_xlpm.rango,$BA$4-3,_xlpm.col) +
INDEX(_xlpm.rango,$BA$4-2,_xlpm.col) +
INDEX(_xlpm.rango,$BA$4-1,_xlpm.col) +
INDEX(_xlpm.rango,$BA$4, _xlpm.col)
)</f>
        <v>#VALUE!</v>
      </c>
      <c r="AT77" s="118" t="e" vm="2">
        <f t="shared" ref="AT77:AT87" ca="1" si="0">SUM(F77:AS77)</f>
        <v>#VALUE!</v>
      </c>
      <c r="AU77" s="120" t="e" vm="2">
        <f t="shared" ref="AU77:AU87" ca="1" si="1">AT77/$AT$88</f>
        <v>#VALUE!</v>
      </c>
    </row>
    <row r="78" spans="4:47" x14ac:dyDescent="0.25">
      <c r="D78">
        <v>3</v>
      </c>
      <c r="E78" s="106" t="str">
        <f>Inicio!V6</f>
        <v>Bus</v>
      </c>
      <c r="F78" s="100" t="e" cm="1" vm="1">
        <f t="array" aca="1" ref="F78" ca="1">_xlfn.LET(
_xlpm.rango, INDIRECT("N!$C$" &amp; $BA$8 &amp; ":$DR$" &amp; $BA$9),
_xlpm.col, F$72+$D77*10,
INDEX(_xlpm.rango,$BA$4-3,_xlpm.col) +
INDEX(_xlpm.rango,$BA$4-2,_xlpm.col) +
INDEX(_xlpm.rango,$BA$4-1,_xlpm.col) +
INDEX(_xlpm.rango,$BA$4, _xlpm.col)
)</f>
        <v>#VALUE!</v>
      </c>
      <c r="G78" s="95" t="e" cm="1" vm="1">
        <f t="array" aca="1" ref="G78" ca="1">_xlfn.LET(
_xlpm.rango, INDIRECT("N!$C$" &amp; $BA$8 &amp; ":$DR$" &amp; $BA$9),
_xlpm.col, G$72+$D77*10,
INDEX(_xlpm.rango,$BA$4-3,_xlpm.col) +
INDEX(_xlpm.rango,$BA$4-2,_xlpm.col) +
INDEX(_xlpm.rango,$BA$4-1,_xlpm.col) +
INDEX(_xlpm.rango,$BA$4, _xlpm.col)
)</f>
        <v>#VALUE!</v>
      </c>
      <c r="H78" s="95" t="e" cm="1" vm="1">
        <f t="array" aca="1" ref="H78" ca="1">_xlfn.LET(
_xlpm.rango, INDIRECT("N!$C$" &amp; $BA$8 &amp; ":$DR$" &amp; $BA$9),
_xlpm.col, H$72+$D77*10,
INDEX(_xlpm.rango,$BA$4-3,_xlpm.col) +
INDEX(_xlpm.rango,$BA$4-2,_xlpm.col) +
INDEX(_xlpm.rango,$BA$4-1,_xlpm.col) +
INDEX(_xlpm.rango,$BA$4, _xlpm.col)
)</f>
        <v>#VALUE!</v>
      </c>
      <c r="I78" s="95" t="e" cm="1" vm="1">
        <f t="array" aca="1" ref="I78" ca="1">_xlfn.LET(
_xlpm.rango, INDIRECT("N!$C$" &amp; $BA$8 &amp; ":$DR$" &amp; $BA$9),
_xlpm.col, I$72+$D77*10,
INDEX(_xlpm.rango,$BA$4-3,_xlpm.col) +
INDEX(_xlpm.rango,$BA$4-2,_xlpm.col) +
INDEX(_xlpm.rango,$BA$4-1,_xlpm.col) +
INDEX(_xlpm.rango,$BA$4, _xlpm.col)
)</f>
        <v>#VALUE!</v>
      </c>
      <c r="J78" s="95" t="e" cm="1" vm="1">
        <f t="array" aca="1" ref="J78" ca="1">_xlfn.LET(
_xlpm.rango, INDIRECT("N!$C$" &amp; $BA$8 &amp; ":$DR$" &amp; $BA$9),
_xlpm.col, J$72+$D77*10,
INDEX(_xlpm.rango,$BA$4-3,_xlpm.col) +
INDEX(_xlpm.rango,$BA$4-2,_xlpm.col) +
INDEX(_xlpm.rango,$BA$4-1,_xlpm.col) +
INDEX(_xlpm.rango,$BA$4, _xlpm.col)
)</f>
        <v>#VALUE!</v>
      </c>
      <c r="K78" s="95" t="e" cm="1" vm="1">
        <f t="array" aca="1" ref="K78" ca="1">_xlfn.LET(
_xlpm.rango, INDIRECT("N!$C$" &amp; $BA$8 &amp; ":$DR$" &amp; $BA$9),
_xlpm.col, K$72+$D77*10,
INDEX(_xlpm.rango,$BA$4-3,_xlpm.col) +
INDEX(_xlpm.rango,$BA$4-2,_xlpm.col) +
INDEX(_xlpm.rango,$BA$4-1,_xlpm.col) +
INDEX(_xlpm.rango,$BA$4, _xlpm.col)
)</f>
        <v>#VALUE!</v>
      </c>
      <c r="L78" s="95" t="e" cm="1" vm="1">
        <f t="array" aca="1" ref="L78" ca="1">_xlfn.LET(
_xlpm.rango, INDIRECT("N!$C$" &amp; $BA$8 &amp; ":$DR$" &amp; $BA$9),
_xlpm.col, L$72+$D77*10,
INDEX(_xlpm.rango,$BA$4-3,_xlpm.col) +
INDEX(_xlpm.rango,$BA$4-2,_xlpm.col) +
INDEX(_xlpm.rango,$BA$4-1,_xlpm.col) +
INDEX(_xlpm.rango,$BA$4, _xlpm.col)
)</f>
        <v>#VALUE!</v>
      </c>
      <c r="M78" s="95" t="e" cm="1" vm="1">
        <f t="array" aca="1" ref="M78" ca="1">_xlfn.LET(
_xlpm.rango, INDIRECT("N!$C$" &amp; $BA$8 &amp; ":$DR$" &amp; $BA$9),
_xlpm.col, M$72+$D77*10,
INDEX(_xlpm.rango,$BA$4-3,_xlpm.col) +
INDEX(_xlpm.rango,$BA$4-2,_xlpm.col) +
INDEX(_xlpm.rango,$BA$4-1,_xlpm.col) +
INDEX(_xlpm.rango,$BA$4, _xlpm.col)
)</f>
        <v>#VALUE!</v>
      </c>
      <c r="N78" s="95" t="e" cm="1" vm="1">
        <f t="array" aca="1" ref="N78" ca="1">_xlfn.LET(
_xlpm.rango, INDIRECT("N!$C$" &amp; $BA$8 &amp; ":$DR$" &amp; $BA$9),
_xlpm.col, N$72+$D77*10,
INDEX(_xlpm.rango,$BA$4-3,_xlpm.col) +
INDEX(_xlpm.rango,$BA$4-2,_xlpm.col) +
INDEX(_xlpm.rango,$BA$4-1,_xlpm.col) +
INDEX(_xlpm.rango,$BA$4, _xlpm.col)
)</f>
        <v>#VALUE!</v>
      </c>
      <c r="O78" s="96" t="e" cm="1" vm="1">
        <f t="array" aca="1" ref="O78" ca="1">_xlfn.LET(
_xlpm.rango, INDIRECT("N!$C$" &amp; $BA$8 &amp; ":$DR$" &amp; $BA$9),
_xlpm.col, O$72+$D77*10,
INDEX(_xlpm.rango,$BA$4-3,_xlpm.col) +
INDEX(_xlpm.rango,$BA$4-2,_xlpm.col) +
INDEX(_xlpm.rango,$BA$4-1,_xlpm.col) +
INDEX(_xlpm.rango,$BA$4, _xlpm.col)
)</f>
        <v>#VALUE!</v>
      </c>
      <c r="P78" s="95" t="e" cm="1" vm="1">
        <f t="array" aca="1" ref="P78" ca="1">_xlfn.LET(
_xlpm.rango, INDIRECT("S!$C$" &amp; $BA$8 &amp; ":$DR$" &amp; $BA$9),
_xlpm.col, P$72+$D77*10,
INDEX(_xlpm.rango,$BA$4-3,_xlpm.col) +
INDEX(_xlpm.rango,$BA$4-2,_xlpm.col) +
INDEX(_xlpm.rango,$BA$4-1,_xlpm.col) +
INDEX(_xlpm.rango,$BA$4, _xlpm.col)
)</f>
        <v>#VALUE!</v>
      </c>
      <c r="Q78" s="95" t="e" cm="1" vm="1">
        <f t="array" aca="1" ref="Q78" ca="1">_xlfn.LET(
_xlpm.rango, INDIRECT("S!$C$" &amp; $BA$8 &amp; ":$DR$" &amp; $BA$9),
_xlpm.col, Q$72+$D77*10,
INDEX(_xlpm.rango,$BA$4-3,_xlpm.col) +
INDEX(_xlpm.rango,$BA$4-2,_xlpm.col) +
INDEX(_xlpm.rango,$BA$4-1,_xlpm.col) +
INDEX(_xlpm.rango,$BA$4, _xlpm.col)
)</f>
        <v>#VALUE!</v>
      </c>
      <c r="R78" s="95" t="e" cm="1" vm="1">
        <f t="array" aca="1" ref="R78" ca="1">_xlfn.LET(
_xlpm.rango, INDIRECT("S!$C$" &amp; $BA$8 &amp; ":$DR$" &amp; $BA$9),
_xlpm.col, R$72+$D77*10,
INDEX(_xlpm.rango,$BA$4-3,_xlpm.col) +
INDEX(_xlpm.rango,$BA$4-2,_xlpm.col) +
INDEX(_xlpm.rango,$BA$4-1,_xlpm.col) +
INDEX(_xlpm.rango,$BA$4, _xlpm.col)
)</f>
        <v>#VALUE!</v>
      </c>
      <c r="S78" s="95" t="e" cm="1" vm="1">
        <f t="array" aca="1" ref="S78" ca="1">_xlfn.LET(
_xlpm.rango, INDIRECT("S!$C$" &amp; $BA$8 &amp; ":$DR$" &amp; $BA$9),
_xlpm.col, S$72+$D77*10,
INDEX(_xlpm.rango,$BA$4-3,_xlpm.col) +
INDEX(_xlpm.rango,$BA$4-2,_xlpm.col) +
INDEX(_xlpm.rango,$BA$4-1,_xlpm.col) +
INDEX(_xlpm.rango,$BA$4, _xlpm.col)
)</f>
        <v>#VALUE!</v>
      </c>
      <c r="T78" s="95" t="e" cm="1" vm="1">
        <f t="array" aca="1" ref="T78" ca="1">_xlfn.LET(
_xlpm.rango, INDIRECT("S!$C$" &amp; $BA$8 &amp; ":$DR$" &amp; $BA$9),
_xlpm.col, T$72+$D77*10,
INDEX(_xlpm.rango,$BA$4-3,_xlpm.col) +
INDEX(_xlpm.rango,$BA$4-2,_xlpm.col) +
INDEX(_xlpm.rango,$BA$4-1,_xlpm.col) +
INDEX(_xlpm.rango,$BA$4, _xlpm.col)
)</f>
        <v>#VALUE!</v>
      </c>
      <c r="U78" s="95" t="e" cm="1" vm="1">
        <f t="array" aca="1" ref="U78" ca="1">_xlfn.LET(
_xlpm.rango, INDIRECT("S!$C$" &amp; $BA$8 &amp; ":$DR$" &amp; $BA$9),
_xlpm.col, U$72+$D77*10,
INDEX(_xlpm.rango,$BA$4-3,_xlpm.col) +
INDEX(_xlpm.rango,$BA$4-2,_xlpm.col) +
INDEX(_xlpm.rango,$BA$4-1,_xlpm.col) +
INDEX(_xlpm.rango,$BA$4, _xlpm.col)
)</f>
        <v>#VALUE!</v>
      </c>
      <c r="V78" s="95" t="e" cm="1" vm="1">
        <f t="array" aca="1" ref="V78" ca="1">_xlfn.LET(
_xlpm.rango, INDIRECT("S!$C$" &amp; $BA$8 &amp; ":$DR$" &amp; $BA$9),
_xlpm.col, V$72+$D77*10,
INDEX(_xlpm.rango,$BA$4-3,_xlpm.col) +
INDEX(_xlpm.rango,$BA$4-2,_xlpm.col) +
INDEX(_xlpm.rango,$BA$4-1,_xlpm.col) +
INDEX(_xlpm.rango,$BA$4, _xlpm.col)
)</f>
        <v>#VALUE!</v>
      </c>
      <c r="W78" s="95" t="e" cm="1" vm="1">
        <f t="array" aca="1" ref="W78" ca="1">_xlfn.LET(
_xlpm.rango, INDIRECT("S!$C$" &amp; $BA$8 &amp; ":$DR$" &amp; $BA$9),
_xlpm.col, W$72+$D77*10,
INDEX(_xlpm.rango,$BA$4-3,_xlpm.col) +
INDEX(_xlpm.rango,$BA$4-2,_xlpm.col) +
INDEX(_xlpm.rango,$BA$4-1,_xlpm.col) +
INDEX(_xlpm.rango,$BA$4, _xlpm.col)
)</f>
        <v>#VALUE!</v>
      </c>
      <c r="X78" s="95" t="e" cm="1" vm="1">
        <f t="array" aca="1" ref="X78" ca="1">_xlfn.LET(
_xlpm.rango, INDIRECT("S!$C$" &amp; $BA$8 &amp; ":$DR$" &amp; $BA$9),
_xlpm.col, X$72+$D77*10,
INDEX(_xlpm.rango,$BA$4-3,_xlpm.col) +
INDEX(_xlpm.rango,$BA$4-2,_xlpm.col) +
INDEX(_xlpm.rango,$BA$4-1,_xlpm.col) +
INDEX(_xlpm.rango,$BA$4, _xlpm.col)
)</f>
        <v>#VALUE!</v>
      </c>
      <c r="Y78" s="95" t="e" cm="1" vm="1">
        <f t="array" aca="1" ref="Y78" ca="1">_xlfn.LET(
_xlpm.rango, INDIRECT("S!$C$" &amp; $BA$8 &amp; ":$DR$" &amp; $BA$9),
_xlpm.col, Y$72+$D77*10,
INDEX(_xlpm.rango,$BA$4-3,_xlpm.col) +
INDEX(_xlpm.rango,$BA$4-2,_xlpm.col) +
INDEX(_xlpm.rango,$BA$4-1,_xlpm.col) +
INDEX(_xlpm.rango,$BA$4, _xlpm.col)
)</f>
        <v>#VALUE!</v>
      </c>
      <c r="Z78" s="100" t="e" cm="1" vm="1">
        <f t="array" aca="1" ref="Z78" ca="1">_xlfn.LET(
_xlpm.rango, INDIRECT("E!$C$" &amp; $BA$8 &amp; ":$DR$" &amp; $BA$9),
_xlpm.col, Z$72+$D77*10,
INDEX(_xlpm.rango,$BA$4-3,_xlpm.col) +
INDEX(_xlpm.rango,$BA$4-2,_xlpm.col) +
INDEX(_xlpm.rango,$BA$4-1,_xlpm.col) +
INDEX(_xlpm.rango,$BA$4, _xlpm.col)
)</f>
        <v>#VALUE!</v>
      </c>
      <c r="AA78" s="95" t="e" cm="1" vm="1">
        <f t="array" aca="1" ref="AA78" ca="1">_xlfn.LET(
_xlpm.rango, INDIRECT("E!$C$" &amp; $BA$8 &amp; ":$DR$" &amp; $BA$9),
_xlpm.col, AA$72+$D77*10,
INDEX(_xlpm.rango,$BA$4-3,_xlpm.col) +
INDEX(_xlpm.rango,$BA$4-2,_xlpm.col) +
INDEX(_xlpm.rango,$BA$4-1,_xlpm.col) +
INDEX(_xlpm.rango,$BA$4, _xlpm.col)
)</f>
        <v>#VALUE!</v>
      </c>
      <c r="AB78" s="95" t="e" cm="1" vm="1">
        <f t="array" aca="1" ref="AB78" ca="1">_xlfn.LET(
_xlpm.rango, INDIRECT("E!$C$" &amp; $BA$8 &amp; ":$DR$" &amp; $BA$9),
_xlpm.col, AB$72+$D77*10,
INDEX(_xlpm.rango,$BA$4-3,_xlpm.col) +
INDEX(_xlpm.rango,$BA$4-2,_xlpm.col) +
INDEX(_xlpm.rango,$BA$4-1,_xlpm.col) +
INDEX(_xlpm.rango,$BA$4, _xlpm.col)
)</f>
        <v>#VALUE!</v>
      </c>
      <c r="AC78" s="95" t="e" cm="1" vm="1">
        <f t="array" aca="1" ref="AC78" ca="1">_xlfn.LET(
_xlpm.rango, INDIRECT("E!$C$" &amp; $BA$8 &amp; ":$DR$" &amp; $BA$9),
_xlpm.col, AC$72+$D77*10,
INDEX(_xlpm.rango,$BA$4-3,_xlpm.col) +
INDEX(_xlpm.rango,$BA$4-2,_xlpm.col) +
INDEX(_xlpm.rango,$BA$4-1,_xlpm.col) +
INDEX(_xlpm.rango,$BA$4, _xlpm.col)
)</f>
        <v>#VALUE!</v>
      </c>
      <c r="AD78" s="95" t="e" cm="1" vm="1">
        <f t="array" aca="1" ref="AD78" ca="1">_xlfn.LET(
_xlpm.rango, INDIRECT("E!$C$" &amp; $BA$8 &amp; ":$DR$" &amp; $BA$9),
_xlpm.col, AD$72+$D77*10,
INDEX(_xlpm.rango,$BA$4-3,_xlpm.col) +
INDEX(_xlpm.rango,$BA$4-2,_xlpm.col) +
INDEX(_xlpm.rango,$BA$4-1,_xlpm.col) +
INDEX(_xlpm.rango,$BA$4, _xlpm.col)
)</f>
        <v>#VALUE!</v>
      </c>
      <c r="AE78" s="95" t="e" cm="1" vm="1">
        <f t="array" aca="1" ref="AE78" ca="1">_xlfn.LET(
_xlpm.rango, INDIRECT("E!$C$" &amp; $BA$8 &amp; ":$DR$" &amp; $BA$9),
_xlpm.col, AE$72+$D77*10,
INDEX(_xlpm.rango,$BA$4-3,_xlpm.col) +
INDEX(_xlpm.rango,$BA$4-2,_xlpm.col) +
INDEX(_xlpm.rango,$BA$4-1,_xlpm.col) +
INDEX(_xlpm.rango,$BA$4, _xlpm.col)
)</f>
        <v>#VALUE!</v>
      </c>
      <c r="AF78" s="95" t="e" cm="1" vm="1">
        <f t="array" aca="1" ref="AF78" ca="1">_xlfn.LET(
_xlpm.rango, INDIRECT("E!$C$" &amp; $BA$8 &amp; ":$DR$" &amp; $BA$9),
_xlpm.col, AF$72+$D77*10,
INDEX(_xlpm.rango,$BA$4-3,_xlpm.col) +
INDEX(_xlpm.rango,$BA$4-2,_xlpm.col) +
INDEX(_xlpm.rango,$BA$4-1,_xlpm.col) +
INDEX(_xlpm.rango,$BA$4, _xlpm.col)
)</f>
        <v>#VALUE!</v>
      </c>
      <c r="AG78" s="95" t="e" cm="1" vm="1">
        <f t="array" aca="1" ref="AG78" ca="1">_xlfn.LET(
_xlpm.rango, INDIRECT("E!$C$" &amp; $BA$8 &amp; ":$DR$" &amp; $BA$9),
_xlpm.col, AG$72+$D77*10,
INDEX(_xlpm.rango,$BA$4-3,_xlpm.col) +
INDEX(_xlpm.rango,$BA$4-2,_xlpm.col) +
INDEX(_xlpm.rango,$BA$4-1,_xlpm.col) +
INDEX(_xlpm.rango,$BA$4, _xlpm.col)
)</f>
        <v>#VALUE!</v>
      </c>
      <c r="AH78" s="95" t="e" cm="1" vm="1">
        <f t="array" aca="1" ref="AH78" ca="1">_xlfn.LET(
_xlpm.rango, INDIRECT("E!$C$" &amp; $BA$8 &amp; ":$DR$" &amp; $BA$9),
_xlpm.col, AH$72+$D77*10,
INDEX(_xlpm.rango,$BA$4-3,_xlpm.col) +
INDEX(_xlpm.rango,$BA$4-2,_xlpm.col) +
INDEX(_xlpm.rango,$BA$4-1,_xlpm.col) +
INDEX(_xlpm.rango,$BA$4, _xlpm.col)
)</f>
        <v>#VALUE!</v>
      </c>
      <c r="AI78" s="96" t="e" cm="1" vm="1">
        <f t="array" aca="1" ref="AI78" ca="1">_xlfn.LET(
_xlpm.rango, INDIRECT("E!$C$" &amp; $BA$8 &amp; ":$DR$" &amp; $BA$9),
_xlpm.col, AI$72+$D77*10,
INDEX(_xlpm.rango,$BA$4-3,_xlpm.col) +
INDEX(_xlpm.rango,$BA$4-2,_xlpm.col) +
INDEX(_xlpm.rango,$BA$4-1,_xlpm.col) +
INDEX(_xlpm.rango,$BA$4, _xlpm.col)
)</f>
        <v>#VALUE!</v>
      </c>
      <c r="AJ78" s="95" t="e" cm="1" vm="1">
        <f t="array" aca="1" ref="AJ78" ca="1">_xlfn.LET(
_xlpm.rango, INDIRECT("E!$C$" &amp; $BA$8 &amp; ":$DR$" &amp; $BA$9),
_xlpm.col, AJ$72+$D77*10,
INDEX(_xlpm.rango,$BA$4-3,_xlpm.col) +
INDEX(_xlpm.rango,$BA$4-2,_xlpm.col) +
INDEX(_xlpm.rango,$BA$4-1,_xlpm.col) +
INDEX(_xlpm.rango,$BA$4, _xlpm.col)
)</f>
        <v>#VALUE!</v>
      </c>
      <c r="AK78" s="95" t="e" cm="1" vm="1">
        <f t="array" aca="1" ref="AK78" ca="1">_xlfn.LET(
_xlpm.rango, INDIRECT("E!$C$" &amp; $BA$8 &amp; ":$DR$" &amp; $BA$9),
_xlpm.col, AK$72+$D77*10,
INDEX(_xlpm.rango,$BA$4-3,_xlpm.col) +
INDEX(_xlpm.rango,$BA$4-2,_xlpm.col) +
INDEX(_xlpm.rango,$BA$4-1,_xlpm.col) +
INDEX(_xlpm.rango,$BA$4, _xlpm.col)
)</f>
        <v>#VALUE!</v>
      </c>
      <c r="AL78" s="95" t="e" cm="1" vm="1">
        <f t="array" aca="1" ref="AL78" ca="1">_xlfn.LET(
_xlpm.rango, INDIRECT("E!$C$" &amp; $BA$8 &amp; ":$DR$" &amp; $BA$9),
_xlpm.col, AL$72+$D77*10,
INDEX(_xlpm.rango,$BA$4-3,_xlpm.col) +
INDEX(_xlpm.rango,$BA$4-2,_xlpm.col) +
INDEX(_xlpm.rango,$BA$4-1,_xlpm.col) +
INDEX(_xlpm.rango,$BA$4, _xlpm.col)
)</f>
        <v>#VALUE!</v>
      </c>
      <c r="AM78" s="95" t="e" cm="1" vm="1">
        <f t="array" aca="1" ref="AM78" ca="1">_xlfn.LET(
_xlpm.rango, INDIRECT("E!$C$" &amp; $BA$8 &amp; ":$DR$" &amp; $BA$9),
_xlpm.col, AM$72+$D77*10,
INDEX(_xlpm.rango,$BA$4-3,_xlpm.col) +
INDEX(_xlpm.rango,$BA$4-2,_xlpm.col) +
INDEX(_xlpm.rango,$BA$4-1,_xlpm.col) +
INDEX(_xlpm.rango,$BA$4, _xlpm.col)
)</f>
        <v>#VALUE!</v>
      </c>
      <c r="AN78" s="95" t="e" cm="1" vm="1">
        <f t="array" aca="1" ref="AN78" ca="1">_xlfn.LET(
_xlpm.rango, INDIRECT("E!$C$" &amp; $BA$8 &amp; ":$DR$" &amp; $BA$9),
_xlpm.col, AN$72+$D77*10,
INDEX(_xlpm.rango,$BA$4-3,_xlpm.col) +
INDEX(_xlpm.rango,$BA$4-2,_xlpm.col) +
INDEX(_xlpm.rango,$BA$4-1,_xlpm.col) +
INDEX(_xlpm.rango,$BA$4, _xlpm.col)
)</f>
        <v>#VALUE!</v>
      </c>
      <c r="AO78" s="95" t="e" cm="1" vm="1">
        <f t="array" aca="1" ref="AO78" ca="1">_xlfn.LET(
_xlpm.rango, INDIRECT("E!$C$" &amp; $BA$8 &amp; ":$DR$" &amp; $BA$9),
_xlpm.col, AO$72+$D77*10,
INDEX(_xlpm.rango,$BA$4-3,_xlpm.col) +
INDEX(_xlpm.rango,$BA$4-2,_xlpm.col) +
INDEX(_xlpm.rango,$BA$4-1,_xlpm.col) +
INDEX(_xlpm.rango,$BA$4, _xlpm.col)
)</f>
        <v>#VALUE!</v>
      </c>
      <c r="AP78" s="95" t="e" cm="1" vm="1">
        <f t="array" aca="1" ref="AP78" ca="1">_xlfn.LET(
_xlpm.rango, INDIRECT("E!$C$" &amp; $BA$8 &amp; ":$DR$" &amp; $BA$9),
_xlpm.col, AP$72+$D77*10,
INDEX(_xlpm.rango,$BA$4-3,_xlpm.col) +
INDEX(_xlpm.rango,$BA$4-2,_xlpm.col) +
INDEX(_xlpm.rango,$BA$4-1,_xlpm.col) +
INDEX(_xlpm.rango,$BA$4, _xlpm.col)
)</f>
        <v>#VALUE!</v>
      </c>
      <c r="AQ78" s="95" t="e" cm="1" vm="1">
        <f t="array" aca="1" ref="AQ78" ca="1">_xlfn.LET(
_xlpm.rango, INDIRECT("E!$C$" &amp; $BA$8 &amp; ":$DR$" &amp; $BA$9),
_xlpm.col, AQ$72+$D77*10,
INDEX(_xlpm.rango,$BA$4-3,_xlpm.col) +
INDEX(_xlpm.rango,$BA$4-2,_xlpm.col) +
INDEX(_xlpm.rango,$BA$4-1,_xlpm.col) +
INDEX(_xlpm.rango,$BA$4, _xlpm.col)
)</f>
        <v>#VALUE!</v>
      </c>
      <c r="AR78" s="95" t="e" cm="1" vm="1">
        <f t="array" aca="1" ref="AR78" ca="1">_xlfn.LET(
_xlpm.rango, INDIRECT("E!$C$" &amp; $BA$8 &amp; ":$DR$" &amp; $BA$9),
_xlpm.col, AR$72+$D77*10,
INDEX(_xlpm.rango,$BA$4-3,_xlpm.col) +
INDEX(_xlpm.rango,$BA$4-2,_xlpm.col) +
INDEX(_xlpm.rango,$BA$4-1,_xlpm.col) +
INDEX(_xlpm.rango,$BA$4, _xlpm.col)
)</f>
        <v>#VALUE!</v>
      </c>
      <c r="AS78" s="112" t="e" cm="1" vm="1">
        <f t="array" aca="1" ref="AS78" ca="1">_xlfn.LET(
_xlpm.rango, INDIRECT("E!$C$" &amp; $BA$8 &amp; ":$DR$" &amp; $BA$9),
_xlpm.col, AS$72+$D77*10,
INDEX(_xlpm.rango,$BA$4-3,_xlpm.col) +
INDEX(_xlpm.rango,$BA$4-2,_xlpm.col) +
INDEX(_xlpm.rango,$BA$4-1,_xlpm.col) +
INDEX(_xlpm.rango,$BA$4, _xlpm.col)
)</f>
        <v>#VALUE!</v>
      </c>
      <c r="AT78" s="118" t="e" vm="2">
        <f t="shared" ca="1" si="0"/>
        <v>#VALUE!</v>
      </c>
      <c r="AU78" s="120" t="e" vm="2">
        <f t="shared" ca="1" si="1"/>
        <v>#VALUE!</v>
      </c>
    </row>
    <row r="79" spans="4:47" x14ac:dyDescent="0.25">
      <c r="D79">
        <v>4</v>
      </c>
      <c r="E79" s="106" t="str">
        <f>Inicio!V7</f>
        <v>Camion</v>
      </c>
      <c r="F79" s="100" t="e" cm="1" vm="1">
        <f t="array" aca="1" ref="F79" ca="1">_xlfn.LET(
_xlpm.rango, INDIRECT("N!$C$" &amp; $BA$8 &amp; ":$DR$" &amp; $BA$9),
_xlpm.col, F$72+$D78*10,
INDEX(_xlpm.rango,$BA$4-3,_xlpm.col) +
INDEX(_xlpm.rango,$BA$4-2,_xlpm.col) +
INDEX(_xlpm.rango,$BA$4-1,_xlpm.col) +
INDEX(_xlpm.rango,$BA$4, _xlpm.col)
)</f>
        <v>#VALUE!</v>
      </c>
      <c r="G79" s="95" t="e" cm="1" vm="1">
        <f t="array" aca="1" ref="G79" ca="1">_xlfn.LET(
_xlpm.rango, INDIRECT("N!$C$" &amp; $BA$8 &amp; ":$DR$" &amp; $BA$9),
_xlpm.col, G$72+$D78*10,
INDEX(_xlpm.rango,$BA$4-3,_xlpm.col) +
INDEX(_xlpm.rango,$BA$4-2,_xlpm.col) +
INDEX(_xlpm.rango,$BA$4-1,_xlpm.col) +
INDEX(_xlpm.rango,$BA$4, _xlpm.col)
)</f>
        <v>#VALUE!</v>
      </c>
      <c r="H79" s="95" t="e" cm="1" vm="1">
        <f t="array" aca="1" ref="H79" ca="1">_xlfn.LET(
_xlpm.rango, INDIRECT("N!$C$" &amp; $BA$8 &amp; ":$DR$" &amp; $BA$9),
_xlpm.col, H$72+$D78*10,
INDEX(_xlpm.rango,$BA$4-3,_xlpm.col) +
INDEX(_xlpm.rango,$BA$4-2,_xlpm.col) +
INDEX(_xlpm.rango,$BA$4-1,_xlpm.col) +
INDEX(_xlpm.rango,$BA$4, _xlpm.col)
)</f>
        <v>#VALUE!</v>
      </c>
      <c r="I79" s="95" t="e" cm="1" vm="1">
        <f t="array" aca="1" ref="I79" ca="1">_xlfn.LET(
_xlpm.rango, INDIRECT("N!$C$" &amp; $BA$8 &amp; ":$DR$" &amp; $BA$9),
_xlpm.col, I$72+$D78*10,
INDEX(_xlpm.rango,$BA$4-3,_xlpm.col) +
INDEX(_xlpm.rango,$BA$4-2,_xlpm.col) +
INDEX(_xlpm.rango,$BA$4-1,_xlpm.col) +
INDEX(_xlpm.rango,$BA$4, _xlpm.col)
)</f>
        <v>#VALUE!</v>
      </c>
      <c r="J79" s="95" t="e" cm="1" vm="1">
        <f t="array" aca="1" ref="J79" ca="1">_xlfn.LET(
_xlpm.rango, INDIRECT("N!$C$" &amp; $BA$8 &amp; ":$DR$" &amp; $BA$9),
_xlpm.col, J$72+$D78*10,
INDEX(_xlpm.rango,$BA$4-3,_xlpm.col) +
INDEX(_xlpm.rango,$BA$4-2,_xlpm.col) +
INDEX(_xlpm.rango,$BA$4-1,_xlpm.col) +
INDEX(_xlpm.rango,$BA$4, _xlpm.col)
)</f>
        <v>#VALUE!</v>
      </c>
      <c r="K79" s="95" t="e" cm="1" vm="1">
        <f t="array" aca="1" ref="K79" ca="1">_xlfn.LET(
_xlpm.rango, INDIRECT("N!$C$" &amp; $BA$8 &amp; ":$DR$" &amp; $BA$9),
_xlpm.col, K$72+$D78*10,
INDEX(_xlpm.rango,$BA$4-3,_xlpm.col) +
INDEX(_xlpm.rango,$BA$4-2,_xlpm.col) +
INDEX(_xlpm.rango,$BA$4-1,_xlpm.col) +
INDEX(_xlpm.rango,$BA$4, _xlpm.col)
)</f>
        <v>#VALUE!</v>
      </c>
      <c r="L79" s="95" t="e" cm="1" vm="1">
        <f t="array" aca="1" ref="L79" ca="1">_xlfn.LET(
_xlpm.rango, INDIRECT("N!$C$" &amp; $BA$8 &amp; ":$DR$" &amp; $BA$9),
_xlpm.col, L$72+$D78*10,
INDEX(_xlpm.rango,$BA$4-3,_xlpm.col) +
INDEX(_xlpm.rango,$BA$4-2,_xlpm.col) +
INDEX(_xlpm.rango,$BA$4-1,_xlpm.col) +
INDEX(_xlpm.rango,$BA$4, _xlpm.col)
)</f>
        <v>#VALUE!</v>
      </c>
      <c r="M79" s="95" t="e" cm="1" vm="1">
        <f t="array" aca="1" ref="M79" ca="1">_xlfn.LET(
_xlpm.rango, INDIRECT("N!$C$" &amp; $BA$8 &amp; ":$DR$" &amp; $BA$9),
_xlpm.col, M$72+$D78*10,
INDEX(_xlpm.rango,$BA$4-3,_xlpm.col) +
INDEX(_xlpm.rango,$BA$4-2,_xlpm.col) +
INDEX(_xlpm.rango,$BA$4-1,_xlpm.col) +
INDEX(_xlpm.rango,$BA$4, _xlpm.col)
)</f>
        <v>#VALUE!</v>
      </c>
      <c r="N79" s="95" t="e" cm="1" vm="1">
        <f t="array" aca="1" ref="N79" ca="1">_xlfn.LET(
_xlpm.rango, INDIRECT("N!$C$" &amp; $BA$8 &amp; ":$DR$" &amp; $BA$9),
_xlpm.col, N$72+$D78*10,
INDEX(_xlpm.rango,$BA$4-3,_xlpm.col) +
INDEX(_xlpm.rango,$BA$4-2,_xlpm.col) +
INDEX(_xlpm.rango,$BA$4-1,_xlpm.col) +
INDEX(_xlpm.rango,$BA$4, _xlpm.col)
)</f>
        <v>#VALUE!</v>
      </c>
      <c r="O79" s="96" t="e" cm="1" vm="1">
        <f t="array" aca="1" ref="O79" ca="1">_xlfn.LET(
_xlpm.rango, INDIRECT("N!$C$" &amp; $BA$8 &amp; ":$DR$" &amp; $BA$9),
_xlpm.col, O$72+$D78*10,
INDEX(_xlpm.rango,$BA$4-3,_xlpm.col) +
INDEX(_xlpm.rango,$BA$4-2,_xlpm.col) +
INDEX(_xlpm.rango,$BA$4-1,_xlpm.col) +
INDEX(_xlpm.rango,$BA$4, _xlpm.col)
)</f>
        <v>#VALUE!</v>
      </c>
      <c r="P79" s="95" t="e" cm="1" vm="1">
        <f t="array" aca="1" ref="P79" ca="1">_xlfn.LET(
_xlpm.rango, INDIRECT("S!$C$" &amp; $BA$8 &amp; ":$DR$" &amp; $BA$9),
_xlpm.col, P$72+$D78*10,
INDEX(_xlpm.rango,$BA$4-3,_xlpm.col) +
INDEX(_xlpm.rango,$BA$4-2,_xlpm.col) +
INDEX(_xlpm.rango,$BA$4-1,_xlpm.col) +
INDEX(_xlpm.rango,$BA$4, _xlpm.col)
)</f>
        <v>#VALUE!</v>
      </c>
      <c r="Q79" s="95" t="e" cm="1" vm="1">
        <f t="array" aca="1" ref="Q79" ca="1">_xlfn.LET(
_xlpm.rango, INDIRECT("S!$C$" &amp; $BA$8 &amp; ":$DR$" &amp; $BA$9),
_xlpm.col, Q$72+$D78*10,
INDEX(_xlpm.rango,$BA$4-3,_xlpm.col) +
INDEX(_xlpm.rango,$BA$4-2,_xlpm.col) +
INDEX(_xlpm.rango,$BA$4-1,_xlpm.col) +
INDEX(_xlpm.rango,$BA$4, _xlpm.col)
)</f>
        <v>#VALUE!</v>
      </c>
      <c r="R79" s="95" t="e" cm="1" vm="1">
        <f t="array" aca="1" ref="R79" ca="1">_xlfn.LET(
_xlpm.rango, INDIRECT("S!$C$" &amp; $BA$8 &amp; ":$DR$" &amp; $BA$9),
_xlpm.col, R$72+$D78*10,
INDEX(_xlpm.rango,$BA$4-3,_xlpm.col) +
INDEX(_xlpm.rango,$BA$4-2,_xlpm.col) +
INDEX(_xlpm.rango,$BA$4-1,_xlpm.col) +
INDEX(_xlpm.rango,$BA$4, _xlpm.col)
)</f>
        <v>#VALUE!</v>
      </c>
      <c r="S79" s="95" t="e" cm="1" vm="1">
        <f t="array" aca="1" ref="S79" ca="1">_xlfn.LET(
_xlpm.rango, INDIRECT("S!$C$" &amp; $BA$8 &amp; ":$DR$" &amp; $BA$9),
_xlpm.col, S$72+$D78*10,
INDEX(_xlpm.rango,$BA$4-3,_xlpm.col) +
INDEX(_xlpm.rango,$BA$4-2,_xlpm.col) +
INDEX(_xlpm.rango,$BA$4-1,_xlpm.col) +
INDEX(_xlpm.rango,$BA$4, _xlpm.col)
)</f>
        <v>#VALUE!</v>
      </c>
      <c r="T79" s="95" t="e" cm="1" vm="1">
        <f t="array" aca="1" ref="T79" ca="1">_xlfn.LET(
_xlpm.rango, INDIRECT("S!$C$" &amp; $BA$8 &amp; ":$DR$" &amp; $BA$9),
_xlpm.col, T$72+$D78*10,
INDEX(_xlpm.rango,$BA$4-3,_xlpm.col) +
INDEX(_xlpm.rango,$BA$4-2,_xlpm.col) +
INDEX(_xlpm.rango,$BA$4-1,_xlpm.col) +
INDEX(_xlpm.rango,$BA$4, _xlpm.col)
)</f>
        <v>#VALUE!</v>
      </c>
      <c r="U79" s="95" t="e" cm="1" vm="1">
        <f t="array" aca="1" ref="U79" ca="1">_xlfn.LET(
_xlpm.rango, INDIRECT("S!$C$" &amp; $BA$8 &amp; ":$DR$" &amp; $BA$9),
_xlpm.col, U$72+$D78*10,
INDEX(_xlpm.rango,$BA$4-3,_xlpm.col) +
INDEX(_xlpm.rango,$BA$4-2,_xlpm.col) +
INDEX(_xlpm.rango,$BA$4-1,_xlpm.col) +
INDEX(_xlpm.rango,$BA$4, _xlpm.col)
)</f>
        <v>#VALUE!</v>
      </c>
      <c r="V79" s="95" t="e" cm="1" vm="1">
        <f t="array" aca="1" ref="V79" ca="1">_xlfn.LET(
_xlpm.rango, INDIRECT("S!$C$" &amp; $BA$8 &amp; ":$DR$" &amp; $BA$9),
_xlpm.col, V$72+$D78*10,
INDEX(_xlpm.rango,$BA$4-3,_xlpm.col) +
INDEX(_xlpm.rango,$BA$4-2,_xlpm.col) +
INDEX(_xlpm.rango,$BA$4-1,_xlpm.col) +
INDEX(_xlpm.rango,$BA$4, _xlpm.col)
)</f>
        <v>#VALUE!</v>
      </c>
      <c r="W79" s="95" t="e" cm="1" vm="1">
        <f t="array" aca="1" ref="W79" ca="1">_xlfn.LET(
_xlpm.rango, INDIRECT("S!$C$" &amp; $BA$8 &amp; ":$DR$" &amp; $BA$9),
_xlpm.col, W$72+$D78*10,
INDEX(_xlpm.rango,$BA$4-3,_xlpm.col) +
INDEX(_xlpm.rango,$BA$4-2,_xlpm.col) +
INDEX(_xlpm.rango,$BA$4-1,_xlpm.col) +
INDEX(_xlpm.rango,$BA$4, _xlpm.col)
)</f>
        <v>#VALUE!</v>
      </c>
      <c r="X79" s="95" t="e" cm="1" vm="1">
        <f t="array" aca="1" ref="X79" ca="1">_xlfn.LET(
_xlpm.rango, INDIRECT("S!$C$" &amp; $BA$8 &amp; ":$DR$" &amp; $BA$9),
_xlpm.col, X$72+$D78*10,
INDEX(_xlpm.rango,$BA$4-3,_xlpm.col) +
INDEX(_xlpm.rango,$BA$4-2,_xlpm.col) +
INDEX(_xlpm.rango,$BA$4-1,_xlpm.col) +
INDEX(_xlpm.rango,$BA$4, _xlpm.col)
)</f>
        <v>#VALUE!</v>
      </c>
      <c r="Y79" s="95" t="e" cm="1" vm="1">
        <f t="array" aca="1" ref="Y79" ca="1">_xlfn.LET(
_xlpm.rango, INDIRECT("S!$C$" &amp; $BA$8 &amp; ":$DR$" &amp; $BA$9),
_xlpm.col, Y$72+$D78*10,
INDEX(_xlpm.rango,$BA$4-3,_xlpm.col) +
INDEX(_xlpm.rango,$BA$4-2,_xlpm.col) +
INDEX(_xlpm.rango,$BA$4-1,_xlpm.col) +
INDEX(_xlpm.rango,$BA$4, _xlpm.col)
)</f>
        <v>#VALUE!</v>
      </c>
      <c r="Z79" s="100" t="e" cm="1" vm="1">
        <f t="array" aca="1" ref="Z79" ca="1">_xlfn.LET(
_xlpm.rango, INDIRECT("E!$C$" &amp; $BA$8 &amp; ":$DR$" &amp; $BA$9),
_xlpm.col, Z$72+$D78*10,
INDEX(_xlpm.rango,$BA$4-3,_xlpm.col) +
INDEX(_xlpm.rango,$BA$4-2,_xlpm.col) +
INDEX(_xlpm.rango,$BA$4-1,_xlpm.col) +
INDEX(_xlpm.rango,$BA$4, _xlpm.col)
)</f>
        <v>#VALUE!</v>
      </c>
      <c r="AA79" s="95" t="e" cm="1" vm="1">
        <f t="array" aca="1" ref="AA79" ca="1">_xlfn.LET(
_xlpm.rango, INDIRECT("E!$C$" &amp; $BA$8 &amp; ":$DR$" &amp; $BA$9),
_xlpm.col, AA$72+$D78*10,
INDEX(_xlpm.rango,$BA$4-3,_xlpm.col) +
INDEX(_xlpm.rango,$BA$4-2,_xlpm.col) +
INDEX(_xlpm.rango,$BA$4-1,_xlpm.col) +
INDEX(_xlpm.rango,$BA$4, _xlpm.col)
)</f>
        <v>#VALUE!</v>
      </c>
      <c r="AB79" s="95" t="e" cm="1" vm="1">
        <f t="array" aca="1" ref="AB79" ca="1">_xlfn.LET(
_xlpm.rango, INDIRECT("E!$C$" &amp; $BA$8 &amp; ":$DR$" &amp; $BA$9),
_xlpm.col, AB$72+$D78*10,
INDEX(_xlpm.rango,$BA$4-3,_xlpm.col) +
INDEX(_xlpm.rango,$BA$4-2,_xlpm.col) +
INDEX(_xlpm.rango,$BA$4-1,_xlpm.col) +
INDEX(_xlpm.rango,$BA$4, _xlpm.col)
)</f>
        <v>#VALUE!</v>
      </c>
      <c r="AC79" s="95" t="e" cm="1" vm="1">
        <f t="array" aca="1" ref="AC79" ca="1">_xlfn.LET(
_xlpm.rango, INDIRECT("E!$C$" &amp; $BA$8 &amp; ":$DR$" &amp; $BA$9),
_xlpm.col, AC$72+$D78*10,
INDEX(_xlpm.rango,$BA$4-3,_xlpm.col) +
INDEX(_xlpm.rango,$BA$4-2,_xlpm.col) +
INDEX(_xlpm.rango,$BA$4-1,_xlpm.col) +
INDEX(_xlpm.rango,$BA$4, _xlpm.col)
)</f>
        <v>#VALUE!</v>
      </c>
      <c r="AD79" s="95" t="e" cm="1" vm="1">
        <f t="array" aca="1" ref="AD79" ca="1">_xlfn.LET(
_xlpm.rango, INDIRECT("E!$C$" &amp; $BA$8 &amp; ":$DR$" &amp; $BA$9),
_xlpm.col, AD$72+$D78*10,
INDEX(_xlpm.rango,$BA$4-3,_xlpm.col) +
INDEX(_xlpm.rango,$BA$4-2,_xlpm.col) +
INDEX(_xlpm.rango,$BA$4-1,_xlpm.col) +
INDEX(_xlpm.rango,$BA$4, _xlpm.col)
)</f>
        <v>#VALUE!</v>
      </c>
      <c r="AE79" s="95" t="e" cm="1" vm="1">
        <f t="array" aca="1" ref="AE79" ca="1">_xlfn.LET(
_xlpm.rango, INDIRECT("E!$C$" &amp; $BA$8 &amp; ":$DR$" &amp; $BA$9),
_xlpm.col, AE$72+$D78*10,
INDEX(_xlpm.rango,$BA$4-3,_xlpm.col) +
INDEX(_xlpm.rango,$BA$4-2,_xlpm.col) +
INDEX(_xlpm.rango,$BA$4-1,_xlpm.col) +
INDEX(_xlpm.rango,$BA$4, _xlpm.col)
)</f>
        <v>#VALUE!</v>
      </c>
      <c r="AF79" s="95" t="e" cm="1" vm="1">
        <f t="array" aca="1" ref="AF79" ca="1">_xlfn.LET(
_xlpm.rango, INDIRECT("E!$C$" &amp; $BA$8 &amp; ":$DR$" &amp; $BA$9),
_xlpm.col, AF$72+$D78*10,
INDEX(_xlpm.rango,$BA$4-3,_xlpm.col) +
INDEX(_xlpm.rango,$BA$4-2,_xlpm.col) +
INDEX(_xlpm.rango,$BA$4-1,_xlpm.col) +
INDEX(_xlpm.rango,$BA$4, _xlpm.col)
)</f>
        <v>#VALUE!</v>
      </c>
      <c r="AG79" s="95" t="e" cm="1" vm="1">
        <f t="array" aca="1" ref="AG79" ca="1">_xlfn.LET(
_xlpm.rango, INDIRECT("E!$C$" &amp; $BA$8 &amp; ":$DR$" &amp; $BA$9),
_xlpm.col, AG$72+$D78*10,
INDEX(_xlpm.rango,$BA$4-3,_xlpm.col) +
INDEX(_xlpm.rango,$BA$4-2,_xlpm.col) +
INDEX(_xlpm.rango,$BA$4-1,_xlpm.col) +
INDEX(_xlpm.rango,$BA$4, _xlpm.col)
)</f>
        <v>#VALUE!</v>
      </c>
      <c r="AH79" s="95" t="e" cm="1" vm="1">
        <f t="array" aca="1" ref="AH79" ca="1">_xlfn.LET(
_xlpm.rango, INDIRECT("E!$C$" &amp; $BA$8 &amp; ":$DR$" &amp; $BA$9),
_xlpm.col, AH$72+$D78*10,
INDEX(_xlpm.rango,$BA$4-3,_xlpm.col) +
INDEX(_xlpm.rango,$BA$4-2,_xlpm.col) +
INDEX(_xlpm.rango,$BA$4-1,_xlpm.col) +
INDEX(_xlpm.rango,$BA$4, _xlpm.col)
)</f>
        <v>#VALUE!</v>
      </c>
      <c r="AI79" s="96" t="e" cm="1" vm="1">
        <f t="array" aca="1" ref="AI79" ca="1">_xlfn.LET(
_xlpm.rango, INDIRECT("E!$C$" &amp; $BA$8 &amp; ":$DR$" &amp; $BA$9),
_xlpm.col, AI$72+$D78*10,
INDEX(_xlpm.rango,$BA$4-3,_xlpm.col) +
INDEX(_xlpm.rango,$BA$4-2,_xlpm.col) +
INDEX(_xlpm.rango,$BA$4-1,_xlpm.col) +
INDEX(_xlpm.rango,$BA$4, _xlpm.col)
)</f>
        <v>#VALUE!</v>
      </c>
      <c r="AJ79" s="95" t="e" cm="1" vm="1">
        <f t="array" aca="1" ref="AJ79" ca="1">_xlfn.LET(
_xlpm.rango, INDIRECT("E!$C$" &amp; $BA$8 &amp; ":$DR$" &amp; $BA$9),
_xlpm.col, AJ$72+$D78*10,
INDEX(_xlpm.rango,$BA$4-3,_xlpm.col) +
INDEX(_xlpm.rango,$BA$4-2,_xlpm.col) +
INDEX(_xlpm.rango,$BA$4-1,_xlpm.col) +
INDEX(_xlpm.rango,$BA$4, _xlpm.col)
)</f>
        <v>#VALUE!</v>
      </c>
      <c r="AK79" s="95" t="e" cm="1" vm="1">
        <f t="array" aca="1" ref="AK79" ca="1">_xlfn.LET(
_xlpm.rango, INDIRECT("E!$C$" &amp; $BA$8 &amp; ":$DR$" &amp; $BA$9),
_xlpm.col, AK$72+$D78*10,
INDEX(_xlpm.rango,$BA$4-3,_xlpm.col) +
INDEX(_xlpm.rango,$BA$4-2,_xlpm.col) +
INDEX(_xlpm.rango,$BA$4-1,_xlpm.col) +
INDEX(_xlpm.rango,$BA$4, _xlpm.col)
)</f>
        <v>#VALUE!</v>
      </c>
      <c r="AL79" s="95" t="e" cm="1" vm="1">
        <f t="array" aca="1" ref="AL79" ca="1">_xlfn.LET(
_xlpm.rango, INDIRECT("E!$C$" &amp; $BA$8 &amp; ":$DR$" &amp; $BA$9),
_xlpm.col, AL$72+$D78*10,
INDEX(_xlpm.rango,$BA$4-3,_xlpm.col) +
INDEX(_xlpm.rango,$BA$4-2,_xlpm.col) +
INDEX(_xlpm.rango,$BA$4-1,_xlpm.col) +
INDEX(_xlpm.rango,$BA$4, _xlpm.col)
)</f>
        <v>#VALUE!</v>
      </c>
      <c r="AM79" s="95" t="e" cm="1" vm="1">
        <f t="array" aca="1" ref="AM79" ca="1">_xlfn.LET(
_xlpm.rango, INDIRECT("E!$C$" &amp; $BA$8 &amp; ":$DR$" &amp; $BA$9),
_xlpm.col, AM$72+$D78*10,
INDEX(_xlpm.rango,$BA$4-3,_xlpm.col) +
INDEX(_xlpm.rango,$BA$4-2,_xlpm.col) +
INDEX(_xlpm.rango,$BA$4-1,_xlpm.col) +
INDEX(_xlpm.rango,$BA$4, _xlpm.col)
)</f>
        <v>#VALUE!</v>
      </c>
      <c r="AN79" s="95" t="e" cm="1" vm="1">
        <f t="array" aca="1" ref="AN79" ca="1">_xlfn.LET(
_xlpm.rango, INDIRECT("E!$C$" &amp; $BA$8 &amp; ":$DR$" &amp; $BA$9),
_xlpm.col, AN$72+$D78*10,
INDEX(_xlpm.rango,$BA$4-3,_xlpm.col) +
INDEX(_xlpm.rango,$BA$4-2,_xlpm.col) +
INDEX(_xlpm.rango,$BA$4-1,_xlpm.col) +
INDEX(_xlpm.rango,$BA$4, _xlpm.col)
)</f>
        <v>#VALUE!</v>
      </c>
      <c r="AO79" s="95" t="e" cm="1" vm="1">
        <f t="array" aca="1" ref="AO79" ca="1">_xlfn.LET(
_xlpm.rango, INDIRECT("E!$C$" &amp; $BA$8 &amp; ":$DR$" &amp; $BA$9),
_xlpm.col, AO$72+$D78*10,
INDEX(_xlpm.rango,$BA$4-3,_xlpm.col) +
INDEX(_xlpm.rango,$BA$4-2,_xlpm.col) +
INDEX(_xlpm.rango,$BA$4-1,_xlpm.col) +
INDEX(_xlpm.rango,$BA$4, _xlpm.col)
)</f>
        <v>#VALUE!</v>
      </c>
      <c r="AP79" s="95" t="e" cm="1" vm="1">
        <f t="array" aca="1" ref="AP79" ca="1">_xlfn.LET(
_xlpm.rango, INDIRECT("E!$C$" &amp; $BA$8 &amp; ":$DR$" &amp; $BA$9),
_xlpm.col, AP$72+$D78*10,
INDEX(_xlpm.rango,$BA$4-3,_xlpm.col) +
INDEX(_xlpm.rango,$BA$4-2,_xlpm.col) +
INDEX(_xlpm.rango,$BA$4-1,_xlpm.col) +
INDEX(_xlpm.rango,$BA$4, _xlpm.col)
)</f>
        <v>#VALUE!</v>
      </c>
      <c r="AQ79" s="95" t="e" cm="1" vm="1">
        <f t="array" aca="1" ref="AQ79" ca="1">_xlfn.LET(
_xlpm.rango, INDIRECT("E!$C$" &amp; $BA$8 &amp; ":$DR$" &amp; $BA$9),
_xlpm.col, AQ$72+$D78*10,
INDEX(_xlpm.rango,$BA$4-3,_xlpm.col) +
INDEX(_xlpm.rango,$BA$4-2,_xlpm.col) +
INDEX(_xlpm.rango,$BA$4-1,_xlpm.col) +
INDEX(_xlpm.rango,$BA$4, _xlpm.col)
)</f>
        <v>#VALUE!</v>
      </c>
      <c r="AR79" s="95" t="e" cm="1" vm="1">
        <f t="array" aca="1" ref="AR79" ca="1">_xlfn.LET(
_xlpm.rango, INDIRECT("E!$C$" &amp; $BA$8 &amp; ":$DR$" &amp; $BA$9),
_xlpm.col, AR$72+$D78*10,
INDEX(_xlpm.rango,$BA$4-3,_xlpm.col) +
INDEX(_xlpm.rango,$BA$4-2,_xlpm.col) +
INDEX(_xlpm.rango,$BA$4-1,_xlpm.col) +
INDEX(_xlpm.rango,$BA$4, _xlpm.col)
)</f>
        <v>#VALUE!</v>
      </c>
      <c r="AS79" s="112" t="e" cm="1" vm="1">
        <f t="array" aca="1" ref="AS79" ca="1">_xlfn.LET(
_xlpm.rango, INDIRECT("E!$C$" &amp; $BA$8 &amp; ":$DR$" &amp; $BA$9),
_xlpm.col, AS$72+$D78*10,
INDEX(_xlpm.rango,$BA$4-3,_xlpm.col) +
INDEX(_xlpm.rango,$BA$4-2,_xlpm.col) +
INDEX(_xlpm.rango,$BA$4-1,_xlpm.col) +
INDEX(_xlpm.rango,$BA$4, _xlpm.col)
)</f>
        <v>#VALUE!</v>
      </c>
      <c r="AT79" s="118" t="e" vm="2">
        <f t="shared" ca="1" si="0"/>
        <v>#VALUE!</v>
      </c>
      <c r="AU79" s="120" t="e" vm="2">
        <f t="shared" ca="1" si="1"/>
        <v>#VALUE!</v>
      </c>
    </row>
    <row r="80" spans="4:47" x14ac:dyDescent="0.25">
      <c r="D80">
        <v>5</v>
      </c>
      <c r="E80" s="106" t="str">
        <f>Inicio!V8</f>
        <v>Bicicleta</v>
      </c>
      <c r="F80" s="100" t="e" cm="1" vm="1">
        <f t="array" aca="1" ref="F80" ca="1">_xlfn.LET(
_xlpm.rango, INDIRECT("N!$C$" &amp; $BA$8 &amp; ":$DR$" &amp; $BA$9),
_xlpm.col, F$72+$D79*10,
INDEX(_xlpm.rango,$BA$4-3,_xlpm.col) +
INDEX(_xlpm.rango,$BA$4-2,_xlpm.col) +
INDEX(_xlpm.rango,$BA$4-1,_xlpm.col) +
INDEX(_xlpm.rango,$BA$4, _xlpm.col)
)</f>
        <v>#VALUE!</v>
      </c>
      <c r="G80" s="95" t="e" cm="1" vm="1">
        <f t="array" aca="1" ref="G80" ca="1">_xlfn.LET(
_xlpm.rango, INDIRECT("N!$C$" &amp; $BA$8 &amp; ":$DR$" &amp; $BA$9),
_xlpm.col, G$72+$D79*10,
INDEX(_xlpm.rango,$BA$4-3,_xlpm.col) +
INDEX(_xlpm.rango,$BA$4-2,_xlpm.col) +
INDEX(_xlpm.rango,$BA$4-1,_xlpm.col) +
INDEX(_xlpm.rango,$BA$4, _xlpm.col)
)</f>
        <v>#VALUE!</v>
      </c>
      <c r="H80" s="95" t="e" cm="1" vm="1">
        <f t="array" aca="1" ref="H80" ca="1">_xlfn.LET(
_xlpm.rango, INDIRECT("N!$C$" &amp; $BA$8 &amp; ":$DR$" &amp; $BA$9),
_xlpm.col, H$72+$D79*10,
INDEX(_xlpm.rango,$BA$4-3,_xlpm.col) +
INDEX(_xlpm.rango,$BA$4-2,_xlpm.col) +
INDEX(_xlpm.rango,$BA$4-1,_xlpm.col) +
INDEX(_xlpm.rango,$BA$4, _xlpm.col)
)</f>
        <v>#VALUE!</v>
      </c>
      <c r="I80" s="95" t="e" cm="1" vm="1">
        <f t="array" aca="1" ref="I80" ca="1">_xlfn.LET(
_xlpm.rango, INDIRECT("N!$C$" &amp; $BA$8 &amp; ":$DR$" &amp; $BA$9),
_xlpm.col, I$72+$D79*10,
INDEX(_xlpm.rango,$BA$4-3,_xlpm.col) +
INDEX(_xlpm.rango,$BA$4-2,_xlpm.col) +
INDEX(_xlpm.rango,$BA$4-1,_xlpm.col) +
INDEX(_xlpm.rango,$BA$4, _xlpm.col)
)</f>
        <v>#VALUE!</v>
      </c>
      <c r="J80" s="95" t="e" cm="1" vm="1">
        <f t="array" aca="1" ref="J80" ca="1">_xlfn.LET(
_xlpm.rango, INDIRECT("N!$C$" &amp; $BA$8 &amp; ":$DR$" &amp; $BA$9),
_xlpm.col, J$72+$D79*10,
INDEX(_xlpm.rango,$BA$4-3,_xlpm.col) +
INDEX(_xlpm.rango,$BA$4-2,_xlpm.col) +
INDEX(_xlpm.rango,$BA$4-1,_xlpm.col) +
INDEX(_xlpm.rango,$BA$4, _xlpm.col)
)</f>
        <v>#VALUE!</v>
      </c>
      <c r="K80" s="95" t="e" cm="1" vm="1">
        <f t="array" aca="1" ref="K80" ca="1">_xlfn.LET(
_xlpm.rango, INDIRECT("N!$C$" &amp; $BA$8 &amp; ":$DR$" &amp; $BA$9),
_xlpm.col, K$72+$D79*10,
INDEX(_xlpm.rango,$BA$4-3,_xlpm.col) +
INDEX(_xlpm.rango,$BA$4-2,_xlpm.col) +
INDEX(_xlpm.rango,$BA$4-1,_xlpm.col) +
INDEX(_xlpm.rango,$BA$4, _xlpm.col)
)</f>
        <v>#VALUE!</v>
      </c>
      <c r="L80" s="95" t="e" cm="1" vm="1">
        <f t="array" aca="1" ref="L80" ca="1">_xlfn.LET(
_xlpm.rango, INDIRECT("N!$C$" &amp; $BA$8 &amp; ":$DR$" &amp; $BA$9),
_xlpm.col, L$72+$D79*10,
INDEX(_xlpm.rango,$BA$4-3,_xlpm.col) +
INDEX(_xlpm.rango,$BA$4-2,_xlpm.col) +
INDEX(_xlpm.rango,$BA$4-1,_xlpm.col) +
INDEX(_xlpm.rango,$BA$4, _xlpm.col)
)</f>
        <v>#VALUE!</v>
      </c>
      <c r="M80" s="95" t="e" cm="1" vm="1">
        <f t="array" aca="1" ref="M80" ca="1">_xlfn.LET(
_xlpm.rango, INDIRECT("N!$C$" &amp; $BA$8 &amp; ":$DR$" &amp; $BA$9),
_xlpm.col, M$72+$D79*10,
INDEX(_xlpm.rango,$BA$4-3,_xlpm.col) +
INDEX(_xlpm.rango,$BA$4-2,_xlpm.col) +
INDEX(_xlpm.rango,$BA$4-1,_xlpm.col) +
INDEX(_xlpm.rango,$BA$4, _xlpm.col)
)</f>
        <v>#VALUE!</v>
      </c>
      <c r="N80" s="95" t="e" cm="1" vm="1">
        <f t="array" aca="1" ref="N80" ca="1">_xlfn.LET(
_xlpm.rango, INDIRECT("N!$C$" &amp; $BA$8 &amp; ":$DR$" &amp; $BA$9),
_xlpm.col, N$72+$D79*10,
INDEX(_xlpm.rango,$BA$4-3,_xlpm.col) +
INDEX(_xlpm.rango,$BA$4-2,_xlpm.col) +
INDEX(_xlpm.rango,$BA$4-1,_xlpm.col) +
INDEX(_xlpm.rango,$BA$4, _xlpm.col)
)</f>
        <v>#VALUE!</v>
      </c>
      <c r="O80" s="96" t="e" cm="1" vm="1">
        <f t="array" aca="1" ref="O80" ca="1">_xlfn.LET(
_xlpm.rango, INDIRECT("N!$C$" &amp; $BA$8 &amp; ":$DR$" &amp; $BA$9),
_xlpm.col, O$72+$D79*10,
INDEX(_xlpm.rango,$BA$4-3,_xlpm.col) +
INDEX(_xlpm.rango,$BA$4-2,_xlpm.col) +
INDEX(_xlpm.rango,$BA$4-1,_xlpm.col) +
INDEX(_xlpm.rango,$BA$4, _xlpm.col)
)</f>
        <v>#VALUE!</v>
      </c>
      <c r="P80" s="95" t="e" cm="1" vm="1">
        <f t="array" aca="1" ref="P80" ca="1">_xlfn.LET(
_xlpm.rango, INDIRECT("S!$C$" &amp; $BA$8 &amp; ":$DR$" &amp; $BA$9),
_xlpm.col, P$72+$D79*10,
INDEX(_xlpm.rango,$BA$4-3,_xlpm.col) +
INDEX(_xlpm.rango,$BA$4-2,_xlpm.col) +
INDEX(_xlpm.rango,$BA$4-1,_xlpm.col) +
INDEX(_xlpm.rango,$BA$4, _xlpm.col)
)</f>
        <v>#VALUE!</v>
      </c>
      <c r="Q80" s="95" t="e" cm="1" vm="1">
        <f t="array" aca="1" ref="Q80" ca="1">_xlfn.LET(
_xlpm.rango, INDIRECT("S!$C$" &amp; $BA$8 &amp; ":$DR$" &amp; $BA$9),
_xlpm.col, Q$72+$D79*10,
INDEX(_xlpm.rango,$BA$4-3,_xlpm.col) +
INDEX(_xlpm.rango,$BA$4-2,_xlpm.col) +
INDEX(_xlpm.rango,$BA$4-1,_xlpm.col) +
INDEX(_xlpm.rango,$BA$4, _xlpm.col)
)</f>
        <v>#VALUE!</v>
      </c>
      <c r="R80" s="95" t="e" cm="1" vm="1">
        <f t="array" aca="1" ref="R80" ca="1">_xlfn.LET(
_xlpm.rango, INDIRECT("S!$C$" &amp; $BA$8 &amp; ":$DR$" &amp; $BA$9),
_xlpm.col, R$72+$D79*10,
INDEX(_xlpm.rango,$BA$4-3,_xlpm.col) +
INDEX(_xlpm.rango,$BA$4-2,_xlpm.col) +
INDEX(_xlpm.rango,$BA$4-1,_xlpm.col) +
INDEX(_xlpm.rango,$BA$4, _xlpm.col)
)</f>
        <v>#VALUE!</v>
      </c>
      <c r="S80" s="95" t="e" cm="1" vm="1">
        <f t="array" aca="1" ref="S80" ca="1">_xlfn.LET(
_xlpm.rango, INDIRECT("S!$C$" &amp; $BA$8 &amp; ":$DR$" &amp; $BA$9),
_xlpm.col, S$72+$D79*10,
INDEX(_xlpm.rango,$BA$4-3,_xlpm.col) +
INDEX(_xlpm.rango,$BA$4-2,_xlpm.col) +
INDEX(_xlpm.rango,$BA$4-1,_xlpm.col) +
INDEX(_xlpm.rango,$BA$4, _xlpm.col)
)</f>
        <v>#VALUE!</v>
      </c>
      <c r="T80" s="95" t="e" cm="1" vm="1">
        <f t="array" aca="1" ref="T80" ca="1">_xlfn.LET(
_xlpm.rango, INDIRECT("S!$C$" &amp; $BA$8 &amp; ":$DR$" &amp; $BA$9),
_xlpm.col, T$72+$D79*10,
INDEX(_xlpm.rango,$BA$4-3,_xlpm.col) +
INDEX(_xlpm.rango,$BA$4-2,_xlpm.col) +
INDEX(_xlpm.rango,$BA$4-1,_xlpm.col) +
INDEX(_xlpm.rango,$BA$4, _xlpm.col)
)</f>
        <v>#VALUE!</v>
      </c>
      <c r="U80" s="95" t="e" cm="1" vm="1">
        <f t="array" aca="1" ref="U80" ca="1">_xlfn.LET(
_xlpm.rango, INDIRECT("S!$C$" &amp; $BA$8 &amp; ":$DR$" &amp; $BA$9),
_xlpm.col, U$72+$D79*10,
INDEX(_xlpm.rango,$BA$4-3,_xlpm.col) +
INDEX(_xlpm.rango,$BA$4-2,_xlpm.col) +
INDEX(_xlpm.rango,$BA$4-1,_xlpm.col) +
INDEX(_xlpm.rango,$BA$4, _xlpm.col)
)</f>
        <v>#VALUE!</v>
      </c>
      <c r="V80" s="95" t="e" cm="1" vm="1">
        <f t="array" aca="1" ref="V80" ca="1">_xlfn.LET(
_xlpm.rango, INDIRECT("S!$C$" &amp; $BA$8 &amp; ":$DR$" &amp; $BA$9),
_xlpm.col, V$72+$D79*10,
INDEX(_xlpm.rango,$BA$4-3,_xlpm.col) +
INDEX(_xlpm.rango,$BA$4-2,_xlpm.col) +
INDEX(_xlpm.rango,$BA$4-1,_xlpm.col) +
INDEX(_xlpm.rango,$BA$4, _xlpm.col)
)</f>
        <v>#VALUE!</v>
      </c>
      <c r="W80" s="95" t="e" cm="1" vm="1">
        <f t="array" aca="1" ref="W80" ca="1">_xlfn.LET(
_xlpm.rango, INDIRECT("S!$C$" &amp; $BA$8 &amp; ":$DR$" &amp; $BA$9),
_xlpm.col, W$72+$D79*10,
INDEX(_xlpm.rango,$BA$4-3,_xlpm.col) +
INDEX(_xlpm.rango,$BA$4-2,_xlpm.col) +
INDEX(_xlpm.rango,$BA$4-1,_xlpm.col) +
INDEX(_xlpm.rango,$BA$4, _xlpm.col)
)</f>
        <v>#VALUE!</v>
      </c>
      <c r="X80" s="95" t="e" cm="1" vm="1">
        <f t="array" aca="1" ref="X80" ca="1">_xlfn.LET(
_xlpm.rango, INDIRECT("S!$C$" &amp; $BA$8 &amp; ":$DR$" &amp; $BA$9),
_xlpm.col, X$72+$D79*10,
INDEX(_xlpm.rango,$BA$4-3,_xlpm.col) +
INDEX(_xlpm.rango,$BA$4-2,_xlpm.col) +
INDEX(_xlpm.rango,$BA$4-1,_xlpm.col) +
INDEX(_xlpm.rango,$BA$4, _xlpm.col)
)</f>
        <v>#VALUE!</v>
      </c>
      <c r="Y80" s="95" t="e" cm="1" vm="1">
        <f t="array" aca="1" ref="Y80" ca="1">_xlfn.LET(
_xlpm.rango, INDIRECT("S!$C$" &amp; $BA$8 &amp; ":$DR$" &amp; $BA$9),
_xlpm.col, Y$72+$D79*10,
INDEX(_xlpm.rango,$BA$4-3,_xlpm.col) +
INDEX(_xlpm.rango,$BA$4-2,_xlpm.col) +
INDEX(_xlpm.rango,$BA$4-1,_xlpm.col) +
INDEX(_xlpm.rango,$BA$4, _xlpm.col)
)</f>
        <v>#VALUE!</v>
      </c>
      <c r="Z80" s="100" t="e" cm="1" vm="1">
        <f t="array" aca="1" ref="Z80" ca="1">_xlfn.LET(
_xlpm.rango, INDIRECT("E!$C$" &amp; $BA$8 &amp; ":$DR$" &amp; $BA$9),
_xlpm.col, Z$72+$D79*10,
INDEX(_xlpm.rango,$BA$4-3,_xlpm.col) +
INDEX(_xlpm.rango,$BA$4-2,_xlpm.col) +
INDEX(_xlpm.rango,$BA$4-1,_xlpm.col) +
INDEX(_xlpm.rango,$BA$4, _xlpm.col)
)</f>
        <v>#VALUE!</v>
      </c>
      <c r="AA80" s="95" t="e" cm="1" vm="1">
        <f t="array" aca="1" ref="AA80" ca="1">_xlfn.LET(
_xlpm.rango, INDIRECT("E!$C$" &amp; $BA$8 &amp; ":$DR$" &amp; $BA$9),
_xlpm.col, AA$72+$D79*10,
INDEX(_xlpm.rango,$BA$4-3,_xlpm.col) +
INDEX(_xlpm.rango,$BA$4-2,_xlpm.col) +
INDEX(_xlpm.rango,$BA$4-1,_xlpm.col) +
INDEX(_xlpm.rango,$BA$4, _xlpm.col)
)</f>
        <v>#VALUE!</v>
      </c>
      <c r="AB80" s="95" t="e" cm="1" vm="1">
        <f t="array" aca="1" ref="AB80" ca="1">_xlfn.LET(
_xlpm.rango, INDIRECT("E!$C$" &amp; $BA$8 &amp; ":$DR$" &amp; $BA$9),
_xlpm.col, AB$72+$D79*10,
INDEX(_xlpm.rango,$BA$4-3,_xlpm.col) +
INDEX(_xlpm.rango,$BA$4-2,_xlpm.col) +
INDEX(_xlpm.rango,$BA$4-1,_xlpm.col) +
INDEX(_xlpm.rango,$BA$4, _xlpm.col)
)</f>
        <v>#VALUE!</v>
      </c>
      <c r="AC80" s="95" t="e" cm="1" vm="1">
        <f t="array" aca="1" ref="AC80" ca="1">_xlfn.LET(
_xlpm.rango, INDIRECT("E!$C$" &amp; $BA$8 &amp; ":$DR$" &amp; $BA$9),
_xlpm.col, AC$72+$D79*10,
INDEX(_xlpm.rango,$BA$4-3,_xlpm.col) +
INDEX(_xlpm.rango,$BA$4-2,_xlpm.col) +
INDEX(_xlpm.rango,$BA$4-1,_xlpm.col) +
INDEX(_xlpm.rango,$BA$4, _xlpm.col)
)</f>
        <v>#VALUE!</v>
      </c>
      <c r="AD80" s="95" t="e" cm="1" vm="1">
        <f t="array" aca="1" ref="AD80" ca="1">_xlfn.LET(
_xlpm.rango, INDIRECT("E!$C$" &amp; $BA$8 &amp; ":$DR$" &amp; $BA$9),
_xlpm.col, AD$72+$D79*10,
INDEX(_xlpm.rango,$BA$4-3,_xlpm.col) +
INDEX(_xlpm.rango,$BA$4-2,_xlpm.col) +
INDEX(_xlpm.rango,$BA$4-1,_xlpm.col) +
INDEX(_xlpm.rango,$BA$4, _xlpm.col)
)</f>
        <v>#VALUE!</v>
      </c>
      <c r="AE80" s="95" t="e" cm="1" vm="1">
        <f t="array" aca="1" ref="AE80" ca="1">_xlfn.LET(
_xlpm.rango, INDIRECT("E!$C$" &amp; $BA$8 &amp; ":$DR$" &amp; $BA$9),
_xlpm.col, AE$72+$D79*10,
INDEX(_xlpm.rango,$BA$4-3,_xlpm.col) +
INDEX(_xlpm.rango,$BA$4-2,_xlpm.col) +
INDEX(_xlpm.rango,$BA$4-1,_xlpm.col) +
INDEX(_xlpm.rango,$BA$4, _xlpm.col)
)</f>
        <v>#VALUE!</v>
      </c>
      <c r="AF80" s="95" t="e" cm="1" vm="1">
        <f t="array" aca="1" ref="AF80" ca="1">_xlfn.LET(
_xlpm.rango, INDIRECT("E!$C$" &amp; $BA$8 &amp; ":$DR$" &amp; $BA$9),
_xlpm.col, AF$72+$D79*10,
INDEX(_xlpm.rango,$BA$4-3,_xlpm.col) +
INDEX(_xlpm.rango,$BA$4-2,_xlpm.col) +
INDEX(_xlpm.rango,$BA$4-1,_xlpm.col) +
INDEX(_xlpm.rango,$BA$4, _xlpm.col)
)</f>
        <v>#VALUE!</v>
      </c>
      <c r="AG80" s="95" t="e" cm="1" vm="1">
        <f t="array" aca="1" ref="AG80" ca="1">_xlfn.LET(
_xlpm.rango, INDIRECT("E!$C$" &amp; $BA$8 &amp; ":$DR$" &amp; $BA$9),
_xlpm.col, AG$72+$D79*10,
INDEX(_xlpm.rango,$BA$4-3,_xlpm.col) +
INDEX(_xlpm.rango,$BA$4-2,_xlpm.col) +
INDEX(_xlpm.rango,$BA$4-1,_xlpm.col) +
INDEX(_xlpm.rango,$BA$4, _xlpm.col)
)</f>
        <v>#VALUE!</v>
      </c>
      <c r="AH80" s="95" t="e" cm="1" vm="1">
        <f t="array" aca="1" ref="AH80" ca="1">_xlfn.LET(
_xlpm.rango, INDIRECT("E!$C$" &amp; $BA$8 &amp; ":$DR$" &amp; $BA$9),
_xlpm.col, AH$72+$D79*10,
INDEX(_xlpm.rango,$BA$4-3,_xlpm.col) +
INDEX(_xlpm.rango,$BA$4-2,_xlpm.col) +
INDEX(_xlpm.rango,$BA$4-1,_xlpm.col) +
INDEX(_xlpm.rango,$BA$4, _xlpm.col)
)</f>
        <v>#VALUE!</v>
      </c>
      <c r="AI80" s="96" t="e" cm="1" vm="1">
        <f t="array" aca="1" ref="AI80" ca="1">_xlfn.LET(
_xlpm.rango, INDIRECT("E!$C$" &amp; $BA$8 &amp; ":$DR$" &amp; $BA$9),
_xlpm.col, AI$72+$D79*10,
INDEX(_xlpm.rango,$BA$4-3,_xlpm.col) +
INDEX(_xlpm.rango,$BA$4-2,_xlpm.col) +
INDEX(_xlpm.rango,$BA$4-1,_xlpm.col) +
INDEX(_xlpm.rango,$BA$4, _xlpm.col)
)</f>
        <v>#VALUE!</v>
      </c>
      <c r="AJ80" s="95" t="e" cm="1" vm="1">
        <f t="array" aca="1" ref="AJ80" ca="1">_xlfn.LET(
_xlpm.rango, INDIRECT("E!$C$" &amp; $BA$8 &amp; ":$DR$" &amp; $BA$9),
_xlpm.col, AJ$72+$D79*10,
INDEX(_xlpm.rango,$BA$4-3,_xlpm.col) +
INDEX(_xlpm.rango,$BA$4-2,_xlpm.col) +
INDEX(_xlpm.rango,$BA$4-1,_xlpm.col) +
INDEX(_xlpm.rango,$BA$4, _xlpm.col)
)</f>
        <v>#VALUE!</v>
      </c>
      <c r="AK80" s="95" t="e" cm="1" vm="1">
        <f t="array" aca="1" ref="AK80" ca="1">_xlfn.LET(
_xlpm.rango, INDIRECT("E!$C$" &amp; $BA$8 &amp; ":$DR$" &amp; $BA$9),
_xlpm.col, AK$72+$D79*10,
INDEX(_xlpm.rango,$BA$4-3,_xlpm.col) +
INDEX(_xlpm.rango,$BA$4-2,_xlpm.col) +
INDEX(_xlpm.rango,$BA$4-1,_xlpm.col) +
INDEX(_xlpm.rango,$BA$4, _xlpm.col)
)</f>
        <v>#VALUE!</v>
      </c>
      <c r="AL80" s="95" t="e" cm="1" vm="1">
        <f t="array" aca="1" ref="AL80" ca="1">_xlfn.LET(
_xlpm.rango, INDIRECT("E!$C$" &amp; $BA$8 &amp; ":$DR$" &amp; $BA$9),
_xlpm.col, AL$72+$D79*10,
INDEX(_xlpm.rango,$BA$4-3,_xlpm.col) +
INDEX(_xlpm.rango,$BA$4-2,_xlpm.col) +
INDEX(_xlpm.rango,$BA$4-1,_xlpm.col) +
INDEX(_xlpm.rango,$BA$4, _xlpm.col)
)</f>
        <v>#VALUE!</v>
      </c>
      <c r="AM80" s="95" t="e" cm="1" vm="1">
        <f t="array" aca="1" ref="AM80" ca="1">_xlfn.LET(
_xlpm.rango, INDIRECT("E!$C$" &amp; $BA$8 &amp; ":$DR$" &amp; $BA$9),
_xlpm.col, AM$72+$D79*10,
INDEX(_xlpm.rango,$BA$4-3,_xlpm.col) +
INDEX(_xlpm.rango,$BA$4-2,_xlpm.col) +
INDEX(_xlpm.rango,$BA$4-1,_xlpm.col) +
INDEX(_xlpm.rango,$BA$4, _xlpm.col)
)</f>
        <v>#VALUE!</v>
      </c>
      <c r="AN80" s="95" t="e" cm="1" vm="1">
        <f t="array" aca="1" ref="AN80" ca="1">_xlfn.LET(
_xlpm.rango, INDIRECT("E!$C$" &amp; $BA$8 &amp; ":$DR$" &amp; $BA$9),
_xlpm.col, AN$72+$D79*10,
INDEX(_xlpm.rango,$BA$4-3,_xlpm.col) +
INDEX(_xlpm.rango,$BA$4-2,_xlpm.col) +
INDEX(_xlpm.rango,$BA$4-1,_xlpm.col) +
INDEX(_xlpm.rango,$BA$4, _xlpm.col)
)</f>
        <v>#VALUE!</v>
      </c>
      <c r="AO80" s="95" t="e" cm="1" vm="1">
        <f t="array" aca="1" ref="AO80" ca="1">_xlfn.LET(
_xlpm.rango, INDIRECT("E!$C$" &amp; $BA$8 &amp; ":$DR$" &amp; $BA$9),
_xlpm.col, AO$72+$D79*10,
INDEX(_xlpm.rango,$BA$4-3,_xlpm.col) +
INDEX(_xlpm.rango,$BA$4-2,_xlpm.col) +
INDEX(_xlpm.rango,$BA$4-1,_xlpm.col) +
INDEX(_xlpm.rango,$BA$4, _xlpm.col)
)</f>
        <v>#VALUE!</v>
      </c>
      <c r="AP80" s="95" t="e" cm="1" vm="1">
        <f t="array" aca="1" ref="AP80" ca="1">_xlfn.LET(
_xlpm.rango, INDIRECT("E!$C$" &amp; $BA$8 &amp; ":$DR$" &amp; $BA$9),
_xlpm.col, AP$72+$D79*10,
INDEX(_xlpm.rango,$BA$4-3,_xlpm.col) +
INDEX(_xlpm.rango,$BA$4-2,_xlpm.col) +
INDEX(_xlpm.rango,$BA$4-1,_xlpm.col) +
INDEX(_xlpm.rango,$BA$4, _xlpm.col)
)</f>
        <v>#VALUE!</v>
      </c>
      <c r="AQ80" s="95" t="e" cm="1" vm="1">
        <f t="array" aca="1" ref="AQ80" ca="1">_xlfn.LET(
_xlpm.rango, INDIRECT("E!$C$" &amp; $BA$8 &amp; ":$DR$" &amp; $BA$9),
_xlpm.col, AQ$72+$D79*10,
INDEX(_xlpm.rango,$BA$4-3,_xlpm.col) +
INDEX(_xlpm.rango,$BA$4-2,_xlpm.col) +
INDEX(_xlpm.rango,$BA$4-1,_xlpm.col) +
INDEX(_xlpm.rango,$BA$4, _xlpm.col)
)</f>
        <v>#VALUE!</v>
      </c>
      <c r="AR80" s="95" t="e" cm="1" vm="1">
        <f t="array" aca="1" ref="AR80" ca="1">_xlfn.LET(
_xlpm.rango, INDIRECT("E!$C$" &amp; $BA$8 &amp; ":$DR$" &amp; $BA$9),
_xlpm.col, AR$72+$D79*10,
INDEX(_xlpm.rango,$BA$4-3,_xlpm.col) +
INDEX(_xlpm.rango,$BA$4-2,_xlpm.col) +
INDEX(_xlpm.rango,$BA$4-1,_xlpm.col) +
INDEX(_xlpm.rango,$BA$4, _xlpm.col)
)</f>
        <v>#VALUE!</v>
      </c>
      <c r="AS80" s="112" t="e" cm="1" vm="1">
        <f t="array" aca="1" ref="AS80" ca="1">_xlfn.LET(
_xlpm.rango, INDIRECT("E!$C$" &amp; $BA$8 &amp; ":$DR$" &amp; $BA$9),
_xlpm.col, AS$72+$D79*10,
INDEX(_xlpm.rango,$BA$4-3,_xlpm.col) +
INDEX(_xlpm.rango,$BA$4-2,_xlpm.col) +
INDEX(_xlpm.rango,$BA$4-1,_xlpm.col) +
INDEX(_xlpm.rango,$BA$4, _xlpm.col)
)</f>
        <v>#VALUE!</v>
      </c>
      <c r="AT80" s="118" t="e" vm="2">
        <f t="shared" ca="1" si="0"/>
        <v>#VALUE!</v>
      </c>
      <c r="AU80" s="120" t="e" vm="2">
        <f t="shared" ca="1" si="1"/>
        <v>#VALUE!</v>
      </c>
    </row>
    <row r="81" spans="4:47" x14ac:dyDescent="0.25">
      <c r="D81">
        <v>6</v>
      </c>
      <c r="E81" s="106" t="str">
        <f>Inicio!V9</f>
        <v>Taxi</v>
      </c>
      <c r="F81" s="100" t="e" cm="1" vm="1">
        <f t="array" aca="1" ref="F81" ca="1">_xlfn.LET(
_xlpm.rango, INDIRECT("N!$C$" &amp; $BA$8 &amp; ":$DR$" &amp; $BA$9),
_xlpm.col, F$72+$D80*10,
INDEX(_xlpm.rango,$BA$4-3,_xlpm.col) +
INDEX(_xlpm.rango,$BA$4-2,_xlpm.col) +
INDEX(_xlpm.rango,$BA$4-1,_xlpm.col) +
INDEX(_xlpm.rango,$BA$4, _xlpm.col)
)</f>
        <v>#VALUE!</v>
      </c>
      <c r="G81" s="95" t="e" cm="1" vm="1">
        <f t="array" aca="1" ref="G81" ca="1">_xlfn.LET(
_xlpm.rango, INDIRECT("N!$C$" &amp; $BA$8 &amp; ":$DR$" &amp; $BA$9),
_xlpm.col, G$72+$D80*10,
INDEX(_xlpm.rango,$BA$4-3,_xlpm.col) +
INDEX(_xlpm.rango,$BA$4-2,_xlpm.col) +
INDEX(_xlpm.rango,$BA$4-1,_xlpm.col) +
INDEX(_xlpm.rango,$BA$4, _xlpm.col)
)</f>
        <v>#VALUE!</v>
      </c>
      <c r="H81" s="95" t="e" cm="1" vm="1">
        <f t="array" aca="1" ref="H81" ca="1">_xlfn.LET(
_xlpm.rango, INDIRECT("N!$C$" &amp; $BA$8 &amp; ":$DR$" &amp; $BA$9),
_xlpm.col, H$72+$D80*10,
INDEX(_xlpm.rango,$BA$4-3,_xlpm.col) +
INDEX(_xlpm.rango,$BA$4-2,_xlpm.col) +
INDEX(_xlpm.rango,$BA$4-1,_xlpm.col) +
INDEX(_xlpm.rango,$BA$4, _xlpm.col)
)</f>
        <v>#VALUE!</v>
      </c>
      <c r="I81" s="95" t="e" cm="1" vm="1">
        <f t="array" aca="1" ref="I81" ca="1">_xlfn.LET(
_xlpm.rango, INDIRECT("N!$C$" &amp; $BA$8 &amp; ":$DR$" &amp; $BA$9),
_xlpm.col, I$72+$D80*10,
INDEX(_xlpm.rango,$BA$4-3,_xlpm.col) +
INDEX(_xlpm.rango,$BA$4-2,_xlpm.col) +
INDEX(_xlpm.rango,$BA$4-1,_xlpm.col) +
INDEX(_xlpm.rango,$BA$4, _xlpm.col)
)</f>
        <v>#VALUE!</v>
      </c>
      <c r="J81" s="95" t="e" cm="1" vm="1">
        <f t="array" aca="1" ref="J81" ca="1">_xlfn.LET(
_xlpm.rango, INDIRECT("N!$C$" &amp; $BA$8 &amp; ":$DR$" &amp; $BA$9),
_xlpm.col, J$72+$D80*10,
INDEX(_xlpm.rango,$BA$4-3,_xlpm.col) +
INDEX(_xlpm.rango,$BA$4-2,_xlpm.col) +
INDEX(_xlpm.rango,$BA$4-1,_xlpm.col) +
INDEX(_xlpm.rango,$BA$4, _xlpm.col)
)</f>
        <v>#VALUE!</v>
      </c>
      <c r="K81" s="95" t="e" cm="1" vm="1">
        <f t="array" aca="1" ref="K81" ca="1">_xlfn.LET(
_xlpm.rango, INDIRECT("N!$C$" &amp; $BA$8 &amp; ":$DR$" &amp; $BA$9),
_xlpm.col, K$72+$D80*10,
INDEX(_xlpm.rango,$BA$4-3,_xlpm.col) +
INDEX(_xlpm.rango,$BA$4-2,_xlpm.col) +
INDEX(_xlpm.rango,$BA$4-1,_xlpm.col) +
INDEX(_xlpm.rango,$BA$4, _xlpm.col)
)</f>
        <v>#VALUE!</v>
      </c>
      <c r="L81" s="95" t="e" cm="1" vm="1">
        <f t="array" aca="1" ref="L81" ca="1">_xlfn.LET(
_xlpm.rango, INDIRECT("N!$C$" &amp; $BA$8 &amp; ":$DR$" &amp; $BA$9),
_xlpm.col, L$72+$D80*10,
INDEX(_xlpm.rango,$BA$4-3,_xlpm.col) +
INDEX(_xlpm.rango,$BA$4-2,_xlpm.col) +
INDEX(_xlpm.rango,$BA$4-1,_xlpm.col) +
INDEX(_xlpm.rango,$BA$4, _xlpm.col)
)</f>
        <v>#VALUE!</v>
      </c>
      <c r="M81" s="95" t="e" cm="1" vm="1">
        <f t="array" aca="1" ref="M81" ca="1">_xlfn.LET(
_xlpm.rango, INDIRECT("N!$C$" &amp; $BA$8 &amp; ":$DR$" &amp; $BA$9),
_xlpm.col, M$72+$D80*10,
INDEX(_xlpm.rango,$BA$4-3,_xlpm.col) +
INDEX(_xlpm.rango,$BA$4-2,_xlpm.col) +
INDEX(_xlpm.rango,$BA$4-1,_xlpm.col) +
INDEX(_xlpm.rango,$BA$4, _xlpm.col)
)</f>
        <v>#VALUE!</v>
      </c>
      <c r="N81" s="95" t="e" cm="1" vm="1">
        <f t="array" aca="1" ref="N81" ca="1">_xlfn.LET(
_xlpm.rango, INDIRECT("N!$C$" &amp; $BA$8 &amp; ":$DR$" &amp; $BA$9),
_xlpm.col, N$72+$D80*10,
INDEX(_xlpm.rango,$BA$4-3,_xlpm.col) +
INDEX(_xlpm.rango,$BA$4-2,_xlpm.col) +
INDEX(_xlpm.rango,$BA$4-1,_xlpm.col) +
INDEX(_xlpm.rango,$BA$4, _xlpm.col)
)</f>
        <v>#VALUE!</v>
      </c>
      <c r="O81" s="96" t="e" cm="1" vm="1">
        <f t="array" aca="1" ref="O81" ca="1">_xlfn.LET(
_xlpm.rango, INDIRECT("N!$C$" &amp; $BA$8 &amp; ":$DR$" &amp; $BA$9),
_xlpm.col, O$72+$D80*10,
INDEX(_xlpm.rango,$BA$4-3,_xlpm.col) +
INDEX(_xlpm.rango,$BA$4-2,_xlpm.col) +
INDEX(_xlpm.rango,$BA$4-1,_xlpm.col) +
INDEX(_xlpm.rango,$BA$4, _xlpm.col)
)</f>
        <v>#VALUE!</v>
      </c>
      <c r="P81" s="95" t="e" cm="1" vm="1">
        <f t="array" aca="1" ref="P81" ca="1">_xlfn.LET(
_xlpm.rango, INDIRECT("S!$C$" &amp; $BA$8 &amp; ":$DR$" &amp; $BA$9),
_xlpm.col, P$72+$D80*10,
INDEX(_xlpm.rango,$BA$4-3,_xlpm.col) +
INDEX(_xlpm.rango,$BA$4-2,_xlpm.col) +
INDEX(_xlpm.rango,$BA$4-1,_xlpm.col) +
INDEX(_xlpm.rango,$BA$4, _xlpm.col)
)</f>
        <v>#VALUE!</v>
      </c>
      <c r="Q81" s="95" t="e" cm="1" vm="1">
        <f t="array" aca="1" ref="Q81" ca="1">_xlfn.LET(
_xlpm.rango, INDIRECT("S!$C$" &amp; $BA$8 &amp; ":$DR$" &amp; $BA$9),
_xlpm.col, Q$72+$D80*10,
INDEX(_xlpm.rango,$BA$4-3,_xlpm.col) +
INDEX(_xlpm.rango,$BA$4-2,_xlpm.col) +
INDEX(_xlpm.rango,$BA$4-1,_xlpm.col) +
INDEX(_xlpm.rango,$BA$4, _xlpm.col)
)</f>
        <v>#VALUE!</v>
      </c>
      <c r="R81" s="95" t="e" cm="1" vm="1">
        <f t="array" aca="1" ref="R81" ca="1">_xlfn.LET(
_xlpm.rango, INDIRECT("S!$C$" &amp; $BA$8 &amp; ":$DR$" &amp; $BA$9),
_xlpm.col, R$72+$D80*10,
INDEX(_xlpm.rango,$BA$4-3,_xlpm.col) +
INDEX(_xlpm.rango,$BA$4-2,_xlpm.col) +
INDEX(_xlpm.rango,$BA$4-1,_xlpm.col) +
INDEX(_xlpm.rango,$BA$4, _xlpm.col)
)</f>
        <v>#VALUE!</v>
      </c>
      <c r="S81" s="95" t="e" cm="1" vm="1">
        <f t="array" aca="1" ref="S81" ca="1">_xlfn.LET(
_xlpm.rango, INDIRECT("S!$C$" &amp; $BA$8 &amp; ":$DR$" &amp; $BA$9),
_xlpm.col, S$72+$D80*10,
INDEX(_xlpm.rango,$BA$4-3,_xlpm.col) +
INDEX(_xlpm.rango,$BA$4-2,_xlpm.col) +
INDEX(_xlpm.rango,$BA$4-1,_xlpm.col) +
INDEX(_xlpm.rango,$BA$4, _xlpm.col)
)</f>
        <v>#VALUE!</v>
      </c>
      <c r="T81" s="95" t="e" cm="1" vm="1">
        <f t="array" aca="1" ref="T81" ca="1">_xlfn.LET(
_xlpm.rango, INDIRECT("S!$C$" &amp; $BA$8 &amp; ":$DR$" &amp; $BA$9),
_xlpm.col, T$72+$D80*10,
INDEX(_xlpm.rango,$BA$4-3,_xlpm.col) +
INDEX(_xlpm.rango,$BA$4-2,_xlpm.col) +
INDEX(_xlpm.rango,$BA$4-1,_xlpm.col) +
INDEX(_xlpm.rango,$BA$4, _xlpm.col)
)</f>
        <v>#VALUE!</v>
      </c>
      <c r="U81" s="95" t="e" cm="1" vm="1">
        <f t="array" aca="1" ref="U81" ca="1">_xlfn.LET(
_xlpm.rango, INDIRECT("S!$C$" &amp; $BA$8 &amp; ":$DR$" &amp; $BA$9),
_xlpm.col, U$72+$D80*10,
INDEX(_xlpm.rango,$BA$4-3,_xlpm.col) +
INDEX(_xlpm.rango,$BA$4-2,_xlpm.col) +
INDEX(_xlpm.rango,$BA$4-1,_xlpm.col) +
INDEX(_xlpm.rango,$BA$4, _xlpm.col)
)</f>
        <v>#VALUE!</v>
      </c>
      <c r="V81" s="95" t="e" cm="1" vm="1">
        <f t="array" aca="1" ref="V81" ca="1">_xlfn.LET(
_xlpm.rango, INDIRECT("S!$C$" &amp; $BA$8 &amp; ":$DR$" &amp; $BA$9),
_xlpm.col, V$72+$D80*10,
INDEX(_xlpm.rango,$BA$4-3,_xlpm.col) +
INDEX(_xlpm.rango,$BA$4-2,_xlpm.col) +
INDEX(_xlpm.rango,$BA$4-1,_xlpm.col) +
INDEX(_xlpm.rango,$BA$4, _xlpm.col)
)</f>
        <v>#VALUE!</v>
      </c>
      <c r="W81" s="95" t="e" cm="1" vm="1">
        <f t="array" aca="1" ref="W81" ca="1">_xlfn.LET(
_xlpm.rango, INDIRECT("S!$C$" &amp; $BA$8 &amp; ":$DR$" &amp; $BA$9),
_xlpm.col, W$72+$D80*10,
INDEX(_xlpm.rango,$BA$4-3,_xlpm.col) +
INDEX(_xlpm.rango,$BA$4-2,_xlpm.col) +
INDEX(_xlpm.rango,$BA$4-1,_xlpm.col) +
INDEX(_xlpm.rango,$BA$4, _xlpm.col)
)</f>
        <v>#VALUE!</v>
      </c>
      <c r="X81" s="95" t="e" cm="1" vm="1">
        <f t="array" aca="1" ref="X81" ca="1">_xlfn.LET(
_xlpm.rango, INDIRECT("S!$C$" &amp; $BA$8 &amp; ":$DR$" &amp; $BA$9),
_xlpm.col, X$72+$D80*10,
INDEX(_xlpm.rango,$BA$4-3,_xlpm.col) +
INDEX(_xlpm.rango,$BA$4-2,_xlpm.col) +
INDEX(_xlpm.rango,$BA$4-1,_xlpm.col) +
INDEX(_xlpm.rango,$BA$4, _xlpm.col)
)</f>
        <v>#VALUE!</v>
      </c>
      <c r="Y81" s="95" t="e" cm="1" vm="1">
        <f t="array" aca="1" ref="Y81" ca="1">_xlfn.LET(
_xlpm.rango, INDIRECT("S!$C$" &amp; $BA$8 &amp; ":$DR$" &amp; $BA$9),
_xlpm.col, Y$72+$D80*10,
INDEX(_xlpm.rango,$BA$4-3,_xlpm.col) +
INDEX(_xlpm.rango,$BA$4-2,_xlpm.col) +
INDEX(_xlpm.rango,$BA$4-1,_xlpm.col) +
INDEX(_xlpm.rango,$BA$4, _xlpm.col)
)</f>
        <v>#VALUE!</v>
      </c>
      <c r="Z81" s="100" t="e" cm="1" vm="1">
        <f t="array" aca="1" ref="Z81" ca="1">_xlfn.LET(
_xlpm.rango, INDIRECT("E!$C$" &amp; $BA$8 &amp; ":$DR$" &amp; $BA$9),
_xlpm.col, Z$72+$D80*10,
INDEX(_xlpm.rango,$BA$4-3,_xlpm.col) +
INDEX(_xlpm.rango,$BA$4-2,_xlpm.col) +
INDEX(_xlpm.rango,$BA$4-1,_xlpm.col) +
INDEX(_xlpm.rango,$BA$4, _xlpm.col)
)</f>
        <v>#VALUE!</v>
      </c>
      <c r="AA81" s="95" t="e" cm="1" vm="1">
        <f t="array" aca="1" ref="AA81" ca="1">_xlfn.LET(
_xlpm.rango, INDIRECT("E!$C$" &amp; $BA$8 &amp; ":$DR$" &amp; $BA$9),
_xlpm.col, AA$72+$D80*10,
INDEX(_xlpm.rango,$BA$4-3,_xlpm.col) +
INDEX(_xlpm.rango,$BA$4-2,_xlpm.col) +
INDEX(_xlpm.rango,$BA$4-1,_xlpm.col) +
INDEX(_xlpm.rango,$BA$4, _xlpm.col)
)</f>
        <v>#VALUE!</v>
      </c>
      <c r="AB81" s="95" t="e" cm="1" vm="1">
        <f t="array" aca="1" ref="AB81" ca="1">_xlfn.LET(
_xlpm.rango, INDIRECT("E!$C$" &amp; $BA$8 &amp; ":$DR$" &amp; $BA$9),
_xlpm.col, AB$72+$D80*10,
INDEX(_xlpm.rango,$BA$4-3,_xlpm.col) +
INDEX(_xlpm.rango,$BA$4-2,_xlpm.col) +
INDEX(_xlpm.rango,$BA$4-1,_xlpm.col) +
INDEX(_xlpm.rango,$BA$4, _xlpm.col)
)</f>
        <v>#VALUE!</v>
      </c>
      <c r="AC81" s="95" t="e" cm="1" vm="1">
        <f t="array" aca="1" ref="AC81" ca="1">_xlfn.LET(
_xlpm.rango, INDIRECT("E!$C$" &amp; $BA$8 &amp; ":$DR$" &amp; $BA$9),
_xlpm.col, AC$72+$D80*10,
INDEX(_xlpm.rango,$BA$4-3,_xlpm.col) +
INDEX(_xlpm.rango,$BA$4-2,_xlpm.col) +
INDEX(_xlpm.rango,$BA$4-1,_xlpm.col) +
INDEX(_xlpm.rango,$BA$4, _xlpm.col)
)</f>
        <v>#VALUE!</v>
      </c>
      <c r="AD81" s="95" t="e" cm="1" vm="1">
        <f t="array" aca="1" ref="AD81" ca="1">_xlfn.LET(
_xlpm.rango, INDIRECT("E!$C$" &amp; $BA$8 &amp; ":$DR$" &amp; $BA$9),
_xlpm.col, AD$72+$D80*10,
INDEX(_xlpm.rango,$BA$4-3,_xlpm.col) +
INDEX(_xlpm.rango,$BA$4-2,_xlpm.col) +
INDEX(_xlpm.rango,$BA$4-1,_xlpm.col) +
INDEX(_xlpm.rango,$BA$4, _xlpm.col)
)</f>
        <v>#VALUE!</v>
      </c>
      <c r="AE81" s="95" t="e" cm="1" vm="1">
        <f t="array" aca="1" ref="AE81" ca="1">_xlfn.LET(
_xlpm.rango, INDIRECT("E!$C$" &amp; $BA$8 &amp; ":$DR$" &amp; $BA$9),
_xlpm.col, AE$72+$D80*10,
INDEX(_xlpm.rango,$BA$4-3,_xlpm.col) +
INDEX(_xlpm.rango,$BA$4-2,_xlpm.col) +
INDEX(_xlpm.rango,$BA$4-1,_xlpm.col) +
INDEX(_xlpm.rango,$BA$4, _xlpm.col)
)</f>
        <v>#VALUE!</v>
      </c>
      <c r="AF81" s="95" t="e" cm="1" vm="1">
        <f t="array" aca="1" ref="AF81" ca="1">_xlfn.LET(
_xlpm.rango, INDIRECT("E!$C$" &amp; $BA$8 &amp; ":$DR$" &amp; $BA$9),
_xlpm.col, AF$72+$D80*10,
INDEX(_xlpm.rango,$BA$4-3,_xlpm.col) +
INDEX(_xlpm.rango,$BA$4-2,_xlpm.col) +
INDEX(_xlpm.rango,$BA$4-1,_xlpm.col) +
INDEX(_xlpm.rango,$BA$4, _xlpm.col)
)</f>
        <v>#VALUE!</v>
      </c>
      <c r="AG81" s="95" t="e" cm="1" vm="1">
        <f t="array" aca="1" ref="AG81" ca="1">_xlfn.LET(
_xlpm.rango, INDIRECT("E!$C$" &amp; $BA$8 &amp; ":$DR$" &amp; $BA$9),
_xlpm.col, AG$72+$D80*10,
INDEX(_xlpm.rango,$BA$4-3,_xlpm.col) +
INDEX(_xlpm.rango,$BA$4-2,_xlpm.col) +
INDEX(_xlpm.rango,$BA$4-1,_xlpm.col) +
INDEX(_xlpm.rango,$BA$4, _xlpm.col)
)</f>
        <v>#VALUE!</v>
      </c>
      <c r="AH81" s="95" t="e" cm="1" vm="1">
        <f t="array" aca="1" ref="AH81" ca="1">_xlfn.LET(
_xlpm.rango, INDIRECT("E!$C$" &amp; $BA$8 &amp; ":$DR$" &amp; $BA$9),
_xlpm.col, AH$72+$D80*10,
INDEX(_xlpm.rango,$BA$4-3,_xlpm.col) +
INDEX(_xlpm.rango,$BA$4-2,_xlpm.col) +
INDEX(_xlpm.rango,$BA$4-1,_xlpm.col) +
INDEX(_xlpm.rango,$BA$4, _xlpm.col)
)</f>
        <v>#VALUE!</v>
      </c>
      <c r="AI81" s="96" t="e" cm="1" vm="1">
        <f t="array" aca="1" ref="AI81" ca="1">_xlfn.LET(
_xlpm.rango, INDIRECT("E!$C$" &amp; $BA$8 &amp; ":$DR$" &amp; $BA$9),
_xlpm.col, AI$72+$D80*10,
INDEX(_xlpm.rango,$BA$4-3,_xlpm.col) +
INDEX(_xlpm.rango,$BA$4-2,_xlpm.col) +
INDEX(_xlpm.rango,$BA$4-1,_xlpm.col) +
INDEX(_xlpm.rango,$BA$4, _xlpm.col)
)</f>
        <v>#VALUE!</v>
      </c>
      <c r="AJ81" s="95" t="e" cm="1" vm="1">
        <f t="array" aca="1" ref="AJ81" ca="1">_xlfn.LET(
_xlpm.rango, INDIRECT("E!$C$" &amp; $BA$8 &amp; ":$DR$" &amp; $BA$9),
_xlpm.col, AJ$72+$D80*10,
INDEX(_xlpm.rango,$BA$4-3,_xlpm.col) +
INDEX(_xlpm.rango,$BA$4-2,_xlpm.col) +
INDEX(_xlpm.rango,$BA$4-1,_xlpm.col) +
INDEX(_xlpm.rango,$BA$4, _xlpm.col)
)</f>
        <v>#VALUE!</v>
      </c>
      <c r="AK81" s="95" t="e" cm="1" vm="1">
        <f t="array" aca="1" ref="AK81" ca="1">_xlfn.LET(
_xlpm.rango, INDIRECT("E!$C$" &amp; $BA$8 &amp; ":$DR$" &amp; $BA$9),
_xlpm.col, AK$72+$D80*10,
INDEX(_xlpm.rango,$BA$4-3,_xlpm.col) +
INDEX(_xlpm.rango,$BA$4-2,_xlpm.col) +
INDEX(_xlpm.rango,$BA$4-1,_xlpm.col) +
INDEX(_xlpm.rango,$BA$4, _xlpm.col)
)</f>
        <v>#VALUE!</v>
      </c>
      <c r="AL81" s="95" t="e" cm="1" vm="1">
        <f t="array" aca="1" ref="AL81" ca="1">_xlfn.LET(
_xlpm.rango, INDIRECT("E!$C$" &amp; $BA$8 &amp; ":$DR$" &amp; $BA$9),
_xlpm.col, AL$72+$D80*10,
INDEX(_xlpm.rango,$BA$4-3,_xlpm.col) +
INDEX(_xlpm.rango,$BA$4-2,_xlpm.col) +
INDEX(_xlpm.rango,$BA$4-1,_xlpm.col) +
INDEX(_xlpm.rango,$BA$4, _xlpm.col)
)</f>
        <v>#VALUE!</v>
      </c>
      <c r="AM81" s="95" t="e" cm="1" vm="1">
        <f t="array" aca="1" ref="AM81" ca="1">_xlfn.LET(
_xlpm.rango, INDIRECT("E!$C$" &amp; $BA$8 &amp; ":$DR$" &amp; $BA$9),
_xlpm.col, AM$72+$D80*10,
INDEX(_xlpm.rango,$BA$4-3,_xlpm.col) +
INDEX(_xlpm.rango,$BA$4-2,_xlpm.col) +
INDEX(_xlpm.rango,$BA$4-1,_xlpm.col) +
INDEX(_xlpm.rango,$BA$4, _xlpm.col)
)</f>
        <v>#VALUE!</v>
      </c>
      <c r="AN81" s="95" t="e" cm="1" vm="1">
        <f t="array" aca="1" ref="AN81" ca="1">_xlfn.LET(
_xlpm.rango, INDIRECT("E!$C$" &amp; $BA$8 &amp; ":$DR$" &amp; $BA$9),
_xlpm.col, AN$72+$D80*10,
INDEX(_xlpm.rango,$BA$4-3,_xlpm.col) +
INDEX(_xlpm.rango,$BA$4-2,_xlpm.col) +
INDEX(_xlpm.rango,$BA$4-1,_xlpm.col) +
INDEX(_xlpm.rango,$BA$4, _xlpm.col)
)</f>
        <v>#VALUE!</v>
      </c>
      <c r="AO81" s="95" t="e" cm="1" vm="1">
        <f t="array" aca="1" ref="AO81" ca="1">_xlfn.LET(
_xlpm.rango, INDIRECT("E!$C$" &amp; $BA$8 &amp; ":$DR$" &amp; $BA$9),
_xlpm.col, AO$72+$D80*10,
INDEX(_xlpm.rango,$BA$4-3,_xlpm.col) +
INDEX(_xlpm.rango,$BA$4-2,_xlpm.col) +
INDEX(_xlpm.rango,$BA$4-1,_xlpm.col) +
INDEX(_xlpm.rango,$BA$4, _xlpm.col)
)</f>
        <v>#VALUE!</v>
      </c>
      <c r="AP81" s="95" t="e" cm="1" vm="1">
        <f t="array" aca="1" ref="AP81" ca="1">_xlfn.LET(
_xlpm.rango, INDIRECT("E!$C$" &amp; $BA$8 &amp; ":$DR$" &amp; $BA$9),
_xlpm.col, AP$72+$D80*10,
INDEX(_xlpm.rango,$BA$4-3,_xlpm.col) +
INDEX(_xlpm.rango,$BA$4-2,_xlpm.col) +
INDEX(_xlpm.rango,$BA$4-1,_xlpm.col) +
INDEX(_xlpm.rango,$BA$4, _xlpm.col)
)</f>
        <v>#VALUE!</v>
      </c>
      <c r="AQ81" s="95" t="e" cm="1" vm="1">
        <f t="array" aca="1" ref="AQ81" ca="1">_xlfn.LET(
_xlpm.rango, INDIRECT("E!$C$" &amp; $BA$8 &amp; ":$DR$" &amp; $BA$9),
_xlpm.col, AQ$72+$D80*10,
INDEX(_xlpm.rango,$BA$4-3,_xlpm.col) +
INDEX(_xlpm.rango,$BA$4-2,_xlpm.col) +
INDEX(_xlpm.rango,$BA$4-1,_xlpm.col) +
INDEX(_xlpm.rango,$BA$4, _xlpm.col)
)</f>
        <v>#VALUE!</v>
      </c>
      <c r="AR81" s="95" t="e" cm="1" vm="1">
        <f t="array" aca="1" ref="AR81" ca="1">_xlfn.LET(
_xlpm.rango, INDIRECT("E!$C$" &amp; $BA$8 &amp; ":$DR$" &amp; $BA$9),
_xlpm.col, AR$72+$D80*10,
INDEX(_xlpm.rango,$BA$4-3,_xlpm.col) +
INDEX(_xlpm.rango,$BA$4-2,_xlpm.col) +
INDEX(_xlpm.rango,$BA$4-1,_xlpm.col) +
INDEX(_xlpm.rango,$BA$4, _xlpm.col)
)</f>
        <v>#VALUE!</v>
      </c>
      <c r="AS81" s="112" t="e" cm="1" vm="1">
        <f t="array" aca="1" ref="AS81" ca="1">_xlfn.LET(
_xlpm.rango, INDIRECT("E!$C$" &amp; $BA$8 &amp; ":$DR$" &amp; $BA$9),
_xlpm.col, AS$72+$D80*10,
INDEX(_xlpm.rango,$BA$4-3,_xlpm.col) +
INDEX(_xlpm.rango,$BA$4-2,_xlpm.col) +
INDEX(_xlpm.rango,$BA$4-1,_xlpm.col) +
INDEX(_xlpm.rango,$BA$4, _xlpm.col)
)</f>
        <v>#VALUE!</v>
      </c>
      <c r="AT81" s="118" t="e" vm="2">
        <f t="shared" ca="1" si="0"/>
        <v>#VALUE!</v>
      </c>
      <c r="AU81" s="120" t="e" vm="2">
        <f t="shared" ca="1" si="1"/>
        <v>#VALUE!</v>
      </c>
    </row>
    <row r="82" spans="4:47" x14ac:dyDescent="0.25">
      <c r="D82">
        <v>7</v>
      </c>
      <c r="E82" s="106" t="str">
        <f>Inicio!V10</f>
        <v>Van</v>
      </c>
      <c r="F82" s="100" t="e" cm="1" vm="1">
        <f t="array" aca="1" ref="F82" ca="1">_xlfn.LET(
_xlpm.rango, INDIRECT("N!$C$" &amp; $BA$8 &amp; ":$DR$" &amp; $BA$9),
_xlpm.col, F$72+$D81*10,
INDEX(_xlpm.rango,$BA$4-3,_xlpm.col) +
INDEX(_xlpm.rango,$BA$4-2,_xlpm.col) +
INDEX(_xlpm.rango,$BA$4-1,_xlpm.col) +
INDEX(_xlpm.rango,$BA$4, _xlpm.col)
)</f>
        <v>#VALUE!</v>
      </c>
      <c r="G82" s="95" t="e" cm="1" vm="1">
        <f t="array" aca="1" ref="G82" ca="1">_xlfn.LET(
_xlpm.rango, INDIRECT("N!$C$" &amp; $BA$8 &amp; ":$DR$" &amp; $BA$9),
_xlpm.col, G$72+$D81*10,
INDEX(_xlpm.rango,$BA$4-3,_xlpm.col) +
INDEX(_xlpm.rango,$BA$4-2,_xlpm.col) +
INDEX(_xlpm.rango,$BA$4-1,_xlpm.col) +
INDEX(_xlpm.rango,$BA$4, _xlpm.col)
)</f>
        <v>#VALUE!</v>
      </c>
      <c r="H82" s="95" t="e" cm="1" vm="1">
        <f t="array" aca="1" ref="H82" ca="1">_xlfn.LET(
_xlpm.rango, INDIRECT("N!$C$" &amp; $BA$8 &amp; ":$DR$" &amp; $BA$9),
_xlpm.col, H$72+$D81*10,
INDEX(_xlpm.rango,$BA$4-3,_xlpm.col) +
INDEX(_xlpm.rango,$BA$4-2,_xlpm.col) +
INDEX(_xlpm.rango,$BA$4-1,_xlpm.col) +
INDEX(_xlpm.rango,$BA$4, _xlpm.col)
)</f>
        <v>#VALUE!</v>
      </c>
      <c r="I82" s="95" t="e" cm="1" vm="1">
        <f t="array" aca="1" ref="I82" ca="1">_xlfn.LET(
_xlpm.rango, INDIRECT("N!$C$" &amp; $BA$8 &amp; ":$DR$" &amp; $BA$9),
_xlpm.col, I$72+$D81*10,
INDEX(_xlpm.rango,$BA$4-3,_xlpm.col) +
INDEX(_xlpm.rango,$BA$4-2,_xlpm.col) +
INDEX(_xlpm.rango,$BA$4-1,_xlpm.col) +
INDEX(_xlpm.rango,$BA$4, _xlpm.col)
)</f>
        <v>#VALUE!</v>
      </c>
      <c r="J82" s="95" t="e" cm="1" vm="1">
        <f t="array" aca="1" ref="J82" ca="1">_xlfn.LET(
_xlpm.rango, INDIRECT("N!$C$" &amp; $BA$8 &amp; ":$DR$" &amp; $BA$9),
_xlpm.col, J$72+$D81*10,
INDEX(_xlpm.rango,$BA$4-3,_xlpm.col) +
INDEX(_xlpm.rango,$BA$4-2,_xlpm.col) +
INDEX(_xlpm.rango,$BA$4-1,_xlpm.col) +
INDEX(_xlpm.rango,$BA$4, _xlpm.col)
)</f>
        <v>#VALUE!</v>
      </c>
      <c r="K82" s="95" t="e" cm="1" vm="1">
        <f t="array" aca="1" ref="K82" ca="1">_xlfn.LET(
_xlpm.rango, INDIRECT("N!$C$" &amp; $BA$8 &amp; ":$DR$" &amp; $BA$9),
_xlpm.col, K$72+$D81*10,
INDEX(_xlpm.rango,$BA$4-3,_xlpm.col) +
INDEX(_xlpm.rango,$BA$4-2,_xlpm.col) +
INDEX(_xlpm.rango,$BA$4-1,_xlpm.col) +
INDEX(_xlpm.rango,$BA$4, _xlpm.col)
)</f>
        <v>#VALUE!</v>
      </c>
      <c r="L82" s="95" t="e" cm="1" vm="1">
        <f t="array" aca="1" ref="L82" ca="1">_xlfn.LET(
_xlpm.rango, INDIRECT("N!$C$" &amp; $BA$8 &amp; ":$DR$" &amp; $BA$9),
_xlpm.col, L$72+$D81*10,
INDEX(_xlpm.rango,$BA$4-3,_xlpm.col) +
INDEX(_xlpm.rango,$BA$4-2,_xlpm.col) +
INDEX(_xlpm.rango,$BA$4-1,_xlpm.col) +
INDEX(_xlpm.rango,$BA$4, _xlpm.col)
)</f>
        <v>#VALUE!</v>
      </c>
      <c r="M82" s="95" t="e" cm="1" vm="1">
        <f t="array" aca="1" ref="M82" ca="1">_xlfn.LET(
_xlpm.rango, INDIRECT("N!$C$" &amp; $BA$8 &amp; ":$DR$" &amp; $BA$9),
_xlpm.col, M$72+$D81*10,
INDEX(_xlpm.rango,$BA$4-3,_xlpm.col) +
INDEX(_xlpm.rango,$BA$4-2,_xlpm.col) +
INDEX(_xlpm.rango,$BA$4-1,_xlpm.col) +
INDEX(_xlpm.rango,$BA$4, _xlpm.col)
)</f>
        <v>#VALUE!</v>
      </c>
      <c r="N82" s="95" t="e" cm="1" vm="1">
        <f t="array" aca="1" ref="N82" ca="1">_xlfn.LET(
_xlpm.rango, INDIRECT("N!$C$" &amp; $BA$8 &amp; ":$DR$" &amp; $BA$9),
_xlpm.col, N$72+$D81*10,
INDEX(_xlpm.rango,$BA$4-3,_xlpm.col) +
INDEX(_xlpm.rango,$BA$4-2,_xlpm.col) +
INDEX(_xlpm.rango,$BA$4-1,_xlpm.col) +
INDEX(_xlpm.rango,$BA$4, _xlpm.col)
)</f>
        <v>#VALUE!</v>
      </c>
      <c r="O82" s="96" t="e" cm="1" vm="1">
        <f t="array" aca="1" ref="O82" ca="1">_xlfn.LET(
_xlpm.rango, INDIRECT("N!$C$" &amp; $BA$8 &amp; ":$DR$" &amp; $BA$9),
_xlpm.col, O$72+$D81*10,
INDEX(_xlpm.rango,$BA$4-3,_xlpm.col) +
INDEX(_xlpm.rango,$BA$4-2,_xlpm.col) +
INDEX(_xlpm.rango,$BA$4-1,_xlpm.col) +
INDEX(_xlpm.rango,$BA$4, _xlpm.col)
)</f>
        <v>#VALUE!</v>
      </c>
      <c r="P82" s="95" t="e" cm="1" vm="1">
        <f t="array" aca="1" ref="P82" ca="1">_xlfn.LET(
_xlpm.rango, INDIRECT("S!$C$" &amp; $BA$8 &amp; ":$DR$" &amp; $BA$9),
_xlpm.col, P$72+$D81*10,
INDEX(_xlpm.rango,$BA$4-3,_xlpm.col) +
INDEX(_xlpm.rango,$BA$4-2,_xlpm.col) +
INDEX(_xlpm.rango,$BA$4-1,_xlpm.col) +
INDEX(_xlpm.rango,$BA$4, _xlpm.col)
)</f>
        <v>#VALUE!</v>
      </c>
      <c r="Q82" s="95" t="e" cm="1" vm="1">
        <f t="array" aca="1" ref="Q82" ca="1">_xlfn.LET(
_xlpm.rango, INDIRECT("S!$C$" &amp; $BA$8 &amp; ":$DR$" &amp; $BA$9),
_xlpm.col, Q$72+$D81*10,
INDEX(_xlpm.rango,$BA$4-3,_xlpm.col) +
INDEX(_xlpm.rango,$BA$4-2,_xlpm.col) +
INDEX(_xlpm.rango,$BA$4-1,_xlpm.col) +
INDEX(_xlpm.rango,$BA$4, _xlpm.col)
)</f>
        <v>#VALUE!</v>
      </c>
      <c r="R82" s="95" t="e" cm="1" vm="1">
        <f t="array" aca="1" ref="R82" ca="1">_xlfn.LET(
_xlpm.rango, INDIRECT("S!$C$" &amp; $BA$8 &amp; ":$DR$" &amp; $BA$9),
_xlpm.col, R$72+$D81*10,
INDEX(_xlpm.rango,$BA$4-3,_xlpm.col) +
INDEX(_xlpm.rango,$BA$4-2,_xlpm.col) +
INDEX(_xlpm.rango,$BA$4-1,_xlpm.col) +
INDEX(_xlpm.rango,$BA$4, _xlpm.col)
)</f>
        <v>#VALUE!</v>
      </c>
      <c r="S82" s="95" t="e" cm="1" vm="1">
        <f t="array" aca="1" ref="S82" ca="1">_xlfn.LET(
_xlpm.rango, INDIRECT("S!$C$" &amp; $BA$8 &amp; ":$DR$" &amp; $BA$9),
_xlpm.col, S$72+$D81*10,
INDEX(_xlpm.rango,$BA$4-3,_xlpm.col) +
INDEX(_xlpm.rango,$BA$4-2,_xlpm.col) +
INDEX(_xlpm.rango,$BA$4-1,_xlpm.col) +
INDEX(_xlpm.rango,$BA$4, _xlpm.col)
)</f>
        <v>#VALUE!</v>
      </c>
      <c r="T82" s="95" t="e" cm="1" vm="1">
        <f t="array" aca="1" ref="T82" ca="1">_xlfn.LET(
_xlpm.rango, INDIRECT("S!$C$" &amp; $BA$8 &amp; ":$DR$" &amp; $BA$9),
_xlpm.col, T$72+$D81*10,
INDEX(_xlpm.rango,$BA$4-3,_xlpm.col) +
INDEX(_xlpm.rango,$BA$4-2,_xlpm.col) +
INDEX(_xlpm.rango,$BA$4-1,_xlpm.col) +
INDEX(_xlpm.rango,$BA$4, _xlpm.col)
)</f>
        <v>#VALUE!</v>
      </c>
      <c r="U82" s="95" t="e" cm="1" vm="1">
        <f t="array" aca="1" ref="U82" ca="1">_xlfn.LET(
_xlpm.rango, INDIRECT("S!$C$" &amp; $BA$8 &amp; ":$DR$" &amp; $BA$9),
_xlpm.col, U$72+$D81*10,
INDEX(_xlpm.rango,$BA$4-3,_xlpm.col) +
INDEX(_xlpm.rango,$BA$4-2,_xlpm.col) +
INDEX(_xlpm.rango,$BA$4-1,_xlpm.col) +
INDEX(_xlpm.rango,$BA$4, _xlpm.col)
)</f>
        <v>#VALUE!</v>
      </c>
      <c r="V82" s="95" t="e" cm="1" vm="1">
        <f t="array" aca="1" ref="V82" ca="1">_xlfn.LET(
_xlpm.rango, INDIRECT("S!$C$" &amp; $BA$8 &amp; ":$DR$" &amp; $BA$9),
_xlpm.col, V$72+$D81*10,
INDEX(_xlpm.rango,$BA$4-3,_xlpm.col) +
INDEX(_xlpm.rango,$BA$4-2,_xlpm.col) +
INDEX(_xlpm.rango,$BA$4-1,_xlpm.col) +
INDEX(_xlpm.rango,$BA$4, _xlpm.col)
)</f>
        <v>#VALUE!</v>
      </c>
      <c r="W82" s="95" t="e" cm="1" vm="1">
        <f t="array" aca="1" ref="W82" ca="1">_xlfn.LET(
_xlpm.rango, INDIRECT("S!$C$" &amp; $BA$8 &amp; ":$DR$" &amp; $BA$9),
_xlpm.col, W$72+$D81*10,
INDEX(_xlpm.rango,$BA$4-3,_xlpm.col) +
INDEX(_xlpm.rango,$BA$4-2,_xlpm.col) +
INDEX(_xlpm.rango,$BA$4-1,_xlpm.col) +
INDEX(_xlpm.rango,$BA$4, _xlpm.col)
)</f>
        <v>#VALUE!</v>
      </c>
      <c r="X82" s="95" t="e" cm="1" vm="1">
        <f t="array" aca="1" ref="X82" ca="1">_xlfn.LET(
_xlpm.rango, INDIRECT("S!$C$" &amp; $BA$8 &amp; ":$DR$" &amp; $BA$9),
_xlpm.col, X$72+$D81*10,
INDEX(_xlpm.rango,$BA$4-3,_xlpm.col) +
INDEX(_xlpm.rango,$BA$4-2,_xlpm.col) +
INDEX(_xlpm.rango,$BA$4-1,_xlpm.col) +
INDEX(_xlpm.rango,$BA$4, _xlpm.col)
)</f>
        <v>#VALUE!</v>
      </c>
      <c r="Y82" s="95" t="e" cm="1" vm="1">
        <f t="array" aca="1" ref="Y82" ca="1">_xlfn.LET(
_xlpm.rango, INDIRECT("S!$C$" &amp; $BA$8 &amp; ":$DR$" &amp; $BA$9),
_xlpm.col, Y$72+$D81*10,
INDEX(_xlpm.rango,$BA$4-3,_xlpm.col) +
INDEX(_xlpm.rango,$BA$4-2,_xlpm.col) +
INDEX(_xlpm.rango,$BA$4-1,_xlpm.col) +
INDEX(_xlpm.rango,$BA$4, _xlpm.col)
)</f>
        <v>#VALUE!</v>
      </c>
      <c r="Z82" s="100" t="e" cm="1" vm="1">
        <f t="array" aca="1" ref="Z82" ca="1">_xlfn.LET(
_xlpm.rango, INDIRECT("E!$C$" &amp; $BA$8 &amp; ":$DR$" &amp; $BA$9),
_xlpm.col, Z$72+$D81*10,
INDEX(_xlpm.rango,$BA$4-3,_xlpm.col) +
INDEX(_xlpm.rango,$BA$4-2,_xlpm.col) +
INDEX(_xlpm.rango,$BA$4-1,_xlpm.col) +
INDEX(_xlpm.rango,$BA$4, _xlpm.col)
)</f>
        <v>#VALUE!</v>
      </c>
      <c r="AA82" s="95" t="e" cm="1" vm="1">
        <f t="array" aca="1" ref="AA82" ca="1">_xlfn.LET(
_xlpm.rango, INDIRECT("E!$C$" &amp; $BA$8 &amp; ":$DR$" &amp; $BA$9),
_xlpm.col, AA$72+$D81*10,
INDEX(_xlpm.rango,$BA$4-3,_xlpm.col) +
INDEX(_xlpm.rango,$BA$4-2,_xlpm.col) +
INDEX(_xlpm.rango,$BA$4-1,_xlpm.col) +
INDEX(_xlpm.rango,$BA$4, _xlpm.col)
)</f>
        <v>#VALUE!</v>
      </c>
      <c r="AB82" s="95" t="e" cm="1" vm="1">
        <f t="array" aca="1" ref="AB82" ca="1">_xlfn.LET(
_xlpm.rango, INDIRECT("E!$C$" &amp; $BA$8 &amp; ":$DR$" &amp; $BA$9),
_xlpm.col, AB$72+$D81*10,
INDEX(_xlpm.rango,$BA$4-3,_xlpm.col) +
INDEX(_xlpm.rango,$BA$4-2,_xlpm.col) +
INDEX(_xlpm.rango,$BA$4-1,_xlpm.col) +
INDEX(_xlpm.rango,$BA$4, _xlpm.col)
)</f>
        <v>#VALUE!</v>
      </c>
      <c r="AC82" s="95" t="e" cm="1" vm="1">
        <f t="array" aca="1" ref="AC82" ca="1">_xlfn.LET(
_xlpm.rango, INDIRECT("E!$C$" &amp; $BA$8 &amp; ":$DR$" &amp; $BA$9),
_xlpm.col, AC$72+$D81*10,
INDEX(_xlpm.rango,$BA$4-3,_xlpm.col) +
INDEX(_xlpm.rango,$BA$4-2,_xlpm.col) +
INDEX(_xlpm.rango,$BA$4-1,_xlpm.col) +
INDEX(_xlpm.rango,$BA$4, _xlpm.col)
)</f>
        <v>#VALUE!</v>
      </c>
      <c r="AD82" s="95" t="e" cm="1" vm="1">
        <f t="array" aca="1" ref="AD82" ca="1">_xlfn.LET(
_xlpm.rango, INDIRECT("E!$C$" &amp; $BA$8 &amp; ":$DR$" &amp; $BA$9),
_xlpm.col, AD$72+$D81*10,
INDEX(_xlpm.rango,$BA$4-3,_xlpm.col) +
INDEX(_xlpm.rango,$BA$4-2,_xlpm.col) +
INDEX(_xlpm.rango,$BA$4-1,_xlpm.col) +
INDEX(_xlpm.rango,$BA$4, _xlpm.col)
)</f>
        <v>#VALUE!</v>
      </c>
      <c r="AE82" s="95" t="e" cm="1" vm="1">
        <f t="array" aca="1" ref="AE82" ca="1">_xlfn.LET(
_xlpm.rango, INDIRECT("E!$C$" &amp; $BA$8 &amp; ":$DR$" &amp; $BA$9),
_xlpm.col, AE$72+$D81*10,
INDEX(_xlpm.rango,$BA$4-3,_xlpm.col) +
INDEX(_xlpm.rango,$BA$4-2,_xlpm.col) +
INDEX(_xlpm.rango,$BA$4-1,_xlpm.col) +
INDEX(_xlpm.rango,$BA$4, _xlpm.col)
)</f>
        <v>#VALUE!</v>
      </c>
      <c r="AF82" s="95" t="e" cm="1" vm="1">
        <f t="array" aca="1" ref="AF82" ca="1">_xlfn.LET(
_xlpm.rango, INDIRECT("E!$C$" &amp; $BA$8 &amp; ":$DR$" &amp; $BA$9),
_xlpm.col, AF$72+$D81*10,
INDEX(_xlpm.rango,$BA$4-3,_xlpm.col) +
INDEX(_xlpm.rango,$BA$4-2,_xlpm.col) +
INDEX(_xlpm.rango,$BA$4-1,_xlpm.col) +
INDEX(_xlpm.rango,$BA$4, _xlpm.col)
)</f>
        <v>#VALUE!</v>
      </c>
      <c r="AG82" s="95" t="e" cm="1" vm="1">
        <f t="array" aca="1" ref="AG82" ca="1">_xlfn.LET(
_xlpm.rango, INDIRECT("E!$C$" &amp; $BA$8 &amp; ":$DR$" &amp; $BA$9),
_xlpm.col, AG$72+$D81*10,
INDEX(_xlpm.rango,$BA$4-3,_xlpm.col) +
INDEX(_xlpm.rango,$BA$4-2,_xlpm.col) +
INDEX(_xlpm.rango,$BA$4-1,_xlpm.col) +
INDEX(_xlpm.rango,$BA$4, _xlpm.col)
)</f>
        <v>#VALUE!</v>
      </c>
      <c r="AH82" s="95" t="e" cm="1" vm="1">
        <f t="array" aca="1" ref="AH82" ca="1">_xlfn.LET(
_xlpm.rango, INDIRECT("E!$C$" &amp; $BA$8 &amp; ":$DR$" &amp; $BA$9),
_xlpm.col, AH$72+$D81*10,
INDEX(_xlpm.rango,$BA$4-3,_xlpm.col) +
INDEX(_xlpm.rango,$BA$4-2,_xlpm.col) +
INDEX(_xlpm.rango,$BA$4-1,_xlpm.col) +
INDEX(_xlpm.rango,$BA$4, _xlpm.col)
)</f>
        <v>#VALUE!</v>
      </c>
      <c r="AI82" s="96" t="e" cm="1" vm="1">
        <f t="array" aca="1" ref="AI82" ca="1">_xlfn.LET(
_xlpm.rango, INDIRECT("E!$C$" &amp; $BA$8 &amp; ":$DR$" &amp; $BA$9),
_xlpm.col, AI$72+$D81*10,
INDEX(_xlpm.rango,$BA$4-3,_xlpm.col) +
INDEX(_xlpm.rango,$BA$4-2,_xlpm.col) +
INDEX(_xlpm.rango,$BA$4-1,_xlpm.col) +
INDEX(_xlpm.rango,$BA$4, _xlpm.col)
)</f>
        <v>#VALUE!</v>
      </c>
      <c r="AJ82" s="95" t="e" cm="1" vm="1">
        <f t="array" aca="1" ref="AJ82" ca="1">_xlfn.LET(
_xlpm.rango, INDIRECT("E!$C$" &amp; $BA$8 &amp; ":$DR$" &amp; $BA$9),
_xlpm.col, AJ$72+$D81*10,
INDEX(_xlpm.rango,$BA$4-3,_xlpm.col) +
INDEX(_xlpm.rango,$BA$4-2,_xlpm.col) +
INDEX(_xlpm.rango,$BA$4-1,_xlpm.col) +
INDEX(_xlpm.rango,$BA$4, _xlpm.col)
)</f>
        <v>#VALUE!</v>
      </c>
      <c r="AK82" s="95" t="e" cm="1" vm="1">
        <f t="array" aca="1" ref="AK82" ca="1">_xlfn.LET(
_xlpm.rango, INDIRECT("E!$C$" &amp; $BA$8 &amp; ":$DR$" &amp; $BA$9),
_xlpm.col, AK$72+$D81*10,
INDEX(_xlpm.rango,$BA$4-3,_xlpm.col) +
INDEX(_xlpm.rango,$BA$4-2,_xlpm.col) +
INDEX(_xlpm.rango,$BA$4-1,_xlpm.col) +
INDEX(_xlpm.rango,$BA$4, _xlpm.col)
)</f>
        <v>#VALUE!</v>
      </c>
      <c r="AL82" s="95" t="e" cm="1" vm="1">
        <f t="array" aca="1" ref="AL82" ca="1">_xlfn.LET(
_xlpm.rango, INDIRECT("E!$C$" &amp; $BA$8 &amp; ":$DR$" &amp; $BA$9),
_xlpm.col, AL$72+$D81*10,
INDEX(_xlpm.rango,$BA$4-3,_xlpm.col) +
INDEX(_xlpm.rango,$BA$4-2,_xlpm.col) +
INDEX(_xlpm.rango,$BA$4-1,_xlpm.col) +
INDEX(_xlpm.rango,$BA$4, _xlpm.col)
)</f>
        <v>#VALUE!</v>
      </c>
      <c r="AM82" s="95" t="e" cm="1" vm="1">
        <f t="array" aca="1" ref="AM82" ca="1">_xlfn.LET(
_xlpm.rango, INDIRECT("E!$C$" &amp; $BA$8 &amp; ":$DR$" &amp; $BA$9),
_xlpm.col, AM$72+$D81*10,
INDEX(_xlpm.rango,$BA$4-3,_xlpm.col) +
INDEX(_xlpm.rango,$BA$4-2,_xlpm.col) +
INDEX(_xlpm.rango,$BA$4-1,_xlpm.col) +
INDEX(_xlpm.rango,$BA$4, _xlpm.col)
)</f>
        <v>#VALUE!</v>
      </c>
      <c r="AN82" s="95" t="e" cm="1" vm="1">
        <f t="array" aca="1" ref="AN82" ca="1">_xlfn.LET(
_xlpm.rango, INDIRECT("E!$C$" &amp; $BA$8 &amp; ":$DR$" &amp; $BA$9),
_xlpm.col, AN$72+$D81*10,
INDEX(_xlpm.rango,$BA$4-3,_xlpm.col) +
INDEX(_xlpm.rango,$BA$4-2,_xlpm.col) +
INDEX(_xlpm.rango,$BA$4-1,_xlpm.col) +
INDEX(_xlpm.rango,$BA$4, _xlpm.col)
)</f>
        <v>#VALUE!</v>
      </c>
      <c r="AO82" s="95" t="e" cm="1" vm="1">
        <f t="array" aca="1" ref="AO82" ca="1">_xlfn.LET(
_xlpm.rango, INDIRECT("E!$C$" &amp; $BA$8 &amp; ":$DR$" &amp; $BA$9),
_xlpm.col, AO$72+$D81*10,
INDEX(_xlpm.rango,$BA$4-3,_xlpm.col) +
INDEX(_xlpm.rango,$BA$4-2,_xlpm.col) +
INDEX(_xlpm.rango,$BA$4-1,_xlpm.col) +
INDEX(_xlpm.rango,$BA$4, _xlpm.col)
)</f>
        <v>#VALUE!</v>
      </c>
      <c r="AP82" s="95" t="e" cm="1" vm="1">
        <f t="array" aca="1" ref="AP82" ca="1">_xlfn.LET(
_xlpm.rango, INDIRECT("E!$C$" &amp; $BA$8 &amp; ":$DR$" &amp; $BA$9),
_xlpm.col, AP$72+$D81*10,
INDEX(_xlpm.rango,$BA$4-3,_xlpm.col) +
INDEX(_xlpm.rango,$BA$4-2,_xlpm.col) +
INDEX(_xlpm.rango,$BA$4-1,_xlpm.col) +
INDEX(_xlpm.rango,$BA$4, _xlpm.col)
)</f>
        <v>#VALUE!</v>
      </c>
      <c r="AQ82" s="95" t="e" cm="1" vm="1">
        <f t="array" aca="1" ref="AQ82" ca="1">_xlfn.LET(
_xlpm.rango, INDIRECT("E!$C$" &amp; $BA$8 &amp; ":$DR$" &amp; $BA$9),
_xlpm.col, AQ$72+$D81*10,
INDEX(_xlpm.rango,$BA$4-3,_xlpm.col) +
INDEX(_xlpm.rango,$BA$4-2,_xlpm.col) +
INDEX(_xlpm.rango,$BA$4-1,_xlpm.col) +
INDEX(_xlpm.rango,$BA$4, _xlpm.col)
)</f>
        <v>#VALUE!</v>
      </c>
      <c r="AR82" s="95" t="e" cm="1" vm="1">
        <f t="array" aca="1" ref="AR82" ca="1">_xlfn.LET(
_xlpm.rango, INDIRECT("E!$C$" &amp; $BA$8 &amp; ":$DR$" &amp; $BA$9),
_xlpm.col, AR$72+$D81*10,
INDEX(_xlpm.rango,$BA$4-3,_xlpm.col) +
INDEX(_xlpm.rango,$BA$4-2,_xlpm.col) +
INDEX(_xlpm.rango,$BA$4-1,_xlpm.col) +
INDEX(_xlpm.rango,$BA$4, _xlpm.col)
)</f>
        <v>#VALUE!</v>
      </c>
      <c r="AS82" s="112" t="e" cm="1" vm="1">
        <f t="array" aca="1" ref="AS82" ca="1">_xlfn.LET(
_xlpm.rango, INDIRECT("E!$C$" &amp; $BA$8 &amp; ":$DR$" &amp; $BA$9),
_xlpm.col, AS$72+$D81*10,
INDEX(_xlpm.rango,$BA$4-3,_xlpm.col) +
INDEX(_xlpm.rango,$BA$4-2,_xlpm.col) +
INDEX(_xlpm.rango,$BA$4-1,_xlpm.col) +
INDEX(_xlpm.rango,$BA$4, _xlpm.col)
)</f>
        <v>#VALUE!</v>
      </c>
      <c r="AT82" s="118" t="e" vm="2">
        <f t="shared" ca="1" si="0"/>
        <v>#VALUE!</v>
      </c>
      <c r="AU82" s="120" t="e" vm="2">
        <f t="shared" ca="1" si="1"/>
        <v>#VALUE!</v>
      </c>
    </row>
    <row r="83" spans="4:47" x14ac:dyDescent="0.25">
      <c r="D83">
        <v>8</v>
      </c>
      <c r="E83" s="106" t="str">
        <f>Inicio!V11</f>
        <v>Combi</v>
      </c>
      <c r="F83" s="100" t="e" cm="1" vm="1">
        <f t="array" aca="1" ref="F83" ca="1">_xlfn.LET(
_xlpm.rango, INDIRECT("N!$C$" &amp; $BA$8 &amp; ":$DR$" &amp; $BA$9),
_xlpm.col, F$72+$D82*10,
INDEX(_xlpm.rango,$BA$4-3,_xlpm.col) +
INDEX(_xlpm.rango,$BA$4-2,_xlpm.col) +
INDEX(_xlpm.rango,$BA$4-1,_xlpm.col) +
INDEX(_xlpm.rango,$BA$4, _xlpm.col)
)</f>
        <v>#VALUE!</v>
      </c>
      <c r="G83" s="95" t="e" cm="1" vm="1">
        <f t="array" aca="1" ref="G83" ca="1">_xlfn.LET(
_xlpm.rango, INDIRECT("N!$C$" &amp; $BA$8 &amp; ":$DR$" &amp; $BA$9),
_xlpm.col, G$72+$D82*10,
INDEX(_xlpm.rango,$BA$4-3,_xlpm.col) +
INDEX(_xlpm.rango,$BA$4-2,_xlpm.col) +
INDEX(_xlpm.rango,$BA$4-1,_xlpm.col) +
INDEX(_xlpm.rango,$BA$4, _xlpm.col)
)</f>
        <v>#VALUE!</v>
      </c>
      <c r="H83" s="95" t="e" cm="1" vm="1">
        <f t="array" aca="1" ref="H83" ca="1">_xlfn.LET(
_xlpm.rango, INDIRECT("N!$C$" &amp; $BA$8 &amp; ":$DR$" &amp; $BA$9),
_xlpm.col, H$72+$D82*10,
INDEX(_xlpm.rango,$BA$4-3,_xlpm.col) +
INDEX(_xlpm.rango,$BA$4-2,_xlpm.col) +
INDEX(_xlpm.rango,$BA$4-1,_xlpm.col) +
INDEX(_xlpm.rango,$BA$4, _xlpm.col)
)</f>
        <v>#VALUE!</v>
      </c>
      <c r="I83" s="95" t="e" cm="1" vm="1">
        <f t="array" aca="1" ref="I83" ca="1">_xlfn.LET(
_xlpm.rango, INDIRECT("N!$C$" &amp; $BA$8 &amp; ":$DR$" &amp; $BA$9),
_xlpm.col, I$72+$D82*10,
INDEX(_xlpm.rango,$BA$4-3,_xlpm.col) +
INDEX(_xlpm.rango,$BA$4-2,_xlpm.col) +
INDEX(_xlpm.rango,$BA$4-1,_xlpm.col) +
INDEX(_xlpm.rango,$BA$4, _xlpm.col)
)</f>
        <v>#VALUE!</v>
      </c>
      <c r="J83" s="95" t="e" cm="1" vm="1">
        <f t="array" aca="1" ref="J83" ca="1">_xlfn.LET(
_xlpm.rango, INDIRECT("N!$C$" &amp; $BA$8 &amp; ":$DR$" &amp; $BA$9),
_xlpm.col, J$72+$D82*10,
INDEX(_xlpm.rango,$BA$4-3,_xlpm.col) +
INDEX(_xlpm.rango,$BA$4-2,_xlpm.col) +
INDEX(_xlpm.rango,$BA$4-1,_xlpm.col) +
INDEX(_xlpm.rango,$BA$4, _xlpm.col)
)</f>
        <v>#VALUE!</v>
      </c>
      <c r="K83" s="95" t="e" cm="1" vm="1">
        <f t="array" aca="1" ref="K83" ca="1">_xlfn.LET(
_xlpm.rango, INDIRECT("N!$C$" &amp; $BA$8 &amp; ":$DR$" &amp; $BA$9),
_xlpm.col, K$72+$D82*10,
INDEX(_xlpm.rango,$BA$4-3,_xlpm.col) +
INDEX(_xlpm.rango,$BA$4-2,_xlpm.col) +
INDEX(_xlpm.rango,$BA$4-1,_xlpm.col) +
INDEX(_xlpm.rango,$BA$4, _xlpm.col)
)</f>
        <v>#VALUE!</v>
      </c>
      <c r="L83" s="95" t="e" cm="1" vm="1">
        <f t="array" aca="1" ref="L83" ca="1">_xlfn.LET(
_xlpm.rango, INDIRECT("N!$C$" &amp; $BA$8 &amp; ":$DR$" &amp; $BA$9),
_xlpm.col, L$72+$D82*10,
INDEX(_xlpm.rango,$BA$4-3,_xlpm.col) +
INDEX(_xlpm.rango,$BA$4-2,_xlpm.col) +
INDEX(_xlpm.rango,$BA$4-1,_xlpm.col) +
INDEX(_xlpm.rango,$BA$4, _xlpm.col)
)</f>
        <v>#VALUE!</v>
      </c>
      <c r="M83" s="95" t="e" cm="1" vm="1">
        <f t="array" aca="1" ref="M83" ca="1">_xlfn.LET(
_xlpm.rango, INDIRECT("N!$C$" &amp; $BA$8 &amp; ":$DR$" &amp; $BA$9),
_xlpm.col, M$72+$D82*10,
INDEX(_xlpm.rango,$BA$4-3,_xlpm.col) +
INDEX(_xlpm.rango,$BA$4-2,_xlpm.col) +
INDEX(_xlpm.rango,$BA$4-1,_xlpm.col) +
INDEX(_xlpm.rango,$BA$4, _xlpm.col)
)</f>
        <v>#VALUE!</v>
      </c>
      <c r="N83" s="95" t="e" cm="1" vm="1">
        <f t="array" aca="1" ref="N83" ca="1">_xlfn.LET(
_xlpm.rango, INDIRECT("N!$C$" &amp; $BA$8 &amp; ":$DR$" &amp; $BA$9),
_xlpm.col, N$72+$D82*10,
INDEX(_xlpm.rango,$BA$4-3,_xlpm.col) +
INDEX(_xlpm.rango,$BA$4-2,_xlpm.col) +
INDEX(_xlpm.rango,$BA$4-1,_xlpm.col) +
INDEX(_xlpm.rango,$BA$4, _xlpm.col)
)</f>
        <v>#VALUE!</v>
      </c>
      <c r="O83" s="96" t="e" cm="1" vm="1">
        <f t="array" aca="1" ref="O83" ca="1">_xlfn.LET(
_xlpm.rango, INDIRECT("N!$C$" &amp; $BA$8 &amp; ":$DR$" &amp; $BA$9),
_xlpm.col, O$72+$D82*10,
INDEX(_xlpm.rango,$BA$4-3,_xlpm.col) +
INDEX(_xlpm.rango,$BA$4-2,_xlpm.col) +
INDEX(_xlpm.rango,$BA$4-1,_xlpm.col) +
INDEX(_xlpm.rango,$BA$4, _xlpm.col)
)</f>
        <v>#VALUE!</v>
      </c>
      <c r="P83" s="95" t="e" cm="1" vm="1">
        <f t="array" aca="1" ref="P83" ca="1">_xlfn.LET(
_xlpm.rango, INDIRECT("S!$C$" &amp; $BA$8 &amp; ":$DR$" &amp; $BA$9),
_xlpm.col, P$72+$D82*10,
INDEX(_xlpm.rango,$BA$4-3,_xlpm.col) +
INDEX(_xlpm.rango,$BA$4-2,_xlpm.col) +
INDEX(_xlpm.rango,$BA$4-1,_xlpm.col) +
INDEX(_xlpm.rango,$BA$4, _xlpm.col)
)</f>
        <v>#VALUE!</v>
      </c>
      <c r="Q83" s="95" t="e" cm="1" vm="1">
        <f t="array" aca="1" ref="Q83" ca="1">_xlfn.LET(
_xlpm.rango, INDIRECT("S!$C$" &amp; $BA$8 &amp; ":$DR$" &amp; $BA$9),
_xlpm.col, Q$72+$D82*10,
INDEX(_xlpm.rango,$BA$4-3,_xlpm.col) +
INDEX(_xlpm.rango,$BA$4-2,_xlpm.col) +
INDEX(_xlpm.rango,$BA$4-1,_xlpm.col) +
INDEX(_xlpm.rango,$BA$4, _xlpm.col)
)</f>
        <v>#VALUE!</v>
      </c>
      <c r="R83" s="95" t="e" cm="1" vm="1">
        <f t="array" aca="1" ref="R83" ca="1">_xlfn.LET(
_xlpm.rango, INDIRECT("S!$C$" &amp; $BA$8 &amp; ":$DR$" &amp; $BA$9),
_xlpm.col, R$72+$D82*10,
INDEX(_xlpm.rango,$BA$4-3,_xlpm.col) +
INDEX(_xlpm.rango,$BA$4-2,_xlpm.col) +
INDEX(_xlpm.rango,$BA$4-1,_xlpm.col) +
INDEX(_xlpm.rango,$BA$4, _xlpm.col)
)</f>
        <v>#VALUE!</v>
      </c>
      <c r="S83" s="95" t="e" cm="1" vm="1">
        <f t="array" aca="1" ref="S83" ca="1">_xlfn.LET(
_xlpm.rango, INDIRECT("S!$C$" &amp; $BA$8 &amp; ":$DR$" &amp; $BA$9),
_xlpm.col, S$72+$D82*10,
INDEX(_xlpm.rango,$BA$4-3,_xlpm.col) +
INDEX(_xlpm.rango,$BA$4-2,_xlpm.col) +
INDEX(_xlpm.rango,$BA$4-1,_xlpm.col) +
INDEX(_xlpm.rango,$BA$4, _xlpm.col)
)</f>
        <v>#VALUE!</v>
      </c>
      <c r="T83" s="95" t="e" cm="1" vm="1">
        <f t="array" aca="1" ref="T83" ca="1">_xlfn.LET(
_xlpm.rango, INDIRECT("S!$C$" &amp; $BA$8 &amp; ":$DR$" &amp; $BA$9),
_xlpm.col, T$72+$D82*10,
INDEX(_xlpm.rango,$BA$4-3,_xlpm.col) +
INDEX(_xlpm.rango,$BA$4-2,_xlpm.col) +
INDEX(_xlpm.rango,$BA$4-1,_xlpm.col) +
INDEX(_xlpm.rango,$BA$4, _xlpm.col)
)</f>
        <v>#VALUE!</v>
      </c>
      <c r="U83" s="95" t="e" cm="1" vm="1">
        <f t="array" aca="1" ref="U83" ca="1">_xlfn.LET(
_xlpm.rango, INDIRECT("S!$C$" &amp; $BA$8 &amp; ":$DR$" &amp; $BA$9),
_xlpm.col, U$72+$D82*10,
INDEX(_xlpm.rango,$BA$4-3,_xlpm.col) +
INDEX(_xlpm.rango,$BA$4-2,_xlpm.col) +
INDEX(_xlpm.rango,$BA$4-1,_xlpm.col) +
INDEX(_xlpm.rango,$BA$4, _xlpm.col)
)</f>
        <v>#VALUE!</v>
      </c>
      <c r="V83" s="95" t="e" cm="1" vm="1">
        <f t="array" aca="1" ref="V83" ca="1">_xlfn.LET(
_xlpm.rango, INDIRECT("S!$C$" &amp; $BA$8 &amp; ":$DR$" &amp; $BA$9),
_xlpm.col, V$72+$D82*10,
INDEX(_xlpm.rango,$BA$4-3,_xlpm.col) +
INDEX(_xlpm.rango,$BA$4-2,_xlpm.col) +
INDEX(_xlpm.rango,$BA$4-1,_xlpm.col) +
INDEX(_xlpm.rango,$BA$4, _xlpm.col)
)</f>
        <v>#VALUE!</v>
      </c>
      <c r="W83" s="95" t="e" cm="1" vm="1">
        <f t="array" aca="1" ref="W83" ca="1">_xlfn.LET(
_xlpm.rango, INDIRECT("S!$C$" &amp; $BA$8 &amp; ":$DR$" &amp; $BA$9),
_xlpm.col, W$72+$D82*10,
INDEX(_xlpm.rango,$BA$4-3,_xlpm.col) +
INDEX(_xlpm.rango,$BA$4-2,_xlpm.col) +
INDEX(_xlpm.rango,$BA$4-1,_xlpm.col) +
INDEX(_xlpm.rango,$BA$4, _xlpm.col)
)</f>
        <v>#VALUE!</v>
      </c>
      <c r="X83" s="95" t="e" cm="1" vm="1">
        <f t="array" aca="1" ref="X83" ca="1">_xlfn.LET(
_xlpm.rango, INDIRECT("S!$C$" &amp; $BA$8 &amp; ":$DR$" &amp; $BA$9),
_xlpm.col, X$72+$D82*10,
INDEX(_xlpm.rango,$BA$4-3,_xlpm.col) +
INDEX(_xlpm.rango,$BA$4-2,_xlpm.col) +
INDEX(_xlpm.rango,$BA$4-1,_xlpm.col) +
INDEX(_xlpm.rango,$BA$4, _xlpm.col)
)</f>
        <v>#VALUE!</v>
      </c>
      <c r="Y83" s="95" t="e" cm="1" vm="1">
        <f t="array" aca="1" ref="Y83" ca="1">_xlfn.LET(
_xlpm.rango, INDIRECT("S!$C$" &amp; $BA$8 &amp; ":$DR$" &amp; $BA$9),
_xlpm.col, Y$72+$D82*10,
INDEX(_xlpm.rango,$BA$4-3,_xlpm.col) +
INDEX(_xlpm.rango,$BA$4-2,_xlpm.col) +
INDEX(_xlpm.rango,$BA$4-1,_xlpm.col) +
INDEX(_xlpm.rango,$BA$4, _xlpm.col)
)</f>
        <v>#VALUE!</v>
      </c>
      <c r="Z83" s="100" t="e" cm="1" vm="1">
        <f t="array" aca="1" ref="Z83" ca="1">_xlfn.LET(
_xlpm.rango, INDIRECT("E!$C$" &amp; $BA$8 &amp; ":$DR$" &amp; $BA$9),
_xlpm.col, Z$72+$D82*10,
INDEX(_xlpm.rango,$BA$4-3,_xlpm.col) +
INDEX(_xlpm.rango,$BA$4-2,_xlpm.col) +
INDEX(_xlpm.rango,$BA$4-1,_xlpm.col) +
INDEX(_xlpm.rango,$BA$4, _xlpm.col)
)</f>
        <v>#VALUE!</v>
      </c>
      <c r="AA83" s="95" t="e" cm="1" vm="1">
        <f t="array" aca="1" ref="AA83" ca="1">_xlfn.LET(
_xlpm.rango, INDIRECT("E!$C$" &amp; $BA$8 &amp; ":$DR$" &amp; $BA$9),
_xlpm.col, AA$72+$D82*10,
INDEX(_xlpm.rango,$BA$4-3,_xlpm.col) +
INDEX(_xlpm.rango,$BA$4-2,_xlpm.col) +
INDEX(_xlpm.rango,$BA$4-1,_xlpm.col) +
INDEX(_xlpm.rango,$BA$4, _xlpm.col)
)</f>
        <v>#VALUE!</v>
      </c>
      <c r="AB83" s="95" t="e" cm="1" vm="1">
        <f t="array" aca="1" ref="AB83" ca="1">_xlfn.LET(
_xlpm.rango, INDIRECT("E!$C$" &amp; $BA$8 &amp; ":$DR$" &amp; $BA$9),
_xlpm.col, AB$72+$D82*10,
INDEX(_xlpm.rango,$BA$4-3,_xlpm.col) +
INDEX(_xlpm.rango,$BA$4-2,_xlpm.col) +
INDEX(_xlpm.rango,$BA$4-1,_xlpm.col) +
INDEX(_xlpm.rango,$BA$4, _xlpm.col)
)</f>
        <v>#VALUE!</v>
      </c>
      <c r="AC83" s="95" t="e" cm="1" vm="1">
        <f t="array" aca="1" ref="AC83" ca="1">_xlfn.LET(
_xlpm.rango, INDIRECT("E!$C$" &amp; $BA$8 &amp; ":$DR$" &amp; $BA$9),
_xlpm.col, AC$72+$D82*10,
INDEX(_xlpm.rango,$BA$4-3,_xlpm.col) +
INDEX(_xlpm.rango,$BA$4-2,_xlpm.col) +
INDEX(_xlpm.rango,$BA$4-1,_xlpm.col) +
INDEX(_xlpm.rango,$BA$4, _xlpm.col)
)</f>
        <v>#VALUE!</v>
      </c>
      <c r="AD83" s="95" t="e" cm="1" vm="1">
        <f t="array" aca="1" ref="AD83" ca="1">_xlfn.LET(
_xlpm.rango, INDIRECT("E!$C$" &amp; $BA$8 &amp; ":$DR$" &amp; $BA$9),
_xlpm.col, AD$72+$D82*10,
INDEX(_xlpm.rango,$BA$4-3,_xlpm.col) +
INDEX(_xlpm.rango,$BA$4-2,_xlpm.col) +
INDEX(_xlpm.rango,$BA$4-1,_xlpm.col) +
INDEX(_xlpm.rango,$BA$4, _xlpm.col)
)</f>
        <v>#VALUE!</v>
      </c>
      <c r="AE83" s="95" t="e" cm="1" vm="1">
        <f t="array" aca="1" ref="AE83" ca="1">_xlfn.LET(
_xlpm.rango, INDIRECT("E!$C$" &amp; $BA$8 &amp; ":$DR$" &amp; $BA$9),
_xlpm.col, AE$72+$D82*10,
INDEX(_xlpm.rango,$BA$4-3,_xlpm.col) +
INDEX(_xlpm.rango,$BA$4-2,_xlpm.col) +
INDEX(_xlpm.rango,$BA$4-1,_xlpm.col) +
INDEX(_xlpm.rango,$BA$4, _xlpm.col)
)</f>
        <v>#VALUE!</v>
      </c>
      <c r="AF83" s="95" t="e" cm="1" vm="1">
        <f t="array" aca="1" ref="AF83" ca="1">_xlfn.LET(
_xlpm.rango, INDIRECT("E!$C$" &amp; $BA$8 &amp; ":$DR$" &amp; $BA$9),
_xlpm.col, AF$72+$D82*10,
INDEX(_xlpm.rango,$BA$4-3,_xlpm.col) +
INDEX(_xlpm.rango,$BA$4-2,_xlpm.col) +
INDEX(_xlpm.rango,$BA$4-1,_xlpm.col) +
INDEX(_xlpm.rango,$BA$4, _xlpm.col)
)</f>
        <v>#VALUE!</v>
      </c>
      <c r="AG83" s="95" t="e" cm="1" vm="1">
        <f t="array" aca="1" ref="AG83" ca="1">_xlfn.LET(
_xlpm.rango, INDIRECT("E!$C$" &amp; $BA$8 &amp; ":$DR$" &amp; $BA$9),
_xlpm.col, AG$72+$D82*10,
INDEX(_xlpm.rango,$BA$4-3,_xlpm.col) +
INDEX(_xlpm.rango,$BA$4-2,_xlpm.col) +
INDEX(_xlpm.rango,$BA$4-1,_xlpm.col) +
INDEX(_xlpm.rango,$BA$4, _xlpm.col)
)</f>
        <v>#VALUE!</v>
      </c>
      <c r="AH83" s="95" t="e" cm="1" vm="1">
        <f t="array" aca="1" ref="AH83" ca="1">_xlfn.LET(
_xlpm.rango, INDIRECT("E!$C$" &amp; $BA$8 &amp; ":$DR$" &amp; $BA$9),
_xlpm.col, AH$72+$D82*10,
INDEX(_xlpm.rango,$BA$4-3,_xlpm.col) +
INDEX(_xlpm.rango,$BA$4-2,_xlpm.col) +
INDEX(_xlpm.rango,$BA$4-1,_xlpm.col) +
INDEX(_xlpm.rango,$BA$4, _xlpm.col)
)</f>
        <v>#VALUE!</v>
      </c>
      <c r="AI83" s="96" t="e" cm="1" vm="1">
        <f t="array" aca="1" ref="AI83" ca="1">_xlfn.LET(
_xlpm.rango, INDIRECT("E!$C$" &amp; $BA$8 &amp; ":$DR$" &amp; $BA$9),
_xlpm.col, AI$72+$D82*10,
INDEX(_xlpm.rango,$BA$4-3,_xlpm.col) +
INDEX(_xlpm.rango,$BA$4-2,_xlpm.col) +
INDEX(_xlpm.rango,$BA$4-1,_xlpm.col) +
INDEX(_xlpm.rango,$BA$4, _xlpm.col)
)</f>
        <v>#VALUE!</v>
      </c>
      <c r="AJ83" s="95" t="e" cm="1" vm="1">
        <f t="array" aca="1" ref="AJ83" ca="1">_xlfn.LET(
_xlpm.rango, INDIRECT("E!$C$" &amp; $BA$8 &amp; ":$DR$" &amp; $BA$9),
_xlpm.col, AJ$72+$D82*10,
INDEX(_xlpm.rango,$BA$4-3,_xlpm.col) +
INDEX(_xlpm.rango,$BA$4-2,_xlpm.col) +
INDEX(_xlpm.rango,$BA$4-1,_xlpm.col) +
INDEX(_xlpm.rango,$BA$4, _xlpm.col)
)</f>
        <v>#VALUE!</v>
      </c>
      <c r="AK83" s="95" t="e" cm="1" vm="1">
        <f t="array" aca="1" ref="AK83" ca="1">_xlfn.LET(
_xlpm.rango, INDIRECT("E!$C$" &amp; $BA$8 &amp; ":$DR$" &amp; $BA$9),
_xlpm.col, AK$72+$D82*10,
INDEX(_xlpm.rango,$BA$4-3,_xlpm.col) +
INDEX(_xlpm.rango,$BA$4-2,_xlpm.col) +
INDEX(_xlpm.rango,$BA$4-1,_xlpm.col) +
INDEX(_xlpm.rango,$BA$4, _xlpm.col)
)</f>
        <v>#VALUE!</v>
      </c>
      <c r="AL83" s="95" t="e" cm="1" vm="1">
        <f t="array" aca="1" ref="AL83" ca="1">_xlfn.LET(
_xlpm.rango, INDIRECT("E!$C$" &amp; $BA$8 &amp; ":$DR$" &amp; $BA$9),
_xlpm.col, AL$72+$D82*10,
INDEX(_xlpm.rango,$BA$4-3,_xlpm.col) +
INDEX(_xlpm.rango,$BA$4-2,_xlpm.col) +
INDEX(_xlpm.rango,$BA$4-1,_xlpm.col) +
INDEX(_xlpm.rango,$BA$4, _xlpm.col)
)</f>
        <v>#VALUE!</v>
      </c>
      <c r="AM83" s="95" t="e" cm="1" vm="1">
        <f t="array" aca="1" ref="AM83" ca="1">_xlfn.LET(
_xlpm.rango, INDIRECT("E!$C$" &amp; $BA$8 &amp; ":$DR$" &amp; $BA$9),
_xlpm.col, AM$72+$D82*10,
INDEX(_xlpm.rango,$BA$4-3,_xlpm.col) +
INDEX(_xlpm.rango,$BA$4-2,_xlpm.col) +
INDEX(_xlpm.rango,$BA$4-1,_xlpm.col) +
INDEX(_xlpm.rango,$BA$4, _xlpm.col)
)</f>
        <v>#VALUE!</v>
      </c>
      <c r="AN83" s="95" t="e" cm="1" vm="1">
        <f t="array" aca="1" ref="AN83" ca="1">_xlfn.LET(
_xlpm.rango, INDIRECT("E!$C$" &amp; $BA$8 &amp; ":$DR$" &amp; $BA$9),
_xlpm.col, AN$72+$D82*10,
INDEX(_xlpm.rango,$BA$4-3,_xlpm.col) +
INDEX(_xlpm.rango,$BA$4-2,_xlpm.col) +
INDEX(_xlpm.rango,$BA$4-1,_xlpm.col) +
INDEX(_xlpm.rango,$BA$4, _xlpm.col)
)</f>
        <v>#VALUE!</v>
      </c>
      <c r="AO83" s="95" t="e" cm="1" vm="1">
        <f t="array" aca="1" ref="AO83" ca="1">_xlfn.LET(
_xlpm.rango, INDIRECT("E!$C$" &amp; $BA$8 &amp; ":$DR$" &amp; $BA$9),
_xlpm.col, AO$72+$D82*10,
INDEX(_xlpm.rango,$BA$4-3,_xlpm.col) +
INDEX(_xlpm.rango,$BA$4-2,_xlpm.col) +
INDEX(_xlpm.rango,$BA$4-1,_xlpm.col) +
INDEX(_xlpm.rango,$BA$4, _xlpm.col)
)</f>
        <v>#VALUE!</v>
      </c>
      <c r="AP83" s="95" t="e" cm="1" vm="1">
        <f t="array" aca="1" ref="AP83" ca="1">_xlfn.LET(
_xlpm.rango, INDIRECT("E!$C$" &amp; $BA$8 &amp; ":$DR$" &amp; $BA$9),
_xlpm.col, AP$72+$D82*10,
INDEX(_xlpm.rango,$BA$4-3,_xlpm.col) +
INDEX(_xlpm.rango,$BA$4-2,_xlpm.col) +
INDEX(_xlpm.rango,$BA$4-1,_xlpm.col) +
INDEX(_xlpm.rango,$BA$4, _xlpm.col)
)</f>
        <v>#VALUE!</v>
      </c>
      <c r="AQ83" s="95" t="e" cm="1" vm="1">
        <f t="array" aca="1" ref="AQ83" ca="1">_xlfn.LET(
_xlpm.rango, INDIRECT("E!$C$" &amp; $BA$8 &amp; ":$DR$" &amp; $BA$9),
_xlpm.col, AQ$72+$D82*10,
INDEX(_xlpm.rango,$BA$4-3,_xlpm.col) +
INDEX(_xlpm.rango,$BA$4-2,_xlpm.col) +
INDEX(_xlpm.rango,$BA$4-1,_xlpm.col) +
INDEX(_xlpm.rango,$BA$4, _xlpm.col)
)</f>
        <v>#VALUE!</v>
      </c>
      <c r="AR83" s="95" t="e" cm="1" vm="1">
        <f t="array" aca="1" ref="AR83" ca="1">_xlfn.LET(
_xlpm.rango, INDIRECT("E!$C$" &amp; $BA$8 &amp; ":$DR$" &amp; $BA$9),
_xlpm.col, AR$72+$D82*10,
INDEX(_xlpm.rango,$BA$4-3,_xlpm.col) +
INDEX(_xlpm.rango,$BA$4-2,_xlpm.col) +
INDEX(_xlpm.rango,$BA$4-1,_xlpm.col) +
INDEX(_xlpm.rango,$BA$4, _xlpm.col)
)</f>
        <v>#VALUE!</v>
      </c>
      <c r="AS83" s="112" t="e" cm="1" vm="1">
        <f t="array" aca="1" ref="AS83" ca="1">_xlfn.LET(
_xlpm.rango, INDIRECT("E!$C$" &amp; $BA$8 &amp; ":$DR$" &amp; $BA$9),
_xlpm.col, AS$72+$D82*10,
INDEX(_xlpm.rango,$BA$4-3,_xlpm.col) +
INDEX(_xlpm.rango,$BA$4-2,_xlpm.col) +
INDEX(_xlpm.rango,$BA$4-1,_xlpm.col) +
INDEX(_xlpm.rango,$BA$4, _xlpm.col)
)</f>
        <v>#VALUE!</v>
      </c>
      <c r="AT83" s="118" t="e" vm="2">
        <f t="shared" ca="1" si="0"/>
        <v>#VALUE!</v>
      </c>
      <c r="AU83" s="120" t="e" vm="2">
        <f t="shared" ca="1" si="1"/>
        <v>#VALUE!</v>
      </c>
    </row>
    <row r="84" spans="4:47" x14ac:dyDescent="0.25">
      <c r="D84">
        <v>9</v>
      </c>
      <c r="E84" s="106" t="str">
        <f>Inicio!V12</f>
        <v>Microbus</v>
      </c>
      <c r="F84" s="100" t="e" cm="1" vm="1">
        <f t="array" aca="1" ref="F84" ca="1">_xlfn.LET(
_xlpm.rango, INDIRECT("N!$C$" &amp; $BA$8 &amp; ":$DR$" &amp; $BA$9),
_xlpm.col, F$72+$D83*10,
INDEX(_xlpm.rango,$BA$4-3,_xlpm.col) +
INDEX(_xlpm.rango,$BA$4-2,_xlpm.col) +
INDEX(_xlpm.rango,$BA$4-1,_xlpm.col) +
INDEX(_xlpm.rango,$BA$4, _xlpm.col)
)</f>
        <v>#VALUE!</v>
      </c>
      <c r="G84" s="95" t="e" cm="1" vm="1">
        <f t="array" aca="1" ref="G84" ca="1">_xlfn.LET(
_xlpm.rango, INDIRECT("N!$C$" &amp; $BA$8 &amp; ":$DR$" &amp; $BA$9),
_xlpm.col, G$72+$D83*10,
INDEX(_xlpm.rango,$BA$4-3,_xlpm.col) +
INDEX(_xlpm.rango,$BA$4-2,_xlpm.col) +
INDEX(_xlpm.rango,$BA$4-1,_xlpm.col) +
INDEX(_xlpm.rango,$BA$4, _xlpm.col)
)</f>
        <v>#VALUE!</v>
      </c>
      <c r="H84" s="95" t="e" cm="1" vm="1">
        <f t="array" aca="1" ref="H84" ca="1">_xlfn.LET(
_xlpm.rango, INDIRECT("N!$C$" &amp; $BA$8 &amp; ":$DR$" &amp; $BA$9),
_xlpm.col, H$72+$D83*10,
INDEX(_xlpm.rango,$BA$4-3,_xlpm.col) +
INDEX(_xlpm.rango,$BA$4-2,_xlpm.col) +
INDEX(_xlpm.rango,$BA$4-1,_xlpm.col) +
INDEX(_xlpm.rango,$BA$4, _xlpm.col)
)</f>
        <v>#VALUE!</v>
      </c>
      <c r="I84" s="95" t="e" cm="1" vm="1">
        <f t="array" aca="1" ref="I84" ca="1">_xlfn.LET(
_xlpm.rango, INDIRECT("N!$C$" &amp; $BA$8 &amp; ":$DR$" &amp; $BA$9),
_xlpm.col, I$72+$D83*10,
INDEX(_xlpm.rango,$BA$4-3,_xlpm.col) +
INDEX(_xlpm.rango,$BA$4-2,_xlpm.col) +
INDEX(_xlpm.rango,$BA$4-1,_xlpm.col) +
INDEX(_xlpm.rango,$BA$4, _xlpm.col)
)</f>
        <v>#VALUE!</v>
      </c>
      <c r="J84" s="95" t="e" cm="1" vm="1">
        <f t="array" aca="1" ref="J84" ca="1">_xlfn.LET(
_xlpm.rango, INDIRECT("N!$C$" &amp; $BA$8 &amp; ":$DR$" &amp; $BA$9),
_xlpm.col, J$72+$D83*10,
INDEX(_xlpm.rango,$BA$4-3,_xlpm.col) +
INDEX(_xlpm.rango,$BA$4-2,_xlpm.col) +
INDEX(_xlpm.rango,$BA$4-1,_xlpm.col) +
INDEX(_xlpm.rango,$BA$4, _xlpm.col)
)</f>
        <v>#VALUE!</v>
      </c>
      <c r="K84" s="95" t="e" cm="1" vm="1">
        <f t="array" aca="1" ref="K84" ca="1">_xlfn.LET(
_xlpm.rango, INDIRECT("N!$C$" &amp; $BA$8 &amp; ":$DR$" &amp; $BA$9),
_xlpm.col, K$72+$D83*10,
INDEX(_xlpm.rango,$BA$4-3,_xlpm.col) +
INDEX(_xlpm.rango,$BA$4-2,_xlpm.col) +
INDEX(_xlpm.rango,$BA$4-1,_xlpm.col) +
INDEX(_xlpm.rango,$BA$4, _xlpm.col)
)</f>
        <v>#VALUE!</v>
      </c>
      <c r="L84" s="95" t="e" cm="1" vm="1">
        <f t="array" aca="1" ref="L84" ca="1">_xlfn.LET(
_xlpm.rango, INDIRECT("N!$C$" &amp; $BA$8 &amp; ":$DR$" &amp; $BA$9),
_xlpm.col, L$72+$D83*10,
INDEX(_xlpm.rango,$BA$4-3,_xlpm.col) +
INDEX(_xlpm.rango,$BA$4-2,_xlpm.col) +
INDEX(_xlpm.rango,$BA$4-1,_xlpm.col) +
INDEX(_xlpm.rango,$BA$4, _xlpm.col)
)</f>
        <v>#VALUE!</v>
      </c>
      <c r="M84" s="95" t="e" cm="1" vm="1">
        <f t="array" aca="1" ref="M84" ca="1">_xlfn.LET(
_xlpm.rango, INDIRECT("N!$C$" &amp; $BA$8 &amp; ":$DR$" &amp; $BA$9),
_xlpm.col, M$72+$D83*10,
INDEX(_xlpm.rango,$BA$4-3,_xlpm.col) +
INDEX(_xlpm.rango,$BA$4-2,_xlpm.col) +
INDEX(_xlpm.rango,$BA$4-1,_xlpm.col) +
INDEX(_xlpm.rango,$BA$4, _xlpm.col)
)</f>
        <v>#VALUE!</v>
      </c>
      <c r="N84" s="95" t="e" cm="1" vm="1">
        <f t="array" aca="1" ref="N84" ca="1">_xlfn.LET(
_xlpm.rango, INDIRECT("N!$C$" &amp; $BA$8 &amp; ":$DR$" &amp; $BA$9),
_xlpm.col, N$72+$D83*10,
INDEX(_xlpm.rango,$BA$4-3,_xlpm.col) +
INDEX(_xlpm.rango,$BA$4-2,_xlpm.col) +
INDEX(_xlpm.rango,$BA$4-1,_xlpm.col) +
INDEX(_xlpm.rango,$BA$4, _xlpm.col)
)</f>
        <v>#VALUE!</v>
      </c>
      <c r="O84" s="96" t="e" cm="1" vm="1">
        <f t="array" aca="1" ref="O84" ca="1">_xlfn.LET(
_xlpm.rango, INDIRECT("N!$C$" &amp; $BA$8 &amp; ":$DR$" &amp; $BA$9),
_xlpm.col, O$72+$D83*10,
INDEX(_xlpm.rango,$BA$4-3,_xlpm.col) +
INDEX(_xlpm.rango,$BA$4-2,_xlpm.col) +
INDEX(_xlpm.rango,$BA$4-1,_xlpm.col) +
INDEX(_xlpm.rango,$BA$4, _xlpm.col)
)</f>
        <v>#VALUE!</v>
      </c>
      <c r="P84" s="95" t="e" cm="1" vm="1">
        <f t="array" aca="1" ref="P84" ca="1">_xlfn.LET(
_xlpm.rango, INDIRECT("S!$C$" &amp; $BA$8 &amp; ":$DR$" &amp; $BA$9),
_xlpm.col, P$72+$D83*10,
INDEX(_xlpm.rango,$BA$4-3,_xlpm.col) +
INDEX(_xlpm.rango,$BA$4-2,_xlpm.col) +
INDEX(_xlpm.rango,$BA$4-1,_xlpm.col) +
INDEX(_xlpm.rango,$BA$4, _xlpm.col)
)</f>
        <v>#VALUE!</v>
      </c>
      <c r="Q84" s="95" t="e" cm="1" vm="1">
        <f t="array" aca="1" ref="Q84" ca="1">_xlfn.LET(
_xlpm.rango, INDIRECT("S!$C$" &amp; $BA$8 &amp; ":$DR$" &amp; $BA$9),
_xlpm.col, Q$72+$D83*10,
INDEX(_xlpm.rango,$BA$4-3,_xlpm.col) +
INDEX(_xlpm.rango,$BA$4-2,_xlpm.col) +
INDEX(_xlpm.rango,$BA$4-1,_xlpm.col) +
INDEX(_xlpm.rango,$BA$4, _xlpm.col)
)</f>
        <v>#VALUE!</v>
      </c>
      <c r="R84" s="95" t="e" cm="1" vm="1">
        <f t="array" aca="1" ref="R84" ca="1">_xlfn.LET(
_xlpm.rango, INDIRECT("S!$C$" &amp; $BA$8 &amp; ":$DR$" &amp; $BA$9),
_xlpm.col, R$72+$D83*10,
INDEX(_xlpm.rango,$BA$4-3,_xlpm.col) +
INDEX(_xlpm.rango,$BA$4-2,_xlpm.col) +
INDEX(_xlpm.rango,$BA$4-1,_xlpm.col) +
INDEX(_xlpm.rango,$BA$4, _xlpm.col)
)</f>
        <v>#VALUE!</v>
      </c>
      <c r="S84" s="95" t="e" cm="1" vm="1">
        <f t="array" aca="1" ref="S84" ca="1">_xlfn.LET(
_xlpm.rango, INDIRECT("S!$C$" &amp; $BA$8 &amp; ":$DR$" &amp; $BA$9),
_xlpm.col, S$72+$D83*10,
INDEX(_xlpm.rango,$BA$4-3,_xlpm.col) +
INDEX(_xlpm.rango,$BA$4-2,_xlpm.col) +
INDEX(_xlpm.rango,$BA$4-1,_xlpm.col) +
INDEX(_xlpm.rango,$BA$4, _xlpm.col)
)</f>
        <v>#VALUE!</v>
      </c>
      <c r="T84" s="95" t="e" cm="1" vm="1">
        <f t="array" aca="1" ref="T84" ca="1">_xlfn.LET(
_xlpm.rango, INDIRECT("S!$C$" &amp; $BA$8 &amp; ":$DR$" &amp; $BA$9),
_xlpm.col, T$72+$D83*10,
INDEX(_xlpm.rango,$BA$4-3,_xlpm.col) +
INDEX(_xlpm.rango,$BA$4-2,_xlpm.col) +
INDEX(_xlpm.rango,$BA$4-1,_xlpm.col) +
INDEX(_xlpm.rango,$BA$4, _xlpm.col)
)</f>
        <v>#VALUE!</v>
      </c>
      <c r="U84" s="95" t="e" cm="1" vm="1">
        <f t="array" aca="1" ref="U84" ca="1">_xlfn.LET(
_xlpm.rango, INDIRECT("S!$C$" &amp; $BA$8 &amp; ":$DR$" &amp; $BA$9),
_xlpm.col, U$72+$D83*10,
INDEX(_xlpm.rango,$BA$4-3,_xlpm.col) +
INDEX(_xlpm.rango,$BA$4-2,_xlpm.col) +
INDEX(_xlpm.rango,$BA$4-1,_xlpm.col) +
INDEX(_xlpm.rango,$BA$4, _xlpm.col)
)</f>
        <v>#VALUE!</v>
      </c>
      <c r="V84" s="95" t="e" cm="1" vm="1">
        <f t="array" aca="1" ref="V84" ca="1">_xlfn.LET(
_xlpm.rango, INDIRECT("S!$C$" &amp; $BA$8 &amp; ":$DR$" &amp; $BA$9),
_xlpm.col, V$72+$D83*10,
INDEX(_xlpm.rango,$BA$4-3,_xlpm.col) +
INDEX(_xlpm.rango,$BA$4-2,_xlpm.col) +
INDEX(_xlpm.rango,$BA$4-1,_xlpm.col) +
INDEX(_xlpm.rango,$BA$4, _xlpm.col)
)</f>
        <v>#VALUE!</v>
      </c>
      <c r="W84" s="95" t="e" cm="1" vm="1">
        <f t="array" aca="1" ref="W84" ca="1">_xlfn.LET(
_xlpm.rango, INDIRECT("S!$C$" &amp; $BA$8 &amp; ":$DR$" &amp; $BA$9),
_xlpm.col, W$72+$D83*10,
INDEX(_xlpm.rango,$BA$4-3,_xlpm.col) +
INDEX(_xlpm.rango,$BA$4-2,_xlpm.col) +
INDEX(_xlpm.rango,$BA$4-1,_xlpm.col) +
INDEX(_xlpm.rango,$BA$4, _xlpm.col)
)</f>
        <v>#VALUE!</v>
      </c>
      <c r="X84" s="95" t="e" cm="1" vm="1">
        <f t="array" aca="1" ref="X84" ca="1">_xlfn.LET(
_xlpm.rango, INDIRECT("S!$C$" &amp; $BA$8 &amp; ":$DR$" &amp; $BA$9),
_xlpm.col, X$72+$D83*10,
INDEX(_xlpm.rango,$BA$4-3,_xlpm.col) +
INDEX(_xlpm.rango,$BA$4-2,_xlpm.col) +
INDEX(_xlpm.rango,$BA$4-1,_xlpm.col) +
INDEX(_xlpm.rango,$BA$4, _xlpm.col)
)</f>
        <v>#VALUE!</v>
      </c>
      <c r="Y84" s="95" t="e" cm="1" vm="1">
        <f t="array" aca="1" ref="Y84" ca="1">_xlfn.LET(
_xlpm.rango, INDIRECT("S!$C$" &amp; $BA$8 &amp; ":$DR$" &amp; $BA$9),
_xlpm.col, Y$72+$D83*10,
INDEX(_xlpm.rango,$BA$4-3,_xlpm.col) +
INDEX(_xlpm.rango,$BA$4-2,_xlpm.col) +
INDEX(_xlpm.rango,$BA$4-1,_xlpm.col) +
INDEX(_xlpm.rango,$BA$4, _xlpm.col)
)</f>
        <v>#VALUE!</v>
      </c>
      <c r="Z84" s="100" t="e" cm="1" vm="1">
        <f t="array" aca="1" ref="Z84" ca="1">_xlfn.LET(
_xlpm.rango, INDIRECT("E!$C$" &amp; $BA$8 &amp; ":$DR$" &amp; $BA$9),
_xlpm.col, Z$72+$D83*10,
INDEX(_xlpm.rango,$BA$4-3,_xlpm.col) +
INDEX(_xlpm.rango,$BA$4-2,_xlpm.col) +
INDEX(_xlpm.rango,$BA$4-1,_xlpm.col) +
INDEX(_xlpm.rango,$BA$4, _xlpm.col)
)</f>
        <v>#VALUE!</v>
      </c>
      <c r="AA84" s="95" t="e" cm="1" vm="1">
        <f t="array" aca="1" ref="AA84" ca="1">_xlfn.LET(
_xlpm.rango, INDIRECT("E!$C$" &amp; $BA$8 &amp; ":$DR$" &amp; $BA$9),
_xlpm.col, AA$72+$D83*10,
INDEX(_xlpm.rango,$BA$4-3,_xlpm.col) +
INDEX(_xlpm.rango,$BA$4-2,_xlpm.col) +
INDEX(_xlpm.rango,$BA$4-1,_xlpm.col) +
INDEX(_xlpm.rango,$BA$4, _xlpm.col)
)</f>
        <v>#VALUE!</v>
      </c>
      <c r="AB84" s="95" t="e" cm="1" vm="1">
        <f t="array" aca="1" ref="AB84" ca="1">_xlfn.LET(
_xlpm.rango, INDIRECT("E!$C$" &amp; $BA$8 &amp; ":$DR$" &amp; $BA$9),
_xlpm.col, AB$72+$D83*10,
INDEX(_xlpm.rango,$BA$4-3,_xlpm.col) +
INDEX(_xlpm.rango,$BA$4-2,_xlpm.col) +
INDEX(_xlpm.rango,$BA$4-1,_xlpm.col) +
INDEX(_xlpm.rango,$BA$4, _xlpm.col)
)</f>
        <v>#VALUE!</v>
      </c>
      <c r="AC84" s="95" t="e" cm="1" vm="1">
        <f t="array" aca="1" ref="AC84" ca="1">_xlfn.LET(
_xlpm.rango, INDIRECT("E!$C$" &amp; $BA$8 &amp; ":$DR$" &amp; $BA$9),
_xlpm.col, AC$72+$D83*10,
INDEX(_xlpm.rango,$BA$4-3,_xlpm.col) +
INDEX(_xlpm.rango,$BA$4-2,_xlpm.col) +
INDEX(_xlpm.rango,$BA$4-1,_xlpm.col) +
INDEX(_xlpm.rango,$BA$4, _xlpm.col)
)</f>
        <v>#VALUE!</v>
      </c>
      <c r="AD84" s="95" t="e" cm="1" vm="1">
        <f t="array" aca="1" ref="AD84" ca="1">_xlfn.LET(
_xlpm.rango, INDIRECT("E!$C$" &amp; $BA$8 &amp; ":$DR$" &amp; $BA$9),
_xlpm.col, AD$72+$D83*10,
INDEX(_xlpm.rango,$BA$4-3,_xlpm.col) +
INDEX(_xlpm.rango,$BA$4-2,_xlpm.col) +
INDEX(_xlpm.rango,$BA$4-1,_xlpm.col) +
INDEX(_xlpm.rango,$BA$4, _xlpm.col)
)</f>
        <v>#VALUE!</v>
      </c>
      <c r="AE84" s="95" t="e" cm="1" vm="1">
        <f t="array" aca="1" ref="AE84" ca="1">_xlfn.LET(
_xlpm.rango, INDIRECT("E!$C$" &amp; $BA$8 &amp; ":$DR$" &amp; $BA$9),
_xlpm.col, AE$72+$D83*10,
INDEX(_xlpm.rango,$BA$4-3,_xlpm.col) +
INDEX(_xlpm.rango,$BA$4-2,_xlpm.col) +
INDEX(_xlpm.rango,$BA$4-1,_xlpm.col) +
INDEX(_xlpm.rango,$BA$4, _xlpm.col)
)</f>
        <v>#VALUE!</v>
      </c>
      <c r="AF84" s="95" t="e" cm="1" vm="1">
        <f t="array" aca="1" ref="AF84" ca="1">_xlfn.LET(
_xlpm.rango, INDIRECT("E!$C$" &amp; $BA$8 &amp; ":$DR$" &amp; $BA$9),
_xlpm.col, AF$72+$D83*10,
INDEX(_xlpm.rango,$BA$4-3,_xlpm.col) +
INDEX(_xlpm.rango,$BA$4-2,_xlpm.col) +
INDEX(_xlpm.rango,$BA$4-1,_xlpm.col) +
INDEX(_xlpm.rango,$BA$4, _xlpm.col)
)</f>
        <v>#VALUE!</v>
      </c>
      <c r="AG84" s="95" t="e" cm="1" vm="1">
        <f t="array" aca="1" ref="AG84" ca="1">_xlfn.LET(
_xlpm.rango, INDIRECT("E!$C$" &amp; $BA$8 &amp; ":$DR$" &amp; $BA$9),
_xlpm.col, AG$72+$D83*10,
INDEX(_xlpm.rango,$BA$4-3,_xlpm.col) +
INDEX(_xlpm.rango,$BA$4-2,_xlpm.col) +
INDEX(_xlpm.rango,$BA$4-1,_xlpm.col) +
INDEX(_xlpm.rango,$BA$4, _xlpm.col)
)</f>
        <v>#VALUE!</v>
      </c>
      <c r="AH84" s="95" t="e" cm="1" vm="1">
        <f t="array" aca="1" ref="AH84" ca="1">_xlfn.LET(
_xlpm.rango, INDIRECT("E!$C$" &amp; $BA$8 &amp; ":$DR$" &amp; $BA$9),
_xlpm.col, AH$72+$D83*10,
INDEX(_xlpm.rango,$BA$4-3,_xlpm.col) +
INDEX(_xlpm.rango,$BA$4-2,_xlpm.col) +
INDEX(_xlpm.rango,$BA$4-1,_xlpm.col) +
INDEX(_xlpm.rango,$BA$4, _xlpm.col)
)</f>
        <v>#VALUE!</v>
      </c>
      <c r="AI84" s="96" t="e" cm="1" vm="1">
        <f t="array" aca="1" ref="AI84" ca="1">_xlfn.LET(
_xlpm.rango, INDIRECT("E!$C$" &amp; $BA$8 &amp; ":$DR$" &amp; $BA$9),
_xlpm.col, AI$72+$D83*10,
INDEX(_xlpm.rango,$BA$4-3,_xlpm.col) +
INDEX(_xlpm.rango,$BA$4-2,_xlpm.col) +
INDEX(_xlpm.rango,$BA$4-1,_xlpm.col) +
INDEX(_xlpm.rango,$BA$4, _xlpm.col)
)</f>
        <v>#VALUE!</v>
      </c>
      <c r="AJ84" s="95" t="e" cm="1" vm="1">
        <f t="array" aca="1" ref="AJ84" ca="1">_xlfn.LET(
_xlpm.rango, INDIRECT("E!$C$" &amp; $BA$8 &amp; ":$DR$" &amp; $BA$9),
_xlpm.col, AJ$72+$D83*10,
INDEX(_xlpm.rango,$BA$4-3,_xlpm.col) +
INDEX(_xlpm.rango,$BA$4-2,_xlpm.col) +
INDEX(_xlpm.rango,$BA$4-1,_xlpm.col) +
INDEX(_xlpm.rango,$BA$4, _xlpm.col)
)</f>
        <v>#VALUE!</v>
      </c>
      <c r="AK84" s="95" t="e" cm="1" vm="1">
        <f t="array" aca="1" ref="AK84" ca="1">_xlfn.LET(
_xlpm.rango, INDIRECT("E!$C$" &amp; $BA$8 &amp; ":$DR$" &amp; $BA$9),
_xlpm.col, AK$72+$D83*10,
INDEX(_xlpm.rango,$BA$4-3,_xlpm.col) +
INDEX(_xlpm.rango,$BA$4-2,_xlpm.col) +
INDEX(_xlpm.rango,$BA$4-1,_xlpm.col) +
INDEX(_xlpm.rango,$BA$4, _xlpm.col)
)</f>
        <v>#VALUE!</v>
      </c>
      <c r="AL84" s="95" t="e" cm="1" vm="1">
        <f t="array" aca="1" ref="AL84" ca="1">_xlfn.LET(
_xlpm.rango, INDIRECT("E!$C$" &amp; $BA$8 &amp; ":$DR$" &amp; $BA$9),
_xlpm.col, AL$72+$D83*10,
INDEX(_xlpm.rango,$BA$4-3,_xlpm.col) +
INDEX(_xlpm.rango,$BA$4-2,_xlpm.col) +
INDEX(_xlpm.rango,$BA$4-1,_xlpm.col) +
INDEX(_xlpm.rango,$BA$4, _xlpm.col)
)</f>
        <v>#VALUE!</v>
      </c>
      <c r="AM84" s="95" t="e" cm="1" vm="1">
        <f t="array" aca="1" ref="AM84" ca="1">_xlfn.LET(
_xlpm.rango, INDIRECT("E!$C$" &amp; $BA$8 &amp; ":$DR$" &amp; $BA$9),
_xlpm.col, AM$72+$D83*10,
INDEX(_xlpm.rango,$BA$4-3,_xlpm.col) +
INDEX(_xlpm.rango,$BA$4-2,_xlpm.col) +
INDEX(_xlpm.rango,$BA$4-1,_xlpm.col) +
INDEX(_xlpm.rango,$BA$4, _xlpm.col)
)</f>
        <v>#VALUE!</v>
      </c>
      <c r="AN84" s="95" t="e" cm="1" vm="1">
        <f t="array" aca="1" ref="AN84" ca="1">_xlfn.LET(
_xlpm.rango, INDIRECT("E!$C$" &amp; $BA$8 &amp; ":$DR$" &amp; $BA$9),
_xlpm.col, AN$72+$D83*10,
INDEX(_xlpm.rango,$BA$4-3,_xlpm.col) +
INDEX(_xlpm.rango,$BA$4-2,_xlpm.col) +
INDEX(_xlpm.rango,$BA$4-1,_xlpm.col) +
INDEX(_xlpm.rango,$BA$4, _xlpm.col)
)</f>
        <v>#VALUE!</v>
      </c>
      <c r="AO84" s="95" t="e" cm="1" vm="1">
        <f t="array" aca="1" ref="AO84" ca="1">_xlfn.LET(
_xlpm.rango, INDIRECT("E!$C$" &amp; $BA$8 &amp; ":$DR$" &amp; $BA$9),
_xlpm.col, AO$72+$D83*10,
INDEX(_xlpm.rango,$BA$4-3,_xlpm.col) +
INDEX(_xlpm.rango,$BA$4-2,_xlpm.col) +
INDEX(_xlpm.rango,$BA$4-1,_xlpm.col) +
INDEX(_xlpm.rango,$BA$4, _xlpm.col)
)</f>
        <v>#VALUE!</v>
      </c>
      <c r="AP84" s="95" t="e" cm="1" vm="1">
        <f t="array" aca="1" ref="AP84" ca="1">_xlfn.LET(
_xlpm.rango, INDIRECT("E!$C$" &amp; $BA$8 &amp; ":$DR$" &amp; $BA$9),
_xlpm.col, AP$72+$D83*10,
INDEX(_xlpm.rango,$BA$4-3,_xlpm.col) +
INDEX(_xlpm.rango,$BA$4-2,_xlpm.col) +
INDEX(_xlpm.rango,$BA$4-1,_xlpm.col) +
INDEX(_xlpm.rango,$BA$4, _xlpm.col)
)</f>
        <v>#VALUE!</v>
      </c>
      <c r="AQ84" s="95" t="e" cm="1" vm="1">
        <f t="array" aca="1" ref="AQ84" ca="1">_xlfn.LET(
_xlpm.rango, INDIRECT("E!$C$" &amp; $BA$8 &amp; ":$DR$" &amp; $BA$9),
_xlpm.col, AQ$72+$D83*10,
INDEX(_xlpm.rango,$BA$4-3,_xlpm.col) +
INDEX(_xlpm.rango,$BA$4-2,_xlpm.col) +
INDEX(_xlpm.rango,$BA$4-1,_xlpm.col) +
INDEX(_xlpm.rango,$BA$4, _xlpm.col)
)</f>
        <v>#VALUE!</v>
      </c>
      <c r="AR84" s="95" t="e" cm="1" vm="1">
        <f t="array" aca="1" ref="AR84" ca="1">_xlfn.LET(
_xlpm.rango, INDIRECT("E!$C$" &amp; $BA$8 &amp; ":$DR$" &amp; $BA$9),
_xlpm.col, AR$72+$D83*10,
INDEX(_xlpm.rango,$BA$4-3,_xlpm.col) +
INDEX(_xlpm.rango,$BA$4-2,_xlpm.col) +
INDEX(_xlpm.rango,$BA$4-1,_xlpm.col) +
INDEX(_xlpm.rango,$BA$4, _xlpm.col)
)</f>
        <v>#VALUE!</v>
      </c>
      <c r="AS84" s="112" t="e" cm="1" vm="1">
        <f t="array" aca="1" ref="AS84" ca="1">_xlfn.LET(
_xlpm.rango, INDIRECT("E!$C$" &amp; $BA$8 &amp; ":$DR$" &amp; $BA$9),
_xlpm.col, AS$72+$D83*10,
INDEX(_xlpm.rango,$BA$4-3,_xlpm.col) +
INDEX(_xlpm.rango,$BA$4-2,_xlpm.col) +
INDEX(_xlpm.rango,$BA$4-1,_xlpm.col) +
INDEX(_xlpm.rango,$BA$4, _xlpm.col)
)</f>
        <v>#VALUE!</v>
      </c>
      <c r="AT84" s="118" t="e" vm="2">
        <f t="shared" ca="1" si="0"/>
        <v>#VALUE!</v>
      </c>
      <c r="AU84" s="120" t="e" vm="2">
        <f t="shared" ca="1" si="1"/>
        <v>#VALUE!</v>
      </c>
    </row>
    <row r="85" spans="4:47" x14ac:dyDescent="0.25">
      <c r="D85">
        <v>10</v>
      </c>
      <c r="E85" s="106" t="str">
        <f>Inicio!V13</f>
        <v>Mototaxi</v>
      </c>
      <c r="F85" s="100" t="e" cm="1" vm="1">
        <f t="array" aca="1" ref="F85" ca="1">_xlfn.LET(
_xlpm.rango, INDIRECT("N!$C$" &amp; $BA$8 &amp; ":$DR$" &amp; $BA$9),
_xlpm.col, F$72+$D84*10,
INDEX(_xlpm.rango,$BA$4-3,_xlpm.col) +
INDEX(_xlpm.rango,$BA$4-2,_xlpm.col) +
INDEX(_xlpm.rango,$BA$4-1,_xlpm.col) +
INDEX(_xlpm.rango,$BA$4, _xlpm.col)
)</f>
        <v>#VALUE!</v>
      </c>
      <c r="G85" s="95" t="e" cm="1" vm="1">
        <f t="array" aca="1" ref="G85" ca="1">_xlfn.LET(
_xlpm.rango, INDIRECT("N!$C$" &amp; $BA$8 &amp; ":$DR$" &amp; $BA$9),
_xlpm.col, G$72+$D84*10,
INDEX(_xlpm.rango,$BA$4-3,_xlpm.col) +
INDEX(_xlpm.rango,$BA$4-2,_xlpm.col) +
INDEX(_xlpm.rango,$BA$4-1,_xlpm.col) +
INDEX(_xlpm.rango,$BA$4, _xlpm.col)
)</f>
        <v>#VALUE!</v>
      </c>
      <c r="H85" s="95" t="e" cm="1" vm="1">
        <f t="array" aca="1" ref="H85" ca="1">_xlfn.LET(
_xlpm.rango, INDIRECT("N!$C$" &amp; $BA$8 &amp; ":$DR$" &amp; $BA$9),
_xlpm.col, H$72+$D84*10,
INDEX(_xlpm.rango,$BA$4-3,_xlpm.col) +
INDEX(_xlpm.rango,$BA$4-2,_xlpm.col) +
INDEX(_xlpm.rango,$BA$4-1,_xlpm.col) +
INDEX(_xlpm.rango,$BA$4, _xlpm.col)
)</f>
        <v>#VALUE!</v>
      </c>
      <c r="I85" s="95" t="e" cm="1" vm="1">
        <f t="array" aca="1" ref="I85" ca="1">_xlfn.LET(
_xlpm.rango, INDIRECT("N!$C$" &amp; $BA$8 &amp; ":$DR$" &amp; $BA$9),
_xlpm.col, I$72+$D84*10,
INDEX(_xlpm.rango,$BA$4-3,_xlpm.col) +
INDEX(_xlpm.rango,$BA$4-2,_xlpm.col) +
INDEX(_xlpm.rango,$BA$4-1,_xlpm.col) +
INDEX(_xlpm.rango,$BA$4, _xlpm.col)
)</f>
        <v>#VALUE!</v>
      </c>
      <c r="J85" s="95" t="e" cm="1" vm="1">
        <f t="array" aca="1" ref="J85" ca="1">_xlfn.LET(
_xlpm.rango, INDIRECT("N!$C$" &amp; $BA$8 &amp; ":$DR$" &amp; $BA$9),
_xlpm.col, J$72+$D84*10,
INDEX(_xlpm.rango,$BA$4-3,_xlpm.col) +
INDEX(_xlpm.rango,$BA$4-2,_xlpm.col) +
INDEX(_xlpm.rango,$BA$4-1,_xlpm.col) +
INDEX(_xlpm.rango,$BA$4, _xlpm.col)
)</f>
        <v>#VALUE!</v>
      </c>
      <c r="K85" s="95" t="e" cm="1" vm="1">
        <f t="array" aca="1" ref="K85" ca="1">_xlfn.LET(
_xlpm.rango, INDIRECT("N!$C$" &amp; $BA$8 &amp; ":$DR$" &amp; $BA$9),
_xlpm.col, K$72+$D84*10,
INDEX(_xlpm.rango,$BA$4-3,_xlpm.col) +
INDEX(_xlpm.rango,$BA$4-2,_xlpm.col) +
INDEX(_xlpm.rango,$BA$4-1,_xlpm.col) +
INDEX(_xlpm.rango,$BA$4, _xlpm.col)
)</f>
        <v>#VALUE!</v>
      </c>
      <c r="L85" s="95" t="e" cm="1" vm="1">
        <f t="array" aca="1" ref="L85" ca="1">_xlfn.LET(
_xlpm.rango, INDIRECT("N!$C$" &amp; $BA$8 &amp; ":$DR$" &amp; $BA$9),
_xlpm.col, L$72+$D84*10,
INDEX(_xlpm.rango,$BA$4-3,_xlpm.col) +
INDEX(_xlpm.rango,$BA$4-2,_xlpm.col) +
INDEX(_xlpm.rango,$BA$4-1,_xlpm.col) +
INDEX(_xlpm.rango,$BA$4, _xlpm.col)
)</f>
        <v>#VALUE!</v>
      </c>
      <c r="M85" s="95" t="e" cm="1" vm="1">
        <f t="array" aca="1" ref="M85" ca="1">_xlfn.LET(
_xlpm.rango, INDIRECT("N!$C$" &amp; $BA$8 &amp; ":$DR$" &amp; $BA$9),
_xlpm.col, M$72+$D84*10,
INDEX(_xlpm.rango,$BA$4-3,_xlpm.col) +
INDEX(_xlpm.rango,$BA$4-2,_xlpm.col) +
INDEX(_xlpm.rango,$BA$4-1,_xlpm.col) +
INDEX(_xlpm.rango,$BA$4, _xlpm.col)
)</f>
        <v>#VALUE!</v>
      </c>
      <c r="N85" s="95" t="e" cm="1" vm="1">
        <f t="array" aca="1" ref="N85" ca="1">_xlfn.LET(
_xlpm.rango, INDIRECT("N!$C$" &amp; $BA$8 &amp; ":$DR$" &amp; $BA$9),
_xlpm.col, N$72+$D84*10,
INDEX(_xlpm.rango,$BA$4-3,_xlpm.col) +
INDEX(_xlpm.rango,$BA$4-2,_xlpm.col) +
INDEX(_xlpm.rango,$BA$4-1,_xlpm.col) +
INDEX(_xlpm.rango,$BA$4, _xlpm.col)
)</f>
        <v>#VALUE!</v>
      </c>
      <c r="O85" s="96" t="e" cm="1" vm="1">
        <f t="array" aca="1" ref="O85" ca="1">_xlfn.LET(
_xlpm.rango, INDIRECT("N!$C$" &amp; $BA$8 &amp; ":$DR$" &amp; $BA$9),
_xlpm.col, O$72+$D84*10,
INDEX(_xlpm.rango,$BA$4-3,_xlpm.col) +
INDEX(_xlpm.rango,$BA$4-2,_xlpm.col) +
INDEX(_xlpm.rango,$BA$4-1,_xlpm.col) +
INDEX(_xlpm.rango,$BA$4, _xlpm.col)
)</f>
        <v>#VALUE!</v>
      </c>
      <c r="P85" s="95" t="e" cm="1" vm="1">
        <f t="array" aca="1" ref="P85" ca="1">_xlfn.LET(
_xlpm.rango, INDIRECT("S!$C$" &amp; $BA$8 &amp; ":$DR$" &amp; $BA$9),
_xlpm.col, P$72+$D84*10,
INDEX(_xlpm.rango,$BA$4-3,_xlpm.col) +
INDEX(_xlpm.rango,$BA$4-2,_xlpm.col) +
INDEX(_xlpm.rango,$BA$4-1,_xlpm.col) +
INDEX(_xlpm.rango,$BA$4, _xlpm.col)
)</f>
        <v>#VALUE!</v>
      </c>
      <c r="Q85" s="95" t="e" cm="1" vm="1">
        <f t="array" aca="1" ref="Q85" ca="1">_xlfn.LET(
_xlpm.rango, INDIRECT("S!$C$" &amp; $BA$8 &amp; ":$DR$" &amp; $BA$9),
_xlpm.col, Q$72+$D84*10,
INDEX(_xlpm.rango,$BA$4-3,_xlpm.col) +
INDEX(_xlpm.rango,$BA$4-2,_xlpm.col) +
INDEX(_xlpm.rango,$BA$4-1,_xlpm.col) +
INDEX(_xlpm.rango,$BA$4, _xlpm.col)
)</f>
        <v>#VALUE!</v>
      </c>
      <c r="R85" s="95" t="e" cm="1" vm="1">
        <f t="array" aca="1" ref="R85" ca="1">_xlfn.LET(
_xlpm.rango, INDIRECT("S!$C$" &amp; $BA$8 &amp; ":$DR$" &amp; $BA$9),
_xlpm.col, R$72+$D84*10,
INDEX(_xlpm.rango,$BA$4-3,_xlpm.col) +
INDEX(_xlpm.rango,$BA$4-2,_xlpm.col) +
INDEX(_xlpm.rango,$BA$4-1,_xlpm.col) +
INDEX(_xlpm.rango,$BA$4, _xlpm.col)
)</f>
        <v>#VALUE!</v>
      </c>
      <c r="S85" s="95" t="e" cm="1" vm="1">
        <f t="array" aca="1" ref="S85" ca="1">_xlfn.LET(
_xlpm.rango, INDIRECT("S!$C$" &amp; $BA$8 &amp; ":$DR$" &amp; $BA$9),
_xlpm.col, S$72+$D84*10,
INDEX(_xlpm.rango,$BA$4-3,_xlpm.col) +
INDEX(_xlpm.rango,$BA$4-2,_xlpm.col) +
INDEX(_xlpm.rango,$BA$4-1,_xlpm.col) +
INDEX(_xlpm.rango,$BA$4, _xlpm.col)
)</f>
        <v>#VALUE!</v>
      </c>
      <c r="T85" s="95" t="e" cm="1" vm="1">
        <f t="array" aca="1" ref="T85" ca="1">_xlfn.LET(
_xlpm.rango, INDIRECT("S!$C$" &amp; $BA$8 &amp; ":$DR$" &amp; $BA$9),
_xlpm.col, T$72+$D84*10,
INDEX(_xlpm.rango,$BA$4-3,_xlpm.col) +
INDEX(_xlpm.rango,$BA$4-2,_xlpm.col) +
INDEX(_xlpm.rango,$BA$4-1,_xlpm.col) +
INDEX(_xlpm.rango,$BA$4, _xlpm.col)
)</f>
        <v>#VALUE!</v>
      </c>
      <c r="U85" s="95" t="e" cm="1" vm="1">
        <f t="array" aca="1" ref="U85" ca="1">_xlfn.LET(
_xlpm.rango, INDIRECT("S!$C$" &amp; $BA$8 &amp; ":$DR$" &amp; $BA$9),
_xlpm.col, U$72+$D84*10,
INDEX(_xlpm.rango,$BA$4-3,_xlpm.col) +
INDEX(_xlpm.rango,$BA$4-2,_xlpm.col) +
INDEX(_xlpm.rango,$BA$4-1,_xlpm.col) +
INDEX(_xlpm.rango,$BA$4, _xlpm.col)
)</f>
        <v>#VALUE!</v>
      </c>
      <c r="V85" s="95" t="e" cm="1" vm="1">
        <f t="array" aca="1" ref="V85" ca="1">_xlfn.LET(
_xlpm.rango, INDIRECT("S!$C$" &amp; $BA$8 &amp; ":$DR$" &amp; $BA$9),
_xlpm.col, V$72+$D84*10,
INDEX(_xlpm.rango,$BA$4-3,_xlpm.col) +
INDEX(_xlpm.rango,$BA$4-2,_xlpm.col) +
INDEX(_xlpm.rango,$BA$4-1,_xlpm.col) +
INDEX(_xlpm.rango,$BA$4, _xlpm.col)
)</f>
        <v>#VALUE!</v>
      </c>
      <c r="W85" s="95" t="e" cm="1" vm="1">
        <f t="array" aca="1" ref="W85" ca="1">_xlfn.LET(
_xlpm.rango, INDIRECT("S!$C$" &amp; $BA$8 &amp; ":$DR$" &amp; $BA$9),
_xlpm.col, W$72+$D84*10,
INDEX(_xlpm.rango,$BA$4-3,_xlpm.col) +
INDEX(_xlpm.rango,$BA$4-2,_xlpm.col) +
INDEX(_xlpm.rango,$BA$4-1,_xlpm.col) +
INDEX(_xlpm.rango,$BA$4, _xlpm.col)
)</f>
        <v>#VALUE!</v>
      </c>
      <c r="X85" s="95" t="e" cm="1" vm="1">
        <f t="array" aca="1" ref="X85" ca="1">_xlfn.LET(
_xlpm.rango, INDIRECT("S!$C$" &amp; $BA$8 &amp; ":$DR$" &amp; $BA$9),
_xlpm.col, X$72+$D84*10,
INDEX(_xlpm.rango,$BA$4-3,_xlpm.col) +
INDEX(_xlpm.rango,$BA$4-2,_xlpm.col) +
INDEX(_xlpm.rango,$BA$4-1,_xlpm.col) +
INDEX(_xlpm.rango,$BA$4, _xlpm.col)
)</f>
        <v>#VALUE!</v>
      </c>
      <c r="Y85" s="95" t="e" cm="1" vm="1">
        <f t="array" aca="1" ref="Y85" ca="1">_xlfn.LET(
_xlpm.rango, INDIRECT("S!$C$" &amp; $BA$8 &amp; ":$DR$" &amp; $BA$9),
_xlpm.col, Y$72+$D84*10,
INDEX(_xlpm.rango,$BA$4-3,_xlpm.col) +
INDEX(_xlpm.rango,$BA$4-2,_xlpm.col) +
INDEX(_xlpm.rango,$BA$4-1,_xlpm.col) +
INDEX(_xlpm.rango,$BA$4, _xlpm.col)
)</f>
        <v>#VALUE!</v>
      </c>
      <c r="Z85" s="100" t="e" cm="1" vm="1">
        <f t="array" aca="1" ref="Z85" ca="1">_xlfn.LET(
_xlpm.rango, INDIRECT("E!$C$" &amp; $BA$8 &amp; ":$DR$" &amp; $BA$9),
_xlpm.col, Z$72+$D84*10,
INDEX(_xlpm.rango,$BA$4-3,_xlpm.col) +
INDEX(_xlpm.rango,$BA$4-2,_xlpm.col) +
INDEX(_xlpm.rango,$BA$4-1,_xlpm.col) +
INDEX(_xlpm.rango,$BA$4, _xlpm.col)
)</f>
        <v>#VALUE!</v>
      </c>
      <c r="AA85" s="95" t="e" cm="1" vm="1">
        <f t="array" aca="1" ref="AA85" ca="1">_xlfn.LET(
_xlpm.rango, INDIRECT("E!$C$" &amp; $BA$8 &amp; ":$DR$" &amp; $BA$9),
_xlpm.col, AA$72+$D84*10,
INDEX(_xlpm.rango,$BA$4-3,_xlpm.col) +
INDEX(_xlpm.rango,$BA$4-2,_xlpm.col) +
INDEX(_xlpm.rango,$BA$4-1,_xlpm.col) +
INDEX(_xlpm.rango,$BA$4, _xlpm.col)
)</f>
        <v>#VALUE!</v>
      </c>
      <c r="AB85" s="95" t="e" cm="1" vm="1">
        <f t="array" aca="1" ref="AB85" ca="1">_xlfn.LET(
_xlpm.rango, INDIRECT("E!$C$" &amp; $BA$8 &amp; ":$DR$" &amp; $BA$9),
_xlpm.col, AB$72+$D84*10,
INDEX(_xlpm.rango,$BA$4-3,_xlpm.col) +
INDEX(_xlpm.rango,$BA$4-2,_xlpm.col) +
INDEX(_xlpm.rango,$BA$4-1,_xlpm.col) +
INDEX(_xlpm.rango,$BA$4, _xlpm.col)
)</f>
        <v>#VALUE!</v>
      </c>
      <c r="AC85" s="95" t="e" cm="1" vm="1">
        <f t="array" aca="1" ref="AC85" ca="1">_xlfn.LET(
_xlpm.rango, INDIRECT("E!$C$" &amp; $BA$8 &amp; ":$DR$" &amp; $BA$9),
_xlpm.col, AC$72+$D84*10,
INDEX(_xlpm.rango,$BA$4-3,_xlpm.col) +
INDEX(_xlpm.rango,$BA$4-2,_xlpm.col) +
INDEX(_xlpm.rango,$BA$4-1,_xlpm.col) +
INDEX(_xlpm.rango,$BA$4, _xlpm.col)
)</f>
        <v>#VALUE!</v>
      </c>
      <c r="AD85" s="95" t="e" cm="1" vm="1">
        <f t="array" aca="1" ref="AD85" ca="1">_xlfn.LET(
_xlpm.rango, INDIRECT("E!$C$" &amp; $BA$8 &amp; ":$DR$" &amp; $BA$9),
_xlpm.col, AD$72+$D84*10,
INDEX(_xlpm.rango,$BA$4-3,_xlpm.col) +
INDEX(_xlpm.rango,$BA$4-2,_xlpm.col) +
INDEX(_xlpm.rango,$BA$4-1,_xlpm.col) +
INDEX(_xlpm.rango,$BA$4, _xlpm.col)
)</f>
        <v>#VALUE!</v>
      </c>
      <c r="AE85" s="95" t="e" cm="1" vm="1">
        <f t="array" aca="1" ref="AE85" ca="1">_xlfn.LET(
_xlpm.rango, INDIRECT("E!$C$" &amp; $BA$8 &amp; ":$DR$" &amp; $BA$9),
_xlpm.col, AE$72+$D84*10,
INDEX(_xlpm.rango,$BA$4-3,_xlpm.col) +
INDEX(_xlpm.rango,$BA$4-2,_xlpm.col) +
INDEX(_xlpm.rango,$BA$4-1,_xlpm.col) +
INDEX(_xlpm.rango,$BA$4, _xlpm.col)
)</f>
        <v>#VALUE!</v>
      </c>
      <c r="AF85" s="95" t="e" cm="1" vm="1">
        <f t="array" aca="1" ref="AF85" ca="1">_xlfn.LET(
_xlpm.rango, INDIRECT("E!$C$" &amp; $BA$8 &amp; ":$DR$" &amp; $BA$9),
_xlpm.col, AF$72+$D84*10,
INDEX(_xlpm.rango,$BA$4-3,_xlpm.col) +
INDEX(_xlpm.rango,$BA$4-2,_xlpm.col) +
INDEX(_xlpm.rango,$BA$4-1,_xlpm.col) +
INDEX(_xlpm.rango,$BA$4, _xlpm.col)
)</f>
        <v>#VALUE!</v>
      </c>
      <c r="AG85" s="95" t="e" cm="1" vm="1">
        <f t="array" aca="1" ref="AG85" ca="1">_xlfn.LET(
_xlpm.rango, INDIRECT("E!$C$" &amp; $BA$8 &amp; ":$DR$" &amp; $BA$9),
_xlpm.col, AG$72+$D84*10,
INDEX(_xlpm.rango,$BA$4-3,_xlpm.col) +
INDEX(_xlpm.rango,$BA$4-2,_xlpm.col) +
INDEX(_xlpm.rango,$BA$4-1,_xlpm.col) +
INDEX(_xlpm.rango,$BA$4, _xlpm.col)
)</f>
        <v>#VALUE!</v>
      </c>
      <c r="AH85" s="95" t="e" cm="1" vm="1">
        <f t="array" aca="1" ref="AH85" ca="1">_xlfn.LET(
_xlpm.rango, INDIRECT("E!$C$" &amp; $BA$8 &amp; ":$DR$" &amp; $BA$9),
_xlpm.col, AH$72+$D84*10,
INDEX(_xlpm.rango,$BA$4-3,_xlpm.col) +
INDEX(_xlpm.rango,$BA$4-2,_xlpm.col) +
INDEX(_xlpm.rango,$BA$4-1,_xlpm.col) +
INDEX(_xlpm.rango,$BA$4, _xlpm.col)
)</f>
        <v>#VALUE!</v>
      </c>
      <c r="AI85" s="96" t="e" cm="1" vm="1">
        <f t="array" aca="1" ref="AI85" ca="1">_xlfn.LET(
_xlpm.rango, INDIRECT("E!$C$" &amp; $BA$8 &amp; ":$DR$" &amp; $BA$9),
_xlpm.col, AI$72+$D84*10,
INDEX(_xlpm.rango,$BA$4-3,_xlpm.col) +
INDEX(_xlpm.rango,$BA$4-2,_xlpm.col) +
INDEX(_xlpm.rango,$BA$4-1,_xlpm.col) +
INDEX(_xlpm.rango,$BA$4, _xlpm.col)
)</f>
        <v>#VALUE!</v>
      </c>
      <c r="AJ85" s="95" t="e" cm="1" vm="1">
        <f t="array" aca="1" ref="AJ85" ca="1">_xlfn.LET(
_xlpm.rango, INDIRECT("E!$C$" &amp; $BA$8 &amp; ":$DR$" &amp; $BA$9),
_xlpm.col, AJ$72+$D84*10,
INDEX(_xlpm.rango,$BA$4-3,_xlpm.col) +
INDEX(_xlpm.rango,$BA$4-2,_xlpm.col) +
INDEX(_xlpm.rango,$BA$4-1,_xlpm.col) +
INDEX(_xlpm.rango,$BA$4, _xlpm.col)
)</f>
        <v>#VALUE!</v>
      </c>
      <c r="AK85" s="95" t="e" cm="1" vm="1">
        <f t="array" aca="1" ref="AK85" ca="1">_xlfn.LET(
_xlpm.rango, INDIRECT("E!$C$" &amp; $BA$8 &amp; ":$DR$" &amp; $BA$9),
_xlpm.col, AK$72+$D84*10,
INDEX(_xlpm.rango,$BA$4-3,_xlpm.col) +
INDEX(_xlpm.rango,$BA$4-2,_xlpm.col) +
INDEX(_xlpm.rango,$BA$4-1,_xlpm.col) +
INDEX(_xlpm.rango,$BA$4, _xlpm.col)
)</f>
        <v>#VALUE!</v>
      </c>
      <c r="AL85" s="95" t="e" cm="1" vm="1">
        <f t="array" aca="1" ref="AL85" ca="1">_xlfn.LET(
_xlpm.rango, INDIRECT("E!$C$" &amp; $BA$8 &amp; ":$DR$" &amp; $BA$9),
_xlpm.col, AL$72+$D84*10,
INDEX(_xlpm.rango,$BA$4-3,_xlpm.col) +
INDEX(_xlpm.rango,$BA$4-2,_xlpm.col) +
INDEX(_xlpm.rango,$BA$4-1,_xlpm.col) +
INDEX(_xlpm.rango,$BA$4, _xlpm.col)
)</f>
        <v>#VALUE!</v>
      </c>
      <c r="AM85" s="95" t="e" cm="1" vm="1">
        <f t="array" aca="1" ref="AM85" ca="1">_xlfn.LET(
_xlpm.rango, INDIRECT("E!$C$" &amp; $BA$8 &amp; ":$DR$" &amp; $BA$9),
_xlpm.col, AM$72+$D84*10,
INDEX(_xlpm.rango,$BA$4-3,_xlpm.col) +
INDEX(_xlpm.rango,$BA$4-2,_xlpm.col) +
INDEX(_xlpm.rango,$BA$4-1,_xlpm.col) +
INDEX(_xlpm.rango,$BA$4, _xlpm.col)
)</f>
        <v>#VALUE!</v>
      </c>
      <c r="AN85" s="95" t="e" cm="1" vm="1">
        <f t="array" aca="1" ref="AN85" ca="1">_xlfn.LET(
_xlpm.rango, INDIRECT("E!$C$" &amp; $BA$8 &amp; ":$DR$" &amp; $BA$9),
_xlpm.col, AN$72+$D84*10,
INDEX(_xlpm.rango,$BA$4-3,_xlpm.col) +
INDEX(_xlpm.rango,$BA$4-2,_xlpm.col) +
INDEX(_xlpm.rango,$BA$4-1,_xlpm.col) +
INDEX(_xlpm.rango,$BA$4, _xlpm.col)
)</f>
        <v>#VALUE!</v>
      </c>
      <c r="AO85" s="95" t="e" cm="1" vm="1">
        <f t="array" aca="1" ref="AO85" ca="1">_xlfn.LET(
_xlpm.rango, INDIRECT("E!$C$" &amp; $BA$8 &amp; ":$DR$" &amp; $BA$9),
_xlpm.col, AO$72+$D84*10,
INDEX(_xlpm.rango,$BA$4-3,_xlpm.col) +
INDEX(_xlpm.rango,$BA$4-2,_xlpm.col) +
INDEX(_xlpm.rango,$BA$4-1,_xlpm.col) +
INDEX(_xlpm.rango,$BA$4, _xlpm.col)
)</f>
        <v>#VALUE!</v>
      </c>
      <c r="AP85" s="95" t="e" cm="1" vm="1">
        <f t="array" aca="1" ref="AP85" ca="1">_xlfn.LET(
_xlpm.rango, INDIRECT("E!$C$" &amp; $BA$8 &amp; ":$DR$" &amp; $BA$9),
_xlpm.col, AP$72+$D84*10,
INDEX(_xlpm.rango,$BA$4-3,_xlpm.col) +
INDEX(_xlpm.rango,$BA$4-2,_xlpm.col) +
INDEX(_xlpm.rango,$BA$4-1,_xlpm.col) +
INDEX(_xlpm.rango,$BA$4, _xlpm.col)
)</f>
        <v>#VALUE!</v>
      </c>
      <c r="AQ85" s="95" t="e" cm="1" vm="1">
        <f t="array" aca="1" ref="AQ85" ca="1">_xlfn.LET(
_xlpm.rango, INDIRECT("E!$C$" &amp; $BA$8 &amp; ":$DR$" &amp; $BA$9),
_xlpm.col, AQ$72+$D84*10,
INDEX(_xlpm.rango,$BA$4-3,_xlpm.col) +
INDEX(_xlpm.rango,$BA$4-2,_xlpm.col) +
INDEX(_xlpm.rango,$BA$4-1,_xlpm.col) +
INDEX(_xlpm.rango,$BA$4, _xlpm.col)
)</f>
        <v>#VALUE!</v>
      </c>
      <c r="AR85" s="95" t="e" cm="1" vm="1">
        <f t="array" aca="1" ref="AR85" ca="1">_xlfn.LET(
_xlpm.rango, INDIRECT("E!$C$" &amp; $BA$8 &amp; ":$DR$" &amp; $BA$9),
_xlpm.col, AR$72+$D84*10,
INDEX(_xlpm.rango,$BA$4-3,_xlpm.col) +
INDEX(_xlpm.rango,$BA$4-2,_xlpm.col) +
INDEX(_xlpm.rango,$BA$4-1,_xlpm.col) +
INDEX(_xlpm.rango,$BA$4, _xlpm.col)
)</f>
        <v>#VALUE!</v>
      </c>
      <c r="AS85" s="112" t="e" cm="1" vm="1">
        <f t="array" aca="1" ref="AS85" ca="1">_xlfn.LET(
_xlpm.rango, INDIRECT("E!$C$" &amp; $BA$8 &amp; ":$DR$" &amp; $BA$9),
_xlpm.col, AS$72+$D84*10,
INDEX(_xlpm.rango,$BA$4-3,_xlpm.col) +
INDEX(_xlpm.rango,$BA$4-2,_xlpm.col) +
INDEX(_xlpm.rango,$BA$4-1,_xlpm.col) +
INDEX(_xlpm.rango,$BA$4, _xlpm.col)
)</f>
        <v>#VALUE!</v>
      </c>
      <c r="AT85" s="118" t="e" vm="2">
        <f t="shared" ca="1" si="0"/>
        <v>#VALUE!</v>
      </c>
      <c r="AU85" s="120" t="e" vm="2">
        <f t="shared" ca="1" si="1"/>
        <v>#VALUE!</v>
      </c>
    </row>
    <row r="86" spans="4:47" x14ac:dyDescent="0.25">
      <c r="D86">
        <v>11</v>
      </c>
      <c r="E86" s="106" t="str">
        <f>Inicio!V14</f>
        <v>Semi-trailer</v>
      </c>
      <c r="F86" s="100" t="e" cm="1" vm="1">
        <f t="array" aca="1" ref="F86" ca="1">_xlfn.LET(
_xlpm.rango, INDIRECT("N!$C$" &amp; $BA$8 &amp; ":$DR$" &amp; $BA$9),
_xlpm.col, F$72+$D85*10,
INDEX(_xlpm.rango,$BA$4-3,_xlpm.col) +
INDEX(_xlpm.rango,$BA$4-2,_xlpm.col) +
INDEX(_xlpm.rango,$BA$4-1,_xlpm.col) +
INDEX(_xlpm.rango,$BA$4, _xlpm.col)
)</f>
        <v>#VALUE!</v>
      </c>
      <c r="G86" s="95" t="e" cm="1" vm="1">
        <f t="array" aca="1" ref="G86" ca="1">_xlfn.LET(
_xlpm.rango, INDIRECT("N!$C$" &amp; $BA$8 &amp; ":$DR$" &amp; $BA$9),
_xlpm.col, G$72+$D85*10,
INDEX(_xlpm.rango,$BA$4-3,_xlpm.col) +
INDEX(_xlpm.rango,$BA$4-2,_xlpm.col) +
INDEX(_xlpm.rango,$BA$4-1,_xlpm.col) +
INDEX(_xlpm.rango,$BA$4, _xlpm.col)
)</f>
        <v>#VALUE!</v>
      </c>
      <c r="H86" s="95" t="e" cm="1" vm="1">
        <f t="array" aca="1" ref="H86" ca="1">_xlfn.LET(
_xlpm.rango, INDIRECT("N!$C$" &amp; $BA$8 &amp; ":$DR$" &amp; $BA$9),
_xlpm.col, H$72+$D85*10,
INDEX(_xlpm.rango,$BA$4-3,_xlpm.col) +
INDEX(_xlpm.rango,$BA$4-2,_xlpm.col) +
INDEX(_xlpm.rango,$BA$4-1,_xlpm.col) +
INDEX(_xlpm.rango,$BA$4, _xlpm.col)
)</f>
        <v>#VALUE!</v>
      </c>
      <c r="I86" s="95" t="e" cm="1" vm="1">
        <f t="array" aca="1" ref="I86" ca="1">_xlfn.LET(
_xlpm.rango, INDIRECT("N!$C$" &amp; $BA$8 &amp; ":$DR$" &amp; $BA$9),
_xlpm.col, I$72+$D85*10,
INDEX(_xlpm.rango,$BA$4-3,_xlpm.col) +
INDEX(_xlpm.rango,$BA$4-2,_xlpm.col) +
INDEX(_xlpm.rango,$BA$4-1,_xlpm.col) +
INDEX(_xlpm.rango,$BA$4, _xlpm.col)
)</f>
        <v>#VALUE!</v>
      </c>
      <c r="J86" s="95" t="e" cm="1" vm="1">
        <f t="array" aca="1" ref="J86" ca="1">_xlfn.LET(
_xlpm.rango, INDIRECT("N!$C$" &amp; $BA$8 &amp; ":$DR$" &amp; $BA$9),
_xlpm.col, J$72+$D85*10,
INDEX(_xlpm.rango,$BA$4-3,_xlpm.col) +
INDEX(_xlpm.rango,$BA$4-2,_xlpm.col) +
INDEX(_xlpm.rango,$BA$4-1,_xlpm.col) +
INDEX(_xlpm.rango,$BA$4, _xlpm.col)
)</f>
        <v>#VALUE!</v>
      </c>
      <c r="K86" s="95" t="e" cm="1" vm="1">
        <f t="array" aca="1" ref="K86" ca="1">_xlfn.LET(
_xlpm.rango, INDIRECT("N!$C$" &amp; $BA$8 &amp; ":$DR$" &amp; $BA$9),
_xlpm.col, K$72+$D85*10,
INDEX(_xlpm.rango,$BA$4-3,_xlpm.col) +
INDEX(_xlpm.rango,$BA$4-2,_xlpm.col) +
INDEX(_xlpm.rango,$BA$4-1,_xlpm.col) +
INDEX(_xlpm.rango,$BA$4, _xlpm.col)
)</f>
        <v>#VALUE!</v>
      </c>
      <c r="L86" s="95" t="e" cm="1" vm="1">
        <f t="array" aca="1" ref="L86" ca="1">_xlfn.LET(
_xlpm.rango, INDIRECT("N!$C$" &amp; $BA$8 &amp; ":$DR$" &amp; $BA$9),
_xlpm.col, L$72+$D85*10,
INDEX(_xlpm.rango,$BA$4-3,_xlpm.col) +
INDEX(_xlpm.rango,$BA$4-2,_xlpm.col) +
INDEX(_xlpm.rango,$BA$4-1,_xlpm.col) +
INDEX(_xlpm.rango,$BA$4, _xlpm.col)
)</f>
        <v>#VALUE!</v>
      </c>
      <c r="M86" s="95" t="e" cm="1" vm="1">
        <f t="array" aca="1" ref="M86" ca="1">_xlfn.LET(
_xlpm.rango, INDIRECT("N!$C$" &amp; $BA$8 &amp; ":$DR$" &amp; $BA$9),
_xlpm.col, M$72+$D85*10,
INDEX(_xlpm.rango,$BA$4-3,_xlpm.col) +
INDEX(_xlpm.rango,$BA$4-2,_xlpm.col) +
INDEX(_xlpm.rango,$BA$4-1,_xlpm.col) +
INDEX(_xlpm.rango,$BA$4, _xlpm.col)
)</f>
        <v>#VALUE!</v>
      </c>
      <c r="N86" s="95" t="e" cm="1" vm="1">
        <f t="array" aca="1" ref="N86" ca="1">_xlfn.LET(
_xlpm.rango, INDIRECT("N!$C$" &amp; $BA$8 &amp; ":$DR$" &amp; $BA$9),
_xlpm.col, N$72+$D85*10,
INDEX(_xlpm.rango,$BA$4-3,_xlpm.col) +
INDEX(_xlpm.rango,$BA$4-2,_xlpm.col) +
INDEX(_xlpm.rango,$BA$4-1,_xlpm.col) +
INDEX(_xlpm.rango,$BA$4, _xlpm.col)
)</f>
        <v>#VALUE!</v>
      </c>
      <c r="O86" s="96" t="e" cm="1" vm="1">
        <f t="array" aca="1" ref="O86" ca="1">_xlfn.LET(
_xlpm.rango, INDIRECT("N!$C$" &amp; $BA$8 &amp; ":$DR$" &amp; $BA$9),
_xlpm.col, O$72+$D85*10,
INDEX(_xlpm.rango,$BA$4-3,_xlpm.col) +
INDEX(_xlpm.rango,$BA$4-2,_xlpm.col) +
INDEX(_xlpm.rango,$BA$4-1,_xlpm.col) +
INDEX(_xlpm.rango,$BA$4, _xlpm.col)
)</f>
        <v>#VALUE!</v>
      </c>
      <c r="P86" s="95" t="e" cm="1" vm="1">
        <f t="array" aca="1" ref="P86" ca="1">_xlfn.LET(
_xlpm.rango, INDIRECT("S!$C$" &amp; $BA$8 &amp; ":$DR$" &amp; $BA$9),
_xlpm.col, P$72+$D85*10,
INDEX(_xlpm.rango,$BA$4-3,_xlpm.col) +
INDEX(_xlpm.rango,$BA$4-2,_xlpm.col) +
INDEX(_xlpm.rango,$BA$4-1,_xlpm.col) +
INDEX(_xlpm.rango,$BA$4, _xlpm.col)
)</f>
        <v>#VALUE!</v>
      </c>
      <c r="Q86" s="95" t="e" cm="1" vm="1">
        <f t="array" aca="1" ref="Q86" ca="1">_xlfn.LET(
_xlpm.rango, INDIRECT("S!$C$" &amp; $BA$8 &amp; ":$DR$" &amp; $BA$9),
_xlpm.col, Q$72+$D85*10,
INDEX(_xlpm.rango,$BA$4-3,_xlpm.col) +
INDEX(_xlpm.rango,$BA$4-2,_xlpm.col) +
INDEX(_xlpm.rango,$BA$4-1,_xlpm.col) +
INDEX(_xlpm.rango,$BA$4, _xlpm.col)
)</f>
        <v>#VALUE!</v>
      </c>
      <c r="R86" s="95" t="e" cm="1" vm="1">
        <f t="array" aca="1" ref="R86" ca="1">_xlfn.LET(
_xlpm.rango, INDIRECT("S!$C$" &amp; $BA$8 &amp; ":$DR$" &amp; $BA$9),
_xlpm.col, R$72+$D85*10,
INDEX(_xlpm.rango,$BA$4-3,_xlpm.col) +
INDEX(_xlpm.rango,$BA$4-2,_xlpm.col) +
INDEX(_xlpm.rango,$BA$4-1,_xlpm.col) +
INDEX(_xlpm.rango,$BA$4, _xlpm.col)
)</f>
        <v>#VALUE!</v>
      </c>
      <c r="S86" s="95" t="e" cm="1" vm="1">
        <f t="array" aca="1" ref="S86" ca="1">_xlfn.LET(
_xlpm.rango, INDIRECT("S!$C$" &amp; $BA$8 &amp; ":$DR$" &amp; $BA$9),
_xlpm.col, S$72+$D85*10,
INDEX(_xlpm.rango,$BA$4-3,_xlpm.col) +
INDEX(_xlpm.rango,$BA$4-2,_xlpm.col) +
INDEX(_xlpm.rango,$BA$4-1,_xlpm.col) +
INDEX(_xlpm.rango,$BA$4, _xlpm.col)
)</f>
        <v>#VALUE!</v>
      </c>
      <c r="T86" s="95" t="e" cm="1" vm="1">
        <f t="array" aca="1" ref="T86" ca="1">_xlfn.LET(
_xlpm.rango, INDIRECT("S!$C$" &amp; $BA$8 &amp; ":$DR$" &amp; $BA$9),
_xlpm.col, T$72+$D85*10,
INDEX(_xlpm.rango,$BA$4-3,_xlpm.col) +
INDEX(_xlpm.rango,$BA$4-2,_xlpm.col) +
INDEX(_xlpm.rango,$BA$4-1,_xlpm.col) +
INDEX(_xlpm.rango,$BA$4, _xlpm.col)
)</f>
        <v>#VALUE!</v>
      </c>
      <c r="U86" s="95" t="e" cm="1" vm="1">
        <f t="array" aca="1" ref="U86" ca="1">_xlfn.LET(
_xlpm.rango, INDIRECT("S!$C$" &amp; $BA$8 &amp; ":$DR$" &amp; $BA$9),
_xlpm.col, U$72+$D85*10,
INDEX(_xlpm.rango,$BA$4-3,_xlpm.col) +
INDEX(_xlpm.rango,$BA$4-2,_xlpm.col) +
INDEX(_xlpm.rango,$BA$4-1,_xlpm.col) +
INDEX(_xlpm.rango,$BA$4, _xlpm.col)
)</f>
        <v>#VALUE!</v>
      </c>
      <c r="V86" s="95" t="e" cm="1" vm="1">
        <f t="array" aca="1" ref="V86" ca="1">_xlfn.LET(
_xlpm.rango, INDIRECT("S!$C$" &amp; $BA$8 &amp; ":$DR$" &amp; $BA$9),
_xlpm.col, V$72+$D85*10,
INDEX(_xlpm.rango,$BA$4-3,_xlpm.col) +
INDEX(_xlpm.rango,$BA$4-2,_xlpm.col) +
INDEX(_xlpm.rango,$BA$4-1,_xlpm.col) +
INDEX(_xlpm.rango,$BA$4, _xlpm.col)
)</f>
        <v>#VALUE!</v>
      </c>
      <c r="W86" s="95" t="e" cm="1" vm="1">
        <f t="array" aca="1" ref="W86" ca="1">_xlfn.LET(
_xlpm.rango, INDIRECT("S!$C$" &amp; $BA$8 &amp; ":$DR$" &amp; $BA$9),
_xlpm.col, W$72+$D85*10,
INDEX(_xlpm.rango,$BA$4-3,_xlpm.col) +
INDEX(_xlpm.rango,$BA$4-2,_xlpm.col) +
INDEX(_xlpm.rango,$BA$4-1,_xlpm.col) +
INDEX(_xlpm.rango,$BA$4, _xlpm.col)
)</f>
        <v>#VALUE!</v>
      </c>
      <c r="X86" s="95" t="e" cm="1" vm="1">
        <f t="array" aca="1" ref="X86" ca="1">_xlfn.LET(
_xlpm.rango, INDIRECT("S!$C$" &amp; $BA$8 &amp; ":$DR$" &amp; $BA$9),
_xlpm.col, X$72+$D85*10,
INDEX(_xlpm.rango,$BA$4-3,_xlpm.col) +
INDEX(_xlpm.rango,$BA$4-2,_xlpm.col) +
INDEX(_xlpm.rango,$BA$4-1,_xlpm.col) +
INDEX(_xlpm.rango,$BA$4, _xlpm.col)
)</f>
        <v>#VALUE!</v>
      </c>
      <c r="Y86" s="95" t="e" cm="1" vm="1">
        <f t="array" aca="1" ref="Y86" ca="1">_xlfn.LET(
_xlpm.rango, INDIRECT("S!$C$" &amp; $BA$8 &amp; ":$DR$" &amp; $BA$9),
_xlpm.col, Y$72+$D85*10,
INDEX(_xlpm.rango,$BA$4-3,_xlpm.col) +
INDEX(_xlpm.rango,$BA$4-2,_xlpm.col) +
INDEX(_xlpm.rango,$BA$4-1,_xlpm.col) +
INDEX(_xlpm.rango,$BA$4, _xlpm.col)
)</f>
        <v>#VALUE!</v>
      </c>
      <c r="Z86" s="100" t="e" cm="1" vm="1">
        <f t="array" aca="1" ref="Z86" ca="1">_xlfn.LET(
_xlpm.rango, INDIRECT("E!$C$" &amp; $BA$8 &amp; ":$DR$" &amp; $BA$9),
_xlpm.col, Z$72+$D85*10,
INDEX(_xlpm.rango,$BA$4-3,_xlpm.col) +
INDEX(_xlpm.rango,$BA$4-2,_xlpm.col) +
INDEX(_xlpm.rango,$BA$4-1,_xlpm.col) +
INDEX(_xlpm.rango,$BA$4, _xlpm.col)
)</f>
        <v>#VALUE!</v>
      </c>
      <c r="AA86" s="95" t="e" cm="1" vm="1">
        <f t="array" aca="1" ref="AA86" ca="1">_xlfn.LET(
_xlpm.rango, INDIRECT("E!$C$" &amp; $BA$8 &amp; ":$DR$" &amp; $BA$9),
_xlpm.col, AA$72+$D85*10,
INDEX(_xlpm.rango,$BA$4-3,_xlpm.col) +
INDEX(_xlpm.rango,$BA$4-2,_xlpm.col) +
INDEX(_xlpm.rango,$BA$4-1,_xlpm.col) +
INDEX(_xlpm.rango,$BA$4, _xlpm.col)
)</f>
        <v>#VALUE!</v>
      </c>
      <c r="AB86" s="95" t="e" cm="1" vm="1">
        <f t="array" aca="1" ref="AB86" ca="1">_xlfn.LET(
_xlpm.rango, INDIRECT("E!$C$" &amp; $BA$8 &amp; ":$DR$" &amp; $BA$9),
_xlpm.col, AB$72+$D85*10,
INDEX(_xlpm.rango,$BA$4-3,_xlpm.col) +
INDEX(_xlpm.rango,$BA$4-2,_xlpm.col) +
INDEX(_xlpm.rango,$BA$4-1,_xlpm.col) +
INDEX(_xlpm.rango,$BA$4, _xlpm.col)
)</f>
        <v>#VALUE!</v>
      </c>
      <c r="AC86" s="95" t="e" cm="1" vm="1">
        <f t="array" aca="1" ref="AC86" ca="1">_xlfn.LET(
_xlpm.rango, INDIRECT("E!$C$" &amp; $BA$8 &amp; ":$DR$" &amp; $BA$9),
_xlpm.col, AC$72+$D85*10,
INDEX(_xlpm.rango,$BA$4-3,_xlpm.col) +
INDEX(_xlpm.rango,$BA$4-2,_xlpm.col) +
INDEX(_xlpm.rango,$BA$4-1,_xlpm.col) +
INDEX(_xlpm.rango,$BA$4, _xlpm.col)
)</f>
        <v>#VALUE!</v>
      </c>
      <c r="AD86" s="95" t="e" cm="1" vm="1">
        <f t="array" aca="1" ref="AD86" ca="1">_xlfn.LET(
_xlpm.rango, INDIRECT("E!$C$" &amp; $BA$8 &amp; ":$DR$" &amp; $BA$9),
_xlpm.col, AD$72+$D85*10,
INDEX(_xlpm.rango,$BA$4-3,_xlpm.col) +
INDEX(_xlpm.rango,$BA$4-2,_xlpm.col) +
INDEX(_xlpm.rango,$BA$4-1,_xlpm.col) +
INDEX(_xlpm.rango,$BA$4, _xlpm.col)
)</f>
        <v>#VALUE!</v>
      </c>
      <c r="AE86" s="95" t="e" cm="1" vm="1">
        <f t="array" aca="1" ref="AE86" ca="1">_xlfn.LET(
_xlpm.rango, INDIRECT("E!$C$" &amp; $BA$8 &amp; ":$DR$" &amp; $BA$9),
_xlpm.col, AE$72+$D85*10,
INDEX(_xlpm.rango,$BA$4-3,_xlpm.col) +
INDEX(_xlpm.rango,$BA$4-2,_xlpm.col) +
INDEX(_xlpm.rango,$BA$4-1,_xlpm.col) +
INDEX(_xlpm.rango,$BA$4, _xlpm.col)
)</f>
        <v>#VALUE!</v>
      </c>
      <c r="AF86" s="95" t="e" cm="1" vm="1">
        <f t="array" aca="1" ref="AF86" ca="1">_xlfn.LET(
_xlpm.rango, INDIRECT("E!$C$" &amp; $BA$8 &amp; ":$DR$" &amp; $BA$9),
_xlpm.col, AF$72+$D85*10,
INDEX(_xlpm.rango,$BA$4-3,_xlpm.col) +
INDEX(_xlpm.rango,$BA$4-2,_xlpm.col) +
INDEX(_xlpm.rango,$BA$4-1,_xlpm.col) +
INDEX(_xlpm.rango,$BA$4, _xlpm.col)
)</f>
        <v>#VALUE!</v>
      </c>
      <c r="AG86" s="95" t="e" cm="1" vm="1">
        <f t="array" aca="1" ref="AG86" ca="1">_xlfn.LET(
_xlpm.rango, INDIRECT("E!$C$" &amp; $BA$8 &amp; ":$DR$" &amp; $BA$9),
_xlpm.col, AG$72+$D85*10,
INDEX(_xlpm.rango,$BA$4-3,_xlpm.col) +
INDEX(_xlpm.rango,$BA$4-2,_xlpm.col) +
INDEX(_xlpm.rango,$BA$4-1,_xlpm.col) +
INDEX(_xlpm.rango,$BA$4, _xlpm.col)
)</f>
        <v>#VALUE!</v>
      </c>
      <c r="AH86" s="95" t="e" cm="1" vm="1">
        <f t="array" aca="1" ref="AH86" ca="1">_xlfn.LET(
_xlpm.rango, INDIRECT("E!$C$" &amp; $BA$8 &amp; ":$DR$" &amp; $BA$9),
_xlpm.col, AH$72+$D85*10,
INDEX(_xlpm.rango,$BA$4-3,_xlpm.col) +
INDEX(_xlpm.rango,$BA$4-2,_xlpm.col) +
INDEX(_xlpm.rango,$BA$4-1,_xlpm.col) +
INDEX(_xlpm.rango,$BA$4, _xlpm.col)
)</f>
        <v>#VALUE!</v>
      </c>
      <c r="AI86" s="96" t="e" cm="1" vm="1">
        <f t="array" aca="1" ref="AI86" ca="1">_xlfn.LET(
_xlpm.rango, INDIRECT("E!$C$" &amp; $BA$8 &amp; ":$DR$" &amp; $BA$9),
_xlpm.col, AI$72+$D85*10,
INDEX(_xlpm.rango,$BA$4-3,_xlpm.col) +
INDEX(_xlpm.rango,$BA$4-2,_xlpm.col) +
INDEX(_xlpm.rango,$BA$4-1,_xlpm.col) +
INDEX(_xlpm.rango,$BA$4, _xlpm.col)
)</f>
        <v>#VALUE!</v>
      </c>
      <c r="AJ86" s="95" t="e" cm="1" vm="1">
        <f t="array" aca="1" ref="AJ86" ca="1">_xlfn.LET(
_xlpm.rango, INDIRECT("E!$C$" &amp; $BA$8 &amp; ":$DR$" &amp; $BA$9),
_xlpm.col, AJ$72+$D85*10,
INDEX(_xlpm.rango,$BA$4-3,_xlpm.col) +
INDEX(_xlpm.rango,$BA$4-2,_xlpm.col) +
INDEX(_xlpm.rango,$BA$4-1,_xlpm.col) +
INDEX(_xlpm.rango,$BA$4, _xlpm.col)
)</f>
        <v>#VALUE!</v>
      </c>
      <c r="AK86" s="95" t="e" cm="1" vm="1">
        <f t="array" aca="1" ref="AK86" ca="1">_xlfn.LET(
_xlpm.rango, INDIRECT("E!$C$" &amp; $BA$8 &amp; ":$DR$" &amp; $BA$9),
_xlpm.col, AK$72+$D85*10,
INDEX(_xlpm.rango,$BA$4-3,_xlpm.col) +
INDEX(_xlpm.rango,$BA$4-2,_xlpm.col) +
INDEX(_xlpm.rango,$BA$4-1,_xlpm.col) +
INDEX(_xlpm.rango,$BA$4, _xlpm.col)
)</f>
        <v>#VALUE!</v>
      </c>
      <c r="AL86" s="95" t="e" cm="1" vm="1">
        <f t="array" aca="1" ref="AL86" ca="1">_xlfn.LET(
_xlpm.rango, INDIRECT("E!$C$" &amp; $BA$8 &amp; ":$DR$" &amp; $BA$9),
_xlpm.col, AL$72+$D85*10,
INDEX(_xlpm.rango,$BA$4-3,_xlpm.col) +
INDEX(_xlpm.rango,$BA$4-2,_xlpm.col) +
INDEX(_xlpm.rango,$BA$4-1,_xlpm.col) +
INDEX(_xlpm.rango,$BA$4, _xlpm.col)
)</f>
        <v>#VALUE!</v>
      </c>
      <c r="AM86" s="95" t="e" cm="1" vm="1">
        <f t="array" aca="1" ref="AM86" ca="1">_xlfn.LET(
_xlpm.rango, INDIRECT("E!$C$" &amp; $BA$8 &amp; ":$DR$" &amp; $BA$9),
_xlpm.col, AM$72+$D85*10,
INDEX(_xlpm.rango,$BA$4-3,_xlpm.col) +
INDEX(_xlpm.rango,$BA$4-2,_xlpm.col) +
INDEX(_xlpm.rango,$BA$4-1,_xlpm.col) +
INDEX(_xlpm.rango,$BA$4, _xlpm.col)
)</f>
        <v>#VALUE!</v>
      </c>
      <c r="AN86" s="95" t="e" cm="1" vm="1">
        <f t="array" aca="1" ref="AN86" ca="1">_xlfn.LET(
_xlpm.rango, INDIRECT("E!$C$" &amp; $BA$8 &amp; ":$DR$" &amp; $BA$9),
_xlpm.col, AN$72+$D85*10,
INDEX(_xlpm.rango,$BA$4-3,_xlpm.col) +
INDEX(_xlpm.rango,$BA$4-2,_xlpm.col) +
INDEX(_xlpm.rango,$BA$4-1,_xlpm.col) +
INDEX(_xlpm.rango,$BA$4, _xlpm.col)
)</f>
        <v>#VALUE!</v>
      </c>
      <c r="AO86" s="95" t="e" cm="1" vm="1">
        <f t="array" aca="1" ref="AO86" ca="1">_xlfn.LET(
_xlpm.rango, INDIRECT("E!$C$" &amp; $BA$8 &amp; ":$DR$" &amp; $BA$9),
_xlpm.col, AO$72+$D85*10,
INDEX(_xlpm.rango,$BA$4-3,_xlpm.col) +
INDEX(_xlpm.rango,$BA$4-2,_xlpm.col) +
INDEX(_xlpm.rango,$BA$4-1,_xlpm.col) +
INDEX(_xlpm.rango,$BA$4, _xlpm.col)
)</f>
        <v>#VALUE!</v>
      </c>
      <c r="AP86" s="95" t="e" cm="1" vm="1">
        <f t="array" aca="1" ref="AP86" ca="1">_xlfn.LET(
_xlpm.rango, INDIRECT("E!$C$" &amp; $BA$8 &amp; ":$DR$" &amp; $BA$9),
_xlpm.col, AP$72+$D85*10,
INDEX(_xlpm.rango,$BA$4-3,_xlpm.col) +
INDEX(_xlpm.rango,$BA$4-2,_xlpm.col) +
INDEX(_xlpm.rango,$BA$4-1,_xlpm.col) +
INDEX(_xlpm.rango,$BA$4, _xlpm.col)
)</f>
        <v>#VALUE!</v>
      </c>
      <c r="AQ86" s="95" t="e" cm="1" vm="1">
        <f t="array" aca="1" ref="AQ86" ca="1">_xlfn.LET(
_xlpm.rango, INDIRECT("E!$C$" &amp; $BA$8 &amp; ":$DR$" &amp; $BA$9),
_xlpm.col, AQ$72+$D85*10,
INDEX(_xlpm.rango,$BA$4-3,_xlpm.col) +
INDEX(_xlpm.rango,$BA$4-2,_xlpm.col) +
INDEX(_xlpm.rango,$BA$4-1,_xlpm.col) +
INDEX(_xlpm.rango,$BA$4, _xlpm.col)
)</f>
        <v>#VALUE!</v>
      </c>
      <c r="AR86" s="95" t="e" cm="1" vm="1">
        <f t="array" aca="1" ref="AR86" ca="1">_xlfn.LET(
_xlpm.rango, INDIRECT("E!$C$" &amp; $BA$8 &amp; ":$DR$" &amp; $BA$9),
_xlpm.col, AR$72+$D85*10,
INDEX(_xlpm.rango,$BA$4-3,_xlpm.col) +
INDEX(_xlpm.rango,$BA$4-2,_xlpm.col) +
INDEX(_xlpm.rango,$BA$4-1,_xlpm.col) +
INDEX(_xlpm.rango,$BA$4, _xlpm.col)
)</f>
        <v>#VALUE!</v>
      </c>
      <c r="AS86" s="112" t="e" cm="1" vm="1">
        <f t="array" aca="1" ref="AS86" ca="1">_xlfn.LET(
_xlpm.rango, INDIRECT("E!$C$" &amp; $BA$8 &amp; ":$DR$" &amp; $BA$9),
_xlpm.col, AS$72+$D85*10,
INDEX(_xlpm.rango,$BA$4-3,_xlpm.col) +
INDEX(_xlpm.rango,$BA$4-2,_xlpm.col) +
INDEX(_xlpm.rango,$BA$4-1,_xlpm.col) +
INDEX(_xlpm.rango,$BA$4, _xlpm.col)
)</f>
        <v>#VALUE!</v>
      </c>
      <c r="AT86" s="118" t="e" vm="2">
        <f t="shared" ca="1" si="0"/>
        <v>#VALUE!</v>
      </c>
      <c r="AU86" s="120" t="e" vm="2">
        <f t="shared" ca="1" si="1"/>
        <v>#VALUE!</v>
      </c>
    </row>
    <row r="87" spans="4:47" x14ac:dyDescent="0.25">
      <c r="D87">
        <v>12</v>
      </c>
      <c r="E87" s="113" t="str">
        <f>Inicio!V15</f>
        <v>Otros</v>
      </c>
      <c r="F87" s="101" t="e" cm="1" vm="1">
        <f t="array" aca="1" ref="F87" ca="1">_xlfn.LET(
_xlpm.rango, INDIRECT("N!$C$" &amp; $BA$8 &amp; ":$DR$" &amp; $BA$9),
_xlpm.col, F$72+$D86*10,
INDEX(_xlpm.rango,$BA$4-3,_xlpm.col) +
INDEX(_xlpm.rango,$BA$4-2,_xlpm.col) +
INDEX(_xlpm.rango,$BA$4-1,_xlpm.col) +
INDEX(_xlpm.rango,$BA$4, _xlpm.col)
)</f>
        <v>#VALUE!</v>
      </c>
      <c r="G87" s="97" t="e" cm="1" vm="1">
        <f t="array" aca="1" ref="G87" ca="1">_xlfn.LET(
_xlpm.rango, INDIRECT("N!$C$" &amp; $BA$8 &amp; ":$DR$" &amp; $BA$9),
_xlpm.col, G$72+$D86*10,
INDEX(_xlpm.rango,$BA$4-3,_xlpm.col) +
INDEX(_xlpm.rango,$BA$4-2,_xlpm.col) +
INDEX(_xlpm.rango,$BA$4-1,_xlpm.col) +
INDEX(_xlpm.rango,$BA$4, _xlpm.col)
)</f>
        <v>#VALUE!</v>
      </c>
      <c r="H87" s="97" t="e" cm="1" vm="1">
        <f t="array" aca="1" ref="H87" ca="1">_xlfn.LET(
_xlpm.rango, INDIRECT("N!$C$" &amp; $BA$8 &amp; ":$DR$" &amp; $BA$9),
_xlpm.col, H$72+$D86*10,
INDEX(_xlpm.rango,$BA$4-3,_xlpm.col) +
INDEX(_xlpm.rango,$BA$4-2,_xlpm.col) +
INDEX(_xlpm.rango,$BA$4-1,_xlpm.col) +
INDEX(_xlpm.rango,$BA$4, _xlpm.col)
)</f>
        <v>#VALUE!</v>
      </c>
      <c r="I87" s="97" t="e" cm="1" vm="1">
        <f t="array" aca="1" ref="I87" ca="1">_xlfn.LET(
_xlpm.rango, INDIRECT("N!$C$" &amp; $BA$8 &amp; ":$DR$" &amp; $BA$9),
_xlpm.col, I$72+$D86*10,
INDEX(_xlpm.rango,$BA$4-3,_xlpm.col) +
INDEX(_xlpm.rango,$BA$4-2,_xlpm.col) +
INDEX(_xlpm.rango,$BA$4-1,_xlpm.col) +
INDEX(_xlpm.rango,$BA$4, _xlpm.col)
)</f>
        <v>#VALUE!</v>
      </c>
      <c r="J87" s="97" t="e" cm="1" vm="1">
        <f t="array" aca="1" ref="J87" ca="1">_xlfn.LET(
_xlpm.rango, INDIRECT("N!$C$" &amp; $BA$8 &amp; ":$DR$" &amp; $BA$9),
_xlpm.col, J$72+$D86*10,
INDEX(_xlpm.rango,$BA$4-3,_xlpm.col) +
INDEX(_xlpm.rango,$BA$4-2,_xlpm.col) +
INDEX(_xlpm.rango,$BA$4-1,_xlpm.col) +
INDEX(_xlpm.rango,$BA$4, _xlpm.col)
)</f>
        <v>#VALUE!</v>
      </c>
      <c r="K87" s="97" t="e" cm="1" vm="1">
        <f t="array" aca="1" ref="K87" ca="1">_xlfn.LET(
_xlpm.rango, INDIRECT("N!$C$" &amp; $BA$8 &amp; ":$DR$" &amp; $BA$9),
_xlpm.col, K$72+$D86*10,
INDEX(_xlpm.rango,$BA$4-3,_xlpm.col) +
INDEX(_xlpm.rango,$BA$4-2,_xlpm.col) +
INDEX(_xlpm.rango,$BA$4-1,_xlpm.col) +
INDEX(_xlpm.rango,$BA$4, _xlpm.col)
)</f>
        <v>#VALUE!</v>
      </c>
      <c r="L87" s="97" t="e" cm="1" vm="1">
        <f t="array" aca="1" ref="L87" ca="1">_xlfn.LET(
_xlpm.rango, INDIRECT("N!$C$" &amp; $BA$8 &amp; ":$DR$" &amp; $BA$9),
_xlpm.col, L$72+$D86*10,
INDEX(_xlpm.rango,$BA$4-3,_xlpm.col) +
INDEX(_xlpm.rango,$BA$4-2,_xlpm.col) +
INDEX(_xlpm.rango,$BA$4-1,_xlpm.col) +
INDEX(_xlpm.rango,$BA$4, _xlpm.col)
)</f>
        <v>#VALUE!</v>
      </c>
      <c r="M87" s="97" t="e" cm="1" vm="1">
        <f t="array" aca="1" ref="M87" ca="1">_xlfn.LET(
_xlpm.rango, INDIRECT("N!$C$" &amp; $BA$8 &amp; ":$DR$" &amp; $BA$9),
_xlpm.col, M$72+$D86*10,
INDEX(_xlpm.rango,$BA$4-3,_xlpm.col) +
INDEX(_xlpm.rango,$BA$4-2,_xlpm.col) +
INDEX(_xlpm.rango,$BA$4-1,_xlpm.col) +
INDEX(_xlpm.rango,$BA$4, _xlpm.col)
)</f>
        <v>#VALUE!</v>
      </c>
      <c r="N87" s="97" t="e" cm="1" vm="1">
        <f t="array" aca="1" ref="N87" ca="1">_xlfn.LET(
_xlpm.rango, INDIRECT("N!$C$" &amp; $BA$8 &amp; ":$DR$" &amp; $BA$9),
_xlpm.col, N$72+$D86*10,
INDEX(_xlpm.rango,$BA$4-3,_xlpm.col) +
INDEX(_xlpm.rango,$BA$4-2,_xlpm.col) +
INDEX(_xlpm.rango,$BA$4-1,_xlpm.col) +
INDEX(_xlpm.rango,$BA$4, _xlpm.col)
)</f>
        <v>#VALUE!</v>
      </c>
      <c r="O87" s="98" t="e" cm="1" vm="1">
        <f t="array" aca="1" ref="O87" ca="1">_xlfn.LET(
_xlpm.rango, INDIRECT("N!$C$" &amp; $BA$8 &amp; ":$DR$" &amp; $BA$9),
_xlpm.col, O$72+$D86*10,
INDEX(_xlpm.rango,$BA$4-3,_xlpm.col) +
INDEX(_xlpm.rango,$BA$4-2,_xlpm.col) +
INDEX(_xlpm.rango,$BA$4-1,_xlpm.col) +
INDEX(_xlpm.rango,$BA$4, _xlpm.col)
)</f>
        <v>#VALUE!</v>
      </c>
      <c r="P87" s="97" t="e" cm="1" vm="1">
        <f t="array" aca="1" ref="P87" ca="1">_xlfn.LET(
_xlpm.rango, INDIRECT("S!$C$" &amp; $BA$8 &amp; ":$DR$" &amp; $BA$9),
_xlpm.col, P$72+$D86*10,
INDEX(_xlpm.rango,$BA$4-3,_xlpm.col) +
INDEX(_xlpm.rango,$BA$4-2,_xlpm.col) +
INDEX(_xlpm.rango,$BA$4-1,_xlpm.col) +
INDEX(_xlpm.rango,$BA$4, _xlpm.col)
)</f>
        <v>#VALUE!</v>
      </c>
      <c r="Q87" s="97" t="e" cm="1" vm="1">
        <f t="array" aca="1" ref="Q87" ca="1">_xlfn.LET(
_xlpm.rango, INDIRECT("S!$C$" &amp; $BA$8 &amp; ":$DR$" &amp; $BA$9),
_xlpm.col, Q$72+$D86*10,
INDEX(_xlpm.rango,$BA$4-3,_xlpm.col) +
INDEX(_xlpm.rango,$BA$4-2,_xlpm.col) +
INDEX(_xlpm.rango,$BA$4-1,_xlpm.col) +
INDEX(_xlpm.rango,$BA$4, _xlpm.col)
)</f>
        <v>#VALUE!</v>
      </c>
      <c r="R87" s="97" t="e" cm="1" vm="1">
        <f t="array" aca="1" ref="R87" ca="1">_xlfn.LET(
_xlpm.rango, INDIRECT("S!$C$" &amp; $BA$8 &amp; ":$DR$" &amp; $BA$9),
_xlpm.col, R$72+$D86*10,
INDEX(_xlpm.rango,$BA$4-3,_xlpm.col) +
INDEX(_xlpm.rango,$BA$4-2,_xlpm.col) +
INDEX(_xlpm.rango,$BA$4-1,_xlpm.col) +
INDEX(_xlpm.rango,$BA$4, _xlpm.col)
)</f>
        <v>#VALUE!</v>
      </c>
      <c r="S87" s="97" t="e" cm="1" vm="1">
        <f t="array" aca="1" ref="S87" ca="1">_xlfn.LET(
_xlpm.rango, INDIRECT("S!$C$" &amp; $BA$8 &amp; ":$DR$" &amp; $BA$9),
_xlpm.col, S$72+$D86*10,
INDEX(_xlpm.rango,$BA$4-3,_xlpm.col) +
INDEX(_xlpm.rango,$BA$4-2,_xlpm.col) +
INDEX(_xlpm.rango,$BA$4-1,_xlpm.col) +
INDEX(_xlpm.rango,$BA$4, _xlpm.col)
)</f>
        <v>#VALUE!</v>
      </c>
      <c r="T87" s="97" t="e" cm="1" vm="1">
        <f t="array" aca="1" ref="T87" ca="1">_xlfn.LET(
_xlpm.rango, INDIRECT("S!$C$" &amp; $BA$8 &amp; ":$DR$" &amp; $BA$9),
_xlpm.col, T$72+$D86*10,
INDEX(_xlpm.rango,$BA$4-3,_xlpm.col) +
INDEX(_xlpm.rango,$BA$4-2,_xlpm.col) +
INDEX(_xlpm.rango,$BA$4-1,_xlpm.col) +
INDEX(_xlpm.rango,$BA$4, _xlpm.col)
)</f>
        <v>#VALUE!</v>
      </c>
      <c r="U87" s="97" t="e" cm="1" vm="1">
        <f t="array" aca="1" ref="U87" ca="1">_xlfn.LET(
_xlpm.rango, INDIRECT("S!$C$" &amp; $BA$8 &amp; ":$DR$" &amp; $BA$9),
_xlpm.col, U$72+$D86*10,
INDEX(_xlpm.rango,$BA$4-3,_xlpm.col) +
INDEX(_xlpm.rango,$BA$4-2,_xlpm.col) +
INDEX(_xlpm.rango,$BA$4-1,_xlpm.col) +
INDEX(_xlpm.rango,$BA$4, _xlpm.col)
)</f>
        <v>#VALUE!</v>
      </c>
      <c r="V87" s="97" t="e" cm="1" vm="1">
        <f t="array" aca="1" ref="V87" ca="1">_xlfn.LET(
_xlpm.rango, INDIRECT("S!$C$" &amp; $BA$8 &amp; ":$DR$" &amp; $BA$9),
_xlpm.col, V$72+$D86*10,
INDEX(_xlpm.rango,$BA$4-3,_xlpm.col) +
INDEX(_xlpm.rango,$BA$4-2,_xlpm.col) +
INDEX(_xlpm.rango,$BA$4-1,_xlpm.col) +
INDEX(_xlpm.rango,$BA$4, _xlpm.col)
)</f>
        <v>#VALUE!</v>
      </c>
      <c r="W87" s="97" t="e" cm="1" vm="1">
        <f t="array" aca="1" ref="W87" ca="1">_xlfn.LET(
_xlpm.rango, INDIRECT("S!$C$" &amp; $BA$8 &amp; ":$DR$" &amp; $BA$9),
_xlpm.col, W$72+$D86*10,
INDEX(_xlpm.rango,$BA$4-3,_xlpm.col) +
INDEX(_xlpm.rango,$BA$4-2,_xlpm.col) +
INDEX(_xlpm.rango,$BA$4-1,_xlpm.col) +
INDEX(_xlpm.rango,$BA$4, _xlpm.col)
)</f>
        <v>#VALUE!</v>
      </c>
      <c r="X87" s="97" t="e" cm="1" vm="1">
        <f t="array" aca="1" ref="X87" ca="1">_xlfn.LET(
_xlpm.rango, INDIRECT("S!$C$" &amp; $BA$8 &amp; ":$DR$" &amp; $BA$9),
_xlpm.col, X$72+$D86*10,
INDEX(_xlpm.rango,$BA$4-3,_xlpm.col) +
INDEX(_xlpm.rango,$BA$4-2,_xlpm.col) +
INDEX(_xlpm.rango,$BA$4-1,_xlpm.col) +
INDEX(_xlpm.rango,$BA$4, _xlpm.col)
)</f>
        <v>#VALUE!</v>
      </c>
      <c r="Y87" s="97" t="e" cm="1" vm="1">
        <f t="array" aca="1" ref="Y87" ca="1">_xlfn.LET(
_xlpm.rango, INDIRECT("S!$C$" &amp; $BA$8 &amp; ":$DR$" &amp; $BA$9),
_xlpm.col, Y$72+$D86*10,
INDEX(_xlpm.rango,$BA$4-3,_xlpm.col) +
INDEX(_xlpm.rango,$BA$4-2,_xlpm.col) +
INDEX(_xlpm.rango,$BA$4-1,_xlpm.col) +
INDEX(_xlpm.rango,$BA$4, _xlpm.col)
)</f>
        <v>#VALUE!</v>
      </c>
      <c r="Z87" s="101" t="e" cm="1" vm="1">
        <f t="array" aca="1" ref="Z87" ca="1">_xlfn.LET(
_xlpm.rango, INDIRECT("E!$C$" &amp; $BA$8 &amp; ":$DR$" &amp; $BA$9),
_xlpm.col, Z$72+$D86*10,
INDEX(_xlpm.rango,$BA$4-3,_xlpm.col) +
INDEX(_xlpm.rango,$BA$4-2,_xlpm.col) +
INDEX(_xlpm.rango,$BA$4-1,_xlpm.col) +
INDEX(_xlpm.rango,$BA$4, _xlpm.col)
)</f>
        <v>#VALUE!</v>
      </c>
      <c r="AA87" s="97" t="e" cm="1" vm="1">
        <f t="array" aca="1" ref="AA87" ca="1">_xlfn.LET(
_xlpm.rango, INDIRECT("E!$C$" &amp; $BA$8 &amp; ":$DR$" &amp; $BA$9),
_xlpm.col, AA$72+$D86*10,
INDEX(_xlpm.rango,$BA$4-3,_xlpm.col) +
INDEX(_xlpm.rango,$BA$4-2,_xlpm.col) +
INDEX(_xlpm.rango,$BA$4-1,_xlpm.col) +
INDEX(_xlpm.rango,$BA$4, _xlpm.col)
)</f>
        <v>#VALUE!</v>
      </c>
      <c r="AB87" s="97" t="e" cm="1" vm="1">
        <f t="array" aca="1" ref="AB87" ca="1">_xlfn.LET(
_xlpm.rango, INDIRECT("E!$C$" &amp; $BA$8 &amp; ":$DR$" &amp; $BA$9),
_xlpm.col, AB$72+$D86*10,
INDEX(_xlpm.rango,$BA$4-3,_xlpm.col) +
INDEX(_xlpm.rango,$BA$4-2,_xlpm.col) +
INDEX(_xlpm.rango,$BA$4-1,_xlpm.col) +
INDEX(_xlpm.rango,$BA$4, _xlpm.col)
)</f>
        <v>#VALUE!</v>
      </c>
      <c r="AC87" s="97" t="e" cm="1" vm="1">
        <f t="array" aca="1" ref="AC87" ca="1">_xlfn.LET(
_xlpm.rango, INDIRECT("E!$C$" &amp; $BA$8 &amp; ":$DR$" &amp; $BA$9),
_xlpm.col, AC$72+$D86*10,
INDEX(_xlpm.rango,$BA$4-3,_xlpm.col) +
INDEX(_xlpm.rango,$BA$4-2,_xlpm.col) +
INDEX(_xlpm.rango,$BA$4-1,_xlpm.col) +
INDEX(_xlpm.rango,$BA$4, _xlpm.col)
)</f>
        <v>#VALUE!</v>
      </c>
      <c r="AD87" s="97" t="e" cm="1" vm="1">
        <f t="array" aca="1" ref="AD87" ca="1">_xlfn.LET(
_xlpm.rango, INDIRECT("E!$C$" &amp; $BA$8 &amp; ":$DR$" &amp; $BA$9),
_xlpm.col, AD$72+$D86*10,
INDEX(_xlpm.rango,$BA$4-3,_xlpm.col) +
INDEX(_xlpm.rango,$BA$4-2,_xlpm.col) +
INDEX(_xlpm.rango,$BA$4-1,_xlpm.col) +
INDEX(_xlpm.rango,$BA$4, _xlpm.col)
)</f>
        <v>#VALUE!</v>
      </c>
      <c r="AE87" s="97" t="e" cm="1" vm="1">
        <f t="array" aca="1" ref="AE87" ca="1">_xlfn.LET(
_xlpm.rango, INDIRECT("E!$C$" &amp; $BA$8 &amp; ":$DR$" &amp; $BA$9),
_xlpm.col, AE$72+$D86*10,
INDEX(_xlpm.rango,$BA$4-3,_xlpm.col) +
INDEX(_xlpm.rango,$BA$4-2,_xlpm.col) +
INDEX(_xlpm.rango,$BA$4-1,_xlpm.col) +
INDEX(_xlpm.rango,$BA$4, _xlpm.col)
)</f>
        <v>#VALUE!</v>
      </c>
      <c r="AF87" s="97" t="e" cm="1" vm="1">
        <f t="array" aca="1" ref="AF87" ca="1">_xlfn.LET(
_xlpm.rango, INDIRECT("E!$C$" &amp; $BA$8 &amp; ":$DR$" &amp; $BA$9),
_xlpm.col, AF$72+$D86*10,
INDEX(_xlpm.rango,$BA$4-3,_xlpm.col) +
INDEX(_xlpm.rango,$BA$4-2,_xlpm.col) +
INDEX(_xlpm.rango,$BA$4-1,_xlpm.col) +
INDEX(_xlpm.rango,$BA$4, _xlpm.col)
)</f>
        <v>#VALUE!</v>
      </c>
      <c r="AG87" s="97" t="e" cm="1" vm="1">
        <f t="array" aca="1" ref="AG87" ca="1">_xlfn.LET(
_xlpm.rango, INDIRECT("E!$C$" &amp; $BA$8 &amp; ":$DR$" &amp; $BA$9),
_xlpm.col, AG$72+$D86*10,
INDEX(_xlpm.rango,$BA$4-3,_xlpm.col) +
INDEX(_xlpm.rango,$BA$4-2,_xlpm.col) +
INDEX(_xlpm.rango,$BA$4-1,_xlpm.col) +
INDEX(_xlpm.rango,$BA$4, _xlpm.col)
)</f>
        <v>#VALUE!</v>
      </c>
      <c r="AH87" s="97" t="e" cm="1" vm="1">
        <f t="array" aca="1" ref="AH87" ca="1">_xlfn.LET(
_xlpm.rango, INDIRECT("E!$C$" &amp; $BA$8 &amp; ":$DR$" &amp; $BA$9),
_xlpm.col, AH$72+$D86*10,
INDEX(_xlpm.rango,$BA$4-3,_xlpm.col) +
INDEX(_xlpm.rango,$BA$4-2,_xlpm.col) +
INDEX(_xlpm.rango,$BA$4-1,_xlpm.col) +
INDEX(_xlpm.rango,$BA$4, _xlpm.col)
)</f>
        <v>#VALUE!</v>
      </c>
      <c r="AI87" s="98" t="e" cm="1" vm="1">
        <f t="array" aca="1" ref="AI87" ca="1">_xlfn.LET(
_xlpm.rango, INDIRECT("E!$C$" &amp; $BA$8 &amp; ":$DR$" &amp; $BA$9),
_xlpm.col, AI$72+$D86*10,
INDEX(_xlpm.rango,$BA$4-3,_xlpm.col) +
INDEX(_xlpm.rango,$BA$4-2,_xlpm.col) +
INDEX(_xlpm.rango,$BA$4-1,_xlpm.col) +
INDEX(_xlpm.rango,$BA$4, _xlpm.col)
)</f>
        <v>#VALUE!</v>
      </c>
      <c r="AJ87" s="97" t="e" cm="1" vm="1">
        <f t="array" aca="1" ref="AJ87" ca="1">_xlfn.LET(
_xlpm.rango, INDIRECT("E!$C$" &amp; $BA$8 &amp; ":$DR$" &amp; $BA$9),
_xlpm.col, AJ$72+$D86*10,
INDEX(_xlpm.rango,$BA$4-3,_xlpm.col) +
INDEX(_xlpm.rango,$BA$4-2,_xlpm.col) +
INDEX(_xlpm.rango,$BA$4-1,_xlpm.col) +
INDEX(_xlpm.rango,$BA$4, _xlpm.col)
)</f>
        <v>#VALUE!</v>
      </c>
      <c r="AK87" s="97" t="e" cm="1" vm="1">
        <f t="array" aca="1" ref="AK87" ca="1">_xlfn.LET(
_xlpm.rango, INDIRECT("E!$C$" &amp; $BA$8 &amp; ":$DR$" &amp; $BA$9),
_xlpm.col, AK$72+$D86*10,
INDEX(_xlpm.rango,$BA$4-3,_xlpm.col) +
INDEX(_xlpm.rango,$BA$4-2,_xlpm.col) +
INDEX(_xlpm.rango,$BA$4-1,_xlpm.col) +
INDEX(_xlpm.rango,$BA$4, _xlpm.col)
)</f>
        <v>#VALUE!</v>
      </c>
      <c r="AL87" s="97" t="e" cm="1" vm="1">
        <f t="array" aca="1" ref="AL87" ca="1">_xlfn.LET(
_xlpm.rango, INDIRECT("E!$C$" &amp; $BA$8 &amp; ":$DR$" &amp; $BA$9),
_xlpm.col, AL$72+$D86*10,
INDEX(_xlpm.rango,$BA$4-3,_xlpm.col) +
INDEX(_xlpm.rango,$BA$4-2,_xlpm.col) +
INDEX(_xlpm.rango,$BA$4-1,_xlpm.col) +
INDEX(_xlpm.rango,$BA$4, _xlpm.col)
)</f>
        <v>#VALUE!</v>
      </c>
      <c r="AM87" s="97" t="e" cm="1" vm="1">
        <f t="array" aca="1" ref="AM87" ca="1">_xlfn.LET(
_xlpm.rango, INDIRECT("E!$C$" &amp; $BA$8 &amp; ":$DR$" &amp; $BA$9),
_xlpm.col, AM$72+$D86*10,
INDEX(_xlpm.rango,$BA$4-3,_xlpm.col) +
INDEX(_xlpm.rango,$BA$4-2,_xlpm.col) +
INDEX(_xlpm.rango,$BA$4-1,_xlpm.col) +
INDEX(_xlpm.rango,$BA$4, _xlpm.col)
)</f>
        <v>#VALUE!</v>
      </c>
      <c r="AN87" s="97" t="e" cm="1" vm="1">
        <f t="array" aca="1" ref="AN87" ca="1">_xlfn.LET(
_xlpm.rango, INDIRECT("E!$C$" &amp; $BA$8 &amp; ":$DR$" &amp; $BA$9),
_xlpm.col, AN$72+$D86*10,
INDEX(_xlpm.rango,$BA$4-3,_xlpm.col) +
INDEX(_xlpm.rango,$BA$4-2,_xlpm.col) +
INDEX(_xlpm.rango,$BA$4-1,_xlpm.col) +
INDEX(_xlpm.rango,$BA$4, _xlpm.col)
)</f>
        <v>#VALUE!</v>
      </c>
      <c r="AO87" s="97" t="e" cm="1" vm="1">
        <f t="array" aca="1" ref="AO87" ca="1">_xlfn.LET(
_xlpm.rango, INDIRECT("E!$C$" &amp; $BA$8 &amp; ":$DR$" &amp; $BA$9),
_xlpm.col, AO$72+$D86*10,
INDEX(_xlpm.rango,$BA$4-3,_xlpm.col) +
INDEX(_xlpm.rango,$BA$4-2,_xlpm.col) +
INDEX(_xlpm.rango,$BA$4-1,_xlpm.col) +
INDEX(_xlpm.rango,$BA$4, _xlpm.col)
)</f>
        <v>#VALUE!</v>
      </c>
      <c r="AP87" s="97" t="e" cm="1" vm="1">
        <f t="array" aca="1" ref="AP87" ca="1">_xlfn.LET(
_xlpm.rango, INDIRECT("E!$C$" &amp; $BA$8 &amp; ":$DR$" &amp; $BA$9),
_xlpm.col, AP$72+$D86*10,
INDEX(_xlpm.rango,$BA$4-3,_xlpm.col) +
INDEX(_xlpm.rango,$BA$4-2,_xlpm.col) +
INDEX(_xlpm.rango,$BA$4-1,_xlpm.col) +
INDEX(_xlpm.rango,$BA$4, _xlpm.col)
)</f>
        <v>#VALUE!</v>
      </c>
      <c r="AQ87" s="97" t="e" cm="1" vm="1">
        <f t="array" aca="1" ref="AQ87" ca="1">_xlfn.LET(
_xlpm.rango, INDIRECT("E!$C$" &amp; $BA$8 &amp; ":$DR$" &amp; $BA$9),
_xlpm.col, AQ$72+$D86*10,
INDEX(_xlpm.rango,$BA$4-3,_xlpm.col) +
INDEX(_xlpm.rango,$BA$4-2,_xlpm.col) +
INDEX(_xlpm.rango,$BA$4-1,_xlpm.col) +
INDEX(_xlpm.rango,$BA$4, _xlpm.col)
)</f>
        <v>#VALUE!</v>
      </c>
      <c r="AR87" s="97" t="e" cm="1" vm="1">
        <f t="array" aca="1" ref="AR87" ca="1">_xlfn.LET(
_xlpm.rango, INDIRECT("E!$C$" &amp; $BA$8 &amp; ":$DR$" &amp; $BA$9),
_xlpm.col, AR$72+$D86*10,
INDEX(_xlpm.rango,$BA$4-3,_xlpm.col) +
INDEX(_xlpm.rango,$BA$4-2,_xlpm.col) +
INDEX(_xlpm.rango,$BA$4-1,_xlpm.col) +
INDEX(_xlpm.rango,$BA$4, _xlpm.col)
)</f>
        <v>#VALUE!</v>
      </c>
      <c r="AS87" s="114" t="e" cm="1" vm="1">
        <f t="array" aca="1" ref="AS87" ca="1">_xlfn.LET(
_xlpm.rango, INDIRECT("E!$C$" &amp; $BA$8 &amp; ":$DR$" &amp; $BA$9),
_xlpm.col, AS$72+$D86*10,
INDEX(_xlpm.rango,$BA$4-3,_xlpm.col) +
INDEX(_xlpm.rango,$BA$4-2,_xlpm.col) +
INDEX(_xlpm.rango,$BA$4-1,_xlpm.col) +
INDEX(_xlpm.rango,$BA$4, _xlpm.col)
)</f>
        <v>#VALUE!</v>
      </c>
      <c r="AT87" s="121" t="e" vm="2">
        <f t="shared" ca="1" si="0"/>
        <v>#VALUE!</v>
      </c>
      <c r="AU87" s="122" t="e" vm="2">
        <f t="shared" ca="1" si="1"/>
        <v>#VALUE!</v>
      </c>
    </row>
    <row r="88" spans="4:47" ht="15.75" thickBot="1" x14ac:dyDescent="0.3">
      <c r="E88" s="115" t="s">
        <v>153</v>
      </c>
      <c r="F88" s="92" t="e" vm="2">
        <f ca="1">SUM(F76:F87)</f>
        <v>#VALUE!</v>
      </c>
      <c r="G88" s="92" t="e" vm="2">
        <f t="shared" ref="G88:AT88" ca="1" si="2">SUM(G76:G87)</f>
        <v>#VALUE!</v>
      </c>
      <c r="H88" s="92" t="e" vm="2">
        <f t="shared" ca="1" si="2"/>
        <v>#VALUE!</v>
      </c>
      <c r="I88" s="92" t="e" vm="2">
        <f t="shared" ca="1" si="2"/>
        <v>#VALUE!</v>
      </c>
      <c r="J88" s="92" t="e" vm="2">
        <f t="shared" ca="1" si="2"/>
        <v>#VALUE!</v>
      </c>
      <c r="K88" s="92" t="e" vm="2">
        <f t="shared" ca="1" si="2"/>
        <v>#VALUE!</v>
      </c>
      <c r="L88" s="92" t="e" vm="2">
        <f t="shared" ca="1" si="2"/>
        <v>#VALUE!</v>
      </c>
      <c r="M88" s="92" t="e" vm="2">
        <f t="shared" ca="1" si="2"/>
        <v>#VALUE!</v>
      </c>
      <c r="N88" s="92" t="e" vm="2">
        <f t="shared" ca="1" si="2"/>
        <v>#VALUE!</v>
      </c>
      <c r="O88" s="92" t="e" vm="2">
        <f t="shared" ca="1" si="2"/>
        <v>#VALUE!</v>
      </c>
      <c r="P88" s="128" t="e" vm="2">
        <f t="shared" ca="1" si="2"/>
        <v>#VALUE!</v>
      </c>
      <c r="Q88" s="92" t="e" vm="2">
        <f t="shared" ca="1" si="2"/>
        <v>#VALUE!</v>
      </c>
      <c r="R88" s="92" t="e" vm="2">
        <f t="shared" ca="1" si="2"/>
        <v>#VALUE!</v>
      </c>
      <c r="S88" s="92" t="e" vm="2">
        <f t="shared" ca="1" si="2"/>
        <v>#VALUE!</v>
      </c>
      <c r="T88" s="92" t="e" vm="2">
        <f t="shared" ca="1" si="2"/>
        <v>#VALUE!</v>
      </c>
      <c r="U88" s="92" t="e" vm="2">
        <f t="shared" ca="1" si="2"/>
        <v>#VALUE!</v>
      </c>
      <c r="V88" s="92" t="e" vm="2">
        <f t="shared" ca="1" si="2"/>
        <v>#VALUE!</v>
      </c>
      <c r="W88" s="92" t="e" vm="2">
        <f t="shared" ca="1" si="2"/>
        <v>#VALUE!</v>
      </c>
      <c r="X88" s="92" t="e" vm="2">
        <f t="shared" ca="1" si="2"/>
        <v>#VALUE!</v>
      </c>
      <c r="Y88" s="92" t="e" vm="2">
        <f t="shared" ca="1" si="2"/>
        <v>#VALUE!</v>
      </c>
      <c r="Z88" s="92" t="e" vm="2">
        <f t="shared" ca="1" si="2"/>
        <v>#VALUE!</v>
      </c>
      <c r="AA88" s="92" t="e" vm="2">
        <f t="shared" ca="1" si="2"/>
        <v>#VALUE!</v>
      </c>
      <c r="AB88" s="92" t="e" vm="2">
        <f t="shared" ca="1" si="2"/>
        <v>#VALUE!</v>
      </c>
      <c r="AC88" s="92" t="e" vm="2">
        <f t="shared" ca="1" si="2"/>
        <v>#VALUE!</v>
      </c>
      <c r="AD88" s="92" t="e" vm="2">
        <f t="shared" ca="1" si="2"/>
        <v>#VALUE!</v>
      </c>
      <c r="AE88" s="92" t="e" vm="2">
        <f t="shared" ca="1" si="2"/>
        <v>#VALUE!</v>
      </c>
      <c r="AF88" s="92" t="e" vm="2">
        <f t="shared" ca="1" si="2"/>
        <v>#VALUE!</v>
      </c>
      <c r="AG88" s="92" t="e" vm="2">
        <f t="shared" ca="1" si="2"/>
        <v>#VALUE!</v>
      </c>
      <c r="AH88" s="92" t="e" vm="2">
        <f t="shared" ca="1" si="2"/>
        <v>#VALUE!</v>
      </c>
      <c r="AI88" s="92" t="e" vm="2">
        <f t="shared" ca="1" si="2"/>
        <v>#VALUE!</v>
      </c>
      <c r="AJ88" s="92" t="e" vm="2">
        <f t="shared" ca="1" si="2"/>
        <v>#VALUE!</v>
      </c>
      <c r="AK88" s="92" t="e" vm="2">
        <f t="shared" ca="1" si="2"/>
        <v>#VALUE!</v>
      </c>
      <c r="AL88" s="92" t="e" vm="2">
        <f t="shared" ca="1" si="2"/>
        <v>#VALUE!</v>
      </c>
      <c r="AM88" s="92" t="e" vm="2">
        <f t="shared" ca="1" si="2"/>
        <v>#VALUE!</v>
      </c>
      <c r="AN88" s="92" t="e" vm="2">
        <f t="shared" ca="1" si="2"/>
        <v>#VALUE!</v>
      </c>
      <c r="AO88" s="92" t="e" vm="2">
        <f t="shared" ca="1" si="2"/>
        <v>#VALUE!</v>
      </c>
      <c r="AP88" s="92" t="e" vm="2">
        <f t="shared" ca="1" si="2"/>
        <v>#VALUE!</v>
      </c>
      <c r="AQ88" s="92" t="e" vm="2">
        <f t="shared" ca="1" si="2"/>
        <v>#VALUE!</v>
      </c>
      <c r="AR88" s="92" t="e" vm="2">
        <f t="shared" ca="1" si="2"/>
        <v>#VALUE!</v>
      </c>
      <c r="AS88" s="116" t="e" vm="2">
        <f t="shared" ca="1" si="2"/>
        <v>#VALUE!</v>
      </c>
      <c r="AT88" s="123" t="e" vm="2">
        <f t="shared" ca="1" si="2"/>
        <v>#VALUE!</v>
      </c>
      <c r="AU88" s="124" t="e" vm="2">
        <f ca="1">SUM(AU76:AU87)</f>
        <v>#VALUE!</v>
      </c>
    </row>
    <row r="89" spans="4:47" ht="15.75" thickBot="1" x14ac:dyDescent="0.3">
      <c r="E89" s="117" t="s">
        <v>3</v>
      </c>
      <c r="F89" s="226" t="e" vm="2">
        <f ca="1">F76*Inicio!$W$4+F77*Inicio!$W$5+F78*Inicio!$W$6+F79*Inicio!$W$7+F80*Inicio!$W$8+F81*Inicio!$W$9+F82*Inicio!$W$10+F83*Inicio!$W$11+F84*Inicio!$W$12+F85*Inicio!$W$13+F86*Inicio!$W$14+F87*Inicio!$W$15</f>
        <v>#VALUE!</v>
      </c>
      <c r="G89" s="226" t="e" vm="2">
        <f ca="1">G76*Inicio!$W$4+G77*Inicio!$W$5+G78*Inicio!$W$6+G79*Inicio!$W$7+G80*Inicio!$W$8+G81*Inicio!$W$9+G82*Inicio!$W$10+G83*Inicio!$W$11+G84*Inicio!$W$12+G85*Inicio!$W$13+G86*Inicio!$W$14+G87*Inicio!$W$15</f>
        <v>#VALUE!</v>
      </c>
      <c r="H89" s="226" t="e" vm="2">
        <f ca="1">H76*Inicio!$W$4+H77*Inicio!$W$5+H78*Inicio!$W$6+H79*Inicio!$W$7+H80*Inicio!$W$8+H81*Inicio!$W$9+H82*Inicio!$W$10+H83*Inicio!$W$11+H84*Inicio!$W$12+H85*Inicio!$W$13+H86*Inicio!$W$14+H87*Inicio!$W$15</f>
        <v>#VALUE!</v>
      </c>
      <c r="I89" s="226" t="e" vm="2">
        <f ca="1">I76*Inicio!$W$4+I77*Inicio!$W$5+I78*Inicio!$W$6+I79*Inicio!$W$7+I80*Inicio!$W$8+I81*Inicio!$W$9+I82*Inicio!$W$10+I83*Inicio!$W$11+I84*Inicio!$W$12+I85*Inicio!$W$13+I86*Inicio!$W$14+I87*Inicio!$W$15</f>
        <v>#VALUE!</v>
      </c>
      <c r="J89" s="226" t="e" vm="2">
        <f ca="1">J76*Inicio!$W$4+J77*Inicio!$W$5+J78*Inicio!$W$6+J79*Inicio!$W$7+J80*Inicio!$W$8+J81*Inicio!$W$9+J82*Inicio!$W$10+J83*Inicio!$W$11+J84*Inicio!$W$12+J85*Inicio!$W$13+J86*Inicio!$W$14+J87*Inicio!$W$15</f>
        <v>#VALUE!</v>
      </c>
      <c r="K89" s="226" t="e" vm="2">
        <f ca="1">K76*Inicio!$W$4+K77*Inicio!$W$5+K78*Inicio!$W$6+K79*Inicio!$W$7+K80*Inicio!$W$8+K81*Inicio!$W$9+K82*Inicio!$W$10+K83*Inicio!$W$11+K84*Inicio!$W$12+K85*Inicio!$W$13+K86*Inicio!$W$14+K87*Inicio!$W$15</f>
        <v>#VALUE!</v>
      </c>
      <c r="L89" s="226" t="e" vm="2">
        <f ca="1">L76*Inicio!$W$4+L77*Inicio!$W$5+L78*Inicio!$W$6+L79*Inicio!$W$7+L80*Inicio!$W$8+L81*Inicio!$W$9+L82*Inicio!$W$10+L83*Inicio!$W$11+L84*Inicio!$W$12+L85*Inicio!$W$13+L86*Inicio!$W$14+L87*Inicio!$W$15</f>
        <v>#VALUE!</v>
      </c>
      <c r="M89" s="226" t="e" vm="2">
        <f ca="1">M76*Inicio!$W$4+M77*Inicio!$W$5+M78*Inicio!$W$6+M79*Inicio!$W$7+M80*Inicio!$W$8+M81*Inicio!$W$9+M82*Inicio!$W$10+M83*Inicio!$W$11+M84*Inicio!$W$12+M85*Inicio!$W$13+M86*Inicio!$W$14+M87*Inicio!$W$15</f>
        <v>#VALUE!</v>
      </c>
      <c r="N89" s="226" t="e" vm="2">
        <f ca="1">N76*Inicio!$W$4+N77*Inicio!$W$5+N78*Inicio!$W$6+N79*Inicio!$W$7+N80*Inicio!$W$8+N81*Inicio!$W$9+N82*Inicio!$W$10+N83*Inicio!$W$11+N84*Inicio!$W$12+N85*Inicio!$W$13+N86*Inicio!$W$14+N87*Inicio!$W$15</f>
        <v>#VALUE!</v>
      </c>
      <c r="O89" s="226" t="e" vm="2">
        <f ca="1">O76*Inicio!$W$4+O77*Inicio!$W$5+O78*Inicio!$W$6+O79*Inicio!$W$7+O80*Inicio!$W$8+O81*Inicio!$W$9+O82*Inicio!$W$10+O83*Inicio!$W$11+O84*Inicio!$W$12+O85*Inicio!$W$13+O86*Inicio!$W$14+O87*Inicio!$W$15</f>
        <v>#VALUE!</v>
      </c>
      <c r="P89" s="226" t="e" vm="2">
        <f ca="1">P76*Inicio!$W$4+P77*Inicio!$W$5+P78*Inicio!$W$6+P79*Inicio!$W$7+P80*Inicio!$W$8+P81*Inicio!$W$9+P82*Inicio!$W$10+P83*Inicio!$W$11+P84*Inicio!$W$12+P85*Inicio!$W$13+P86*Inicio!$W$14+P87*Inicio!$W$15</f>
        <v>#VALUE!</v>
      </c>
      <c r="Q89" s="226" t="e" vm="2">
        <f ca="1">Q76*Inicio!$W$4+Q77*Inicio!$W$5+Q78*Inicio!$W$6+Q79*Inicio!$W$7+Q80*Inicio!$W$8+Q81*Inicio!$W$9+Q82*Inicio!$W$10+Q83*Inicio!$W$11+Q84*Inicio!$W$12+Q85*Inicio!$W$13+Q86*Inicio!$W$14+Q87*Inicio!$W$15</f>
        <v>#VALUE!</v>
      </c>
      <c r="R89" s="226" t="e" vm="2">
        <f ca="1">R76*Inicio!$W$4+R77*Inicio!$W$5+R78*Inicio!$W$6+R79*Inicio!$W$7+R80*Inicio!$W$8+R81*Inicio!$W$9+R82*Inicio!$W$10+R83*Inicio!$W$11+R84*Inicio!$W$12+R85*Inicio!$W$13+R86*Inicio!$W$14+R87*Inicio!$W$15</f>
        <v>#VALUE!</v>
      </c>
      <c r="S89" s="226" t="e" vm="2">
        <f ca="1">S76*Inicio!$W$4+S77*Inicio!$W$5+S78*Inicio!$W$6+S79*Inicio!$W$7+S80*Inicio!$W$8+S81*Inicio!$W$9+S82*Inicio!$W$10+S83*Inicio!$W$11+S84*Inicio!$W$12+S85*Inicio!$W$13+S86*Inicio!$W$14+S87*Inicio!$W$15</f>
        <v>#VALUE!</v>
      </c>
      <c r="T89" s="226" t="e" vm="2">
        <f ca="1">T76*Inicio!$W$4+T77*Inicio!$W$5+T78*Inicio!$W$6+T79*Inicio!$W$7+T80*Inicio!$W$8+T81*Inicio!$W$9+T82*Inicio!$W$10+T83*Inicio!$W$11+T84*Inicio!$W$12+T85*Inicio!$W$13+T86*Inicio!$W$14+T87*Inicio!$W$15</f>
        <v>#VALUE!</v>
      </c>
      <c r="U89" s="226" t="e" vm="2">
        <f ca="1">U76*Inicio!$W$4+U77*Inicio!$W$5+U78*Inicio!$W$6+U79*Inicio!$W$7+U80*Inicio!$W$8+U81*Inicio!$W$9+U82*Inicio!$W$10+U83*Inicio!$W$11+U84*Inicio!$W$12+U85*Inicio!$W$13+U86*Inicio!$W$14+U87*Inicio!$W$15</f>
        <v>#VALUE!</v>
      </c>
      <c r="V89" s="226" t="e" vm="2">
        <f ca="1">V76*Inicio!$W$4+V77*Inicio!$W$5+V78*Inicio!$W$6+V79*Inicio!$W$7+V80*Inicio!$W$8+V81*Inicio!$W$9+V82*Inicio!$W$10+V83*Inicio!$W$11+V84*Inicio!$W$12+V85*Inicio!$W$13+V86*Inicio!$W$14+V87*Inicio!$W$15</f>
        <v>#VALUE!</v>
      </c>
      <c r="W89" s="226" t="e" vm="2">
        <f ca="1">W76*Inicio!$W$4+W77*Inicio!$W$5+W78*Inicio!$W$6+W79*Inicio!$W$7+W80*Inicio!$W$8+W81*Inicio!$W$9+W82*Inicio!$W$10+W83*Inicio!$W$11+W84*Inicio!$W$12+W85*Inicio!$W$13+W86*Inicio!$W$14+W87*Inicio!$W$15</f>
        <v>#VALUE!</v>
      </c>
      <c r="X89" s="226" t="e" vm="2">
        <f ca="1">X76*Inicio!$W$4+X77*Inicio!$W$5+X78*Inicio!$W$6+X79*Inicio!$W$7+X80*Inicio!$W$8+X81*Inicio!$W$9+X82*Inicio!$W$10+X83*Inicio!$W$11+X84*Inicio!$W$12+X85*Inicio!$W$13+X86*Inicio!$W$14+X87*Inicio!$W$15</f>
        <v>#VALUE!</v>
      </c>
      <c r="Y89" s="226" t="e" vm="2">
        <f ca="1">Y76*Inicio!$W$4+Y77*Inicio!$W$5+Y78*Inicio!$W$6+Y79*Inicio!$W$7+Y80*Inicio!$W$8+Y81*Inicio!$W$9+Y82*Inicio!$W$10+Y83*Inicio!$W$11+Y84*Inicio!$W$12+Y85*Inicio!$W$13+Y86*Inicio!$W$14+Y87*Inicio!$W$15</f>
        <v>#VALUE!</v>
      </c>
      <c r="Z89" s="226" t="e" vm="2">
        <f ca="1">Z76*Inicio!$W$4+Z77*Inicio!$W$5+Z78*Inicio!$W$6+Z79*Inicio!$W$7+Z80*Inicio!$W$8+Z81*Inicio!$W$9+Z82*Inicio!$W$10+Z83*Inicio!$W$11+Z84*Inicio!$W$12+Z85*Inicio!$W$13+Z86*Inicio!$W$14+Z87*Inicio!$W$15</f>
        <v>#VALUE!</v>
      </c>
      <c r="AA89" s="226" t="e" vm="2">
        <f ca="1">AA76*Inicio!$W$4+AA77*Inicio!$W$5+AA78*Inicio!$W$6+AA79*Inicio!$W$7+AA80*Inicio!$W$8+AA81*Inicio!$W$9+AA82*Inicio!$W$10+AA83*Inicio!$W$11+AA84*Inicio!$W$12+AA85*Inicio!$W$13+AA86*Inicio!$W$14+AA87*Inicio!$W$15</f>
        <v>#VALUE!</v>
      </c>
      <c r="AB89" s="226" t="e" vm="2">
        <f ca="1">AB76*Inicio!$W$4+AB77*Inicio!$W$5+AB78*Inicio!$W$6+AB79*Inicio!$W$7+AB80*Inicio!$W$8+AB81*Inicio!$W$9+AB82*Inicio!$W$10+AB83*Inicio!$W$11+AB84*Inicio!$W$12+AB85*Inicio!$W$13+AB86*Inicio!$W$14+AB87*Inicio!$W$15</f>
        <v>#VALUE!</v>
      </c>
      <c r="AC89" s="226" t="e" vm="2">
        <f ca="1">AC76*Inicio!$W$4+AC77*Inicio!$W$5+AC78*Inicio!$W$6+AC79*Inicio!$W$7+AC80*Inicio!$W$8+AC81*Inicio!$W$9+AC82*Inicio!$W$10+AC83*Inicio!$W$11+AC84*Inicio!$W$12+AC85*Inicio!$W$13+AC86*Inicio!$W$14+AC87*Inicio!$W$15</f>
        <v>#VALUE!</v>
      </c>
      <c r="AD89" s="226" t="e" vm="2">
        <f ca="1">AD76*Inicio!$W$4+AD77*Inicio!$W$5+AD78*Inicio!$W$6+AD79*Inicio!$W$7+AD80*Inicio!$W$8+AD81*Inicio!$W$9+AD82*Inicio!$W$10+AD83*Inicio!$W$11+AD84*Inicio!$W$12+AD85*Inicio!$W$13+AD86*Inicio!$W$14+AD87*Inicio!$W$15</f>
        <v>#VALUE!</v>
      </c>
      <c r="AE89" s="226" t="e" vm="2">
        <f ca="1">AE76*Inicio!$W$4+AE77*Inicio!$W$5+AE78*Inicio!$W$6+AE79*Inicio!$W$7+AE80*Inicio!$W$8+AE81*Inicio!$W$9+AE82*Inicio!$W$10+AE83*Inicio!$W$11+AE84*Inicio!$W$12+AE85*Inicio!$W$13+AE86*Inicio!$W$14+AE87*Inicio!$W$15</f>
        <v>#VALUE!</v>
      </c>
      <c r="AF89" s="226" t="e" vm="2">
        <f ca="1">AF76*Inicio!$W$4+AF77*Inicio!$W$5+AF78*Inicio!$W$6+AF79*Inicio!$W$7+AF80*Inicio!$W$8+AF81*Inicio!$W$9+AF82*Inicio!$W$10+AF83*Inicio!$W$11+AF84*Inicio!$W$12+AF85*Inicio!$W$13+AF86*Inicio!$W$14+AF87*Inicio!$W$15</f>
        <v>#VALUE!</v>
      </c>
      <c r="AG89" s="226" t="e" vm="2">
        <f ca="1">AG76*Inicio!$W$4+AG77*Inicio!$W$5+AG78*Inicio!$W$6+AG79*Inicio!$W$7+AG80*Inicio!$W$8+AG81*Inicio!$W$9+AG82*Inicio!$W$10+AG83*Inicio!$W$11+AG84*Inicio!$W$12+AG85*Inicio!$W$13+AG86*Inicio!$W$14+AG87*Inicio!$W$15</f>
        <v>#VALUE!</v>
      </c>
      <c r="AH89" s="226" t="e" vm="2">
        <f ca="1">AH76*Inicio!$W$4+AH77*Inicio!$W$5+AH78*Inicio!$W$6+AH79*Inicio!$W$7+AH80*Inicio!$W$8+AH81*Inicio!$W$9+AH82*Inicio!$W$10+AH83*Inicio!$W$11+AH84*Inicio!$W$12+AH85*Inicio!$W$13+AH86*Inicio!$W$14+AH87*Inicio!$W$15</f>
        <v>#VALUE!</v>
      </c>
      <c r="AI89" s="226" t="e" vm="2">
        <f ca="1">AI76*Inicio!$W$4+AI77*Inicio!$W$5+AI78*Inicio!$W$6+AI79*Inicio!$W$7+AI80*Inicio!$W$8+AI81*Inicio!$W$9+AI82*Inicio!$W$10+AI83*Inicio!$W$11+AI84*Inicio!$W$12+AI85*Inicio!$W$13+AI86*Inicio!$W$14+AI87*Inicio!$W$15</f>
        <v>#VALUE!</v>
      </c>
      <c r="AJ89" s="226" t="e" vm="2">
        <f ca="1">AJ76*Inicio!$W$4+AJ77*Inicio!$W$5+AJ78*Inicio!$W$6+AJ79*Inicio!$W$7+AJ80*Inicio!$W$8+AJ81*Inicio!$W$9+AJ82*Inicio!$W$10+AJ83*Inicio!$W$11+AJ84*Inicio!$W$12+AJ85*Inicio!$W$13+AJ86*Inicio!$W$14+AJ87*Inicio!$W$15</f>
        <v>#VALUE!</v>
      </c>
      <c r="AK89" s="226" t="e" vm="2">
        <f ca="1">AK76*Inicio!$W$4+AK77*Inicio!$W$5+AK78*Inicio!$W$6+AK79*Inicio!$W$7+AK80*Inicio!$W$8+AK81*Inicio!$W$9+AK82*Inicio!$W$10+AK83*Inicio!$W$11+AK84*Inicio!$W$12+AK85*Inicio!$W$13+AK86*Inicio!$W$14+AK87*Inicio!$W$15</f>
        <v>#VALUE!</v>
      </c>
      <c r="AL89" s="226" t="e" vm="2">
        <f ca="1">AL76*Inicio!$W$4+AL77*Inicio!$W$5+AL78*Inicio!$W$6+AL79*Inicio!$W$7+AL80*Inicio!$W$8+AL81*Inicio!$W$9+AL82*Inicio!$W$10+AL83*Inicio!$W$11+AL84*Inicio!$W$12+AL85*Inicio!$W$13+AL86*Inicio!$W$14+AL87*Inicio!$W$15</f>
        <v>#VALUE!</v>
      </c>
      <c r="AM89" s="226" t="e" vm="2">
        <f ca="1">AM76*Inicio!$W$4+AM77*Inicio!$W$5+AM78*Inicio!$W$6+AM79*Inicio!$W$7+AM80*Inicio!$W$8+AM81*Inicio!$W$9+AM82*Inicio!$W$10+AM83*Inicio!$W$11+AM84*Inicio!$W$12+AM85*Inicio!$W$13+AM86*Inicio!$W$14+AM87*Inicio!$W$15</f>
        <v>#VALUE!</v>
      </c>
      <c r="AN89" s="226" t="e" vm="2">
        <f ca="1">AN76*Inicio!$W$4+AN77*Inicio!$W$5+AN78*Inicio!$W$6+AN79*Inicio!$W$7+AN80*Inicio!$W$8+AN81*Inicio!$W$9+AN82*Inicio!$W$10+AN83*Inicio!$W$11+AN84*Inicio!$W$12+AN85*Inicio!$W$13+AN86*Inicio!$W$14+AN87*Inicio!$W$15</f>
        <v>#VALUE!</v>
      </c>
      <c r="AO89" s="226" t="e" vm="2">
        <f ca="1">AO76*Inicio!$W$4+AO77*Inicio!$W$5+AO78*Inicio!$W$6+AO79*Inicio!$W$7+AO80*Inicio!$W$8+AO81*Inicio!$W$9+AO82*Inicio!$W$10+AO83*Inicio!$W$11+AO84*Inicio!$W$12+AO85*Inicio!$W$13+AO86*Inicio!$W$14+AO87*Inicio!$W$15</f>
        <v>#VALUE!</v>
      </c>
      <c r="AP89" s="226" t="e" vm="2">
        <f ca="1">AP76*Inicio!$W$4+AP77*Inicio!$W$5+AP78*Inicio!$W$6+AP79*Inicio!$W$7+AP80*Inicio!$W$8+AP81*Inicio!$W$9+AP82*Inicio!$W$10+AP83*Inicio!$W$11+AP84*Inicio!$W$12+AP85*Inicio!$W$13+AP86*Inicio!$W$14+AP87*Inicio!$W$15</f>
        <v>#VALUE!</v>
      </c>
      <c r="AQ89" s="226" t="e" vm="2">
        <f ca="1">AQ76*Inicio!$W$4+AQ77*Inicio!$W$5+AQ78*Inicio!$W$6+AQ79*Inicio!$W$7+AQ80*Inicio!$W$8+AQ81*Inicio!$W$9+AQ82*Inicio!$W$10+AQ83*Inicio!$W$11+AQ84*Inicio!$W$12+AQ85*Inicio!$W$13+AQ86*Inicio!$W$14+AQ87*Inicio!$W$15</f>
        <v>#VALUE!</v>
      </c>
      <c r="AR89" s="226" t="e" vm="2">
        <f ca="1">AR76*Inicio!$W$4+AR77*Inicio!$W$5+AR78*Inicio!$W$6+AR79*Inicio!$W$7+AR80*Inicio!$W$8+AR81*Inicio!$W$9+AR82*Inicio!$W$10+AR83*Inicio!$W$11+AR84*Inicio!$W$12+AR85*Inicio!$W$13+AR86*Inicio!$W$14+AR87*Inicio!$W$15</f>
        <v>#VALUE!</v>
      </c>
      <c r="AS89" s="227" t="e" vm="2">
        <f ca="1">AS76*Inicio!$W$4+AS77*Inicio!$W$5+AS78*Inicio!$W$6+AS79*Inicio!$W$7+AS80*Inicio!$W$8+AS81*Inicio!$W$9+AS82*Inicio!$W$10+AS83*Inicio!$W$11+AS84*Inicio!$W$12+AS85*Inicio!$W$13+AS86*Inicio!$W$14+AS87*Inicio!$W$15</f>
        <v>#VALUE!</v>
      </c>
    </row>
  </sheetData>
  <mergeCells count="26">
    <mergeCell ref="E2:AU2"/>
    <mergeCell ref="F4:J4"/>
    <mergeCell ref="AQ4:AR4"/>
    <mergeCell ref="AS4:AU4"/>
    <mergeCell ref="F5:J5"/>
    <mergeCell ref="AQ5:AR5"/>
    <mergeCell ref="AS5:AU5"/>
    <mergeCell ref="F6:J6"/>
    <mergeCell ref="AQ6:AR6"/>
    <mergeCell ref="AS6:AU6"/>
    <mergeCell ref="F7:J7"/>
    <mergeCell ref="AQ7:AR7"/>
    <mergeCell ref="AS7:AU7"/>
    <mergeCell ref="P74:Y74"/>
    <mergeCell ref="Z74:AI74"/>
    <mergeCell ref="AJ74:AS74"/>
    <mergeCell ref="E9:AU68"/>
    <mergeCell ref="E70:AU70"/>
    <mergeCell ref="E73:E75"/>
    <mergeCell ref="F73:O73"/>
    <mergeCell ref="P73:Y73"/>
    <mergeCell ref="Z73:AI73"/>
    <mergeCell ref="AJ73:AS73"/>
    <mergeCell ref="AT73:AT75"/>
    <mergeCell ref="AU73:AU75"/>
    <mergeCell ref="F74:O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EL108"/>
  <sheetViews>
    <sheetView zoomScale="71" zoomScaleNormal="71" workbookViewId="0"/>
  </sheetViews>
  <sheetFormatPr baseColWidth="10" defaultColWidth="9.140625" defaultRowHeight="15" x14ac:dyDescent="0.25"/>
  <cols>
    <col min="1" max="1" width="13.5703125" bestFit="1" customWidth="1"/>
    <col min="2" max="2" width="17" bestFit="1" customWidth="1"/>
    <col min="3" max="42" width="13.5703125" style="1" bestFit="1" customWidth="1"/>
    <col min="43" max="102" width="13.5703125" style="1" customWidth="1"/>
    <col min="103" max="122" width="13.5703125" style="84" customWidth="1"/>
    <col min="123" max="132" width="13.5703125" style="1" bestFit="1" customWidth="1"/>
    <col min="133" max="134" width="13.5703125" style="84" customWidth="1"/>
    <col min="135" max="137" width="13.5703125" style="2" bestFit="1" customWidth="1"/>
    <col min="138" max="138" width="13.5703125" style="1" bestFit="1" customWidth="1"/>
    <col min="139" max="139" width="13.5703125" style="13" bestFit="1" customWidth="1"/>
    <col min="140" max="140" width="13.5703125" style="2" bestFit="1" customWidth="1"/>
    <col min="141" max="141" width="13.5703125" style="1" bestFit="1" customWidth="1"/>
    <col min="142" max="142" width="13.5703125" style="2" bestFit="1" customWidth="1"/>
  </cols>
  <sheetData>
    <row r="1" spans="2:142" ht="18.75" customHeight="1" x14ac:dyDescent="0.25"/>
    <row r="2" spans="2:142" ht="30" customHeight="1" x14ac:dyDescent="0.4">
      <c r="B2" s="198" t="s">
        <v>22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99"/>
      <c r="BT2" s="1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  <c r="CS2" s="199"/>
      <c r="CT2" s="199"/>
      <c r="CU2" s="199"/>
      <c r="CV2" s="199"/>
      <c r="CW2" s="199"/>
      <c r="CX2" s="199"/>
      <c r="CY2" s="199"/>
      <c r="CZ2" s="199"/>
      <c r="DA2" s="199"/>
      <c r="DB2" s="199"/>
      <c r="DC2" s="199"/>
      <c r="DD2" s="199"/>
      <c r="DE2" s="199"/>
      <c r="DF2" s="199"/>
      <c r="DG2" s="199"/>
      <c r="DH2" s="199"/>
      <c r="DI2" s="199"/>
      <c r="DJ2" s="199"/>
      <c r="DK2" s="199"/>
      <c r="DL2" s="199"/>
      <c r="DM2" s="199"/>
      <c r="DN2" s="199"/>
      <c r="DO2" s="199"/>
      <c r="DP2" s="199"/>
      <c r="DQ2" s="199"/>
      <c r="DR2" s="199"/>
      <c r="DS2" s="199"/>
      <c r="DT2" s="199"/>
      <c r="DU2" s="199"/>
      <c r="DV2" s="199"/>
      <c r="DW2" s="199"/>
      <c r="DX2" s="199"/>
      <c r="DY2" s="199"/>
      <c r="DZ2" s="199"/>
      <c r="EA2" s="199"/>
      <c r="EB2" s="199"/>
      <c r="EC2" s="199"/>
      <c r="ED2" s="199"/>
      <c r="EE2" s="199"/>
      <c r="EF2" s="199"/>
      <c r="EG2" s="199"/>
      <c r="EH2" s="199"/>
      <c r="EI2" s="199"/>
      <c r="EJ2" s="199"/>
      <c r="EK2" s="199"/>
      <c r="EL2" s="200"/>
    </row>
    <row r="3" spans="2:142" ht="20.25" customHeight="1" x14ac:dyDescent="0.3">
      <c r="B3" s="201" t="s">
        <v>125</v>
      </c>
      <c r="C3" s="202"/>
      <c r="D3" s="203" t="str">
        <f>Inicio!G5</f>
        <v/>
      </c>
      <c r="E3" s="203"/>
      <c r="F3" s="203"/>
      <c r="G3" s="203"/>
      <c r="H3" s="203"/>
      <c r="I3" s="203"/>
      <c r="J3" s="203"/>
      <c r="K3" s="203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5"/>
      <c r="DM3" s="205"/>
      <c r="DN3" s="205"/>
      <c r="DO3" s="205"/>
      <c r="DP3" s="205"/>
      <c r="DQ3" s="205"/>
      <c r="DR3" s="205"/>
      <c r="DS3" s="205"/>
      <c r="DT3" s="205"/>
      <c r="DU3" s="205"/>
      <c r="DV3" s="205"/>
      <c r="DW3" s="205"/>
      <c r="DX3" s="205"/>
      <c r="DY3" s="205"/>
      <c r="DZ3" s="205"/>
      <c r="EA3" s="205"/>
      <c r="EB3" s="205"/>
      <c r="EC3" s="205"/>
      <c r="ED3" s="205"/>
      <c r="EE3" s="205"/>
      <c r="EF3" s="205"/>
      <c r="EG3" s="205"/>
      <c r="EH3" s="205"/>
      <c r="EI3" s="205"/>
      <c r="EJ3" s="205"/>
      <c r="EK3" s="205"/>
      <c r="EL3" s="206"/>
    </row>
    <row r="4" spans="2:142" ht="20.25" customHeight="1" x14ac:dyDescent="0.3">
      <c r="B4" s="201" t="s">
        <v>126</v>
      </c>
      <c r="C4" s="202"/>
      <c r="D4" s="204">
        <f>Inicio!G6</f>
        <v>45658</v>
      </c>
      <c r="E4" s="204"/>
      <c r="F4" s="204"/>
      <c r="G4" s="204"/>
      <c r="H4" s="204"/>
      <c r="I4" s="204"/>
      <c r="J4" s="204"/>
      <c r="K4" s="204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6"/>
    </row>
    <row r="5" spans="2:142" ht="20.25" customHeight="1" x14ac:dyDescent="0.3">
      <c r="B5" s="201" t="s">
        <v>127</v>
      </c>
      <c r="C5" s="202"/>
      <c r="D5" s="207" t="str">
        <f>Inicio!G8</f>
        <v>MIÉRCOLES</v>
      </c>
      <c r="E5" s="207"/>
      <c r="F5" s="202" t="s">
        <v>128</v>
      </c>
      <c r="G5" s="202"/>
      <c r="H5" s="207" t="str">
        <f>Inicio!G9</f>
        <v/>
      </c>
      <c r="I5" s="207"/>
      <c r="J5" s="207"/>
      <c r="K5" s="207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6"/>
    </row>
    <row r="6" spans="2:142" ht="20.25" customHeight="1" x14ac:dyDescent="0.3">
      <c r="B6" s="208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209"/>
      <c r="DJ6" s="209"/>
      <c r="DK6" s="209"/>
      <c r="DL6" s="209"/>
      <c r="DM6" s="209"/>
      <c r="DN6" s="209"/>
      <c r="DO6" s="209"/>
      <c r="DP6" s="209"/>
      <c r="DQ6" s="209"/>
      <c r="DR6" s="209"/>
      <c r="DS6" s="209"/>
      <c r="DT6" s="209"/>
      <c r="DU6" s="209"/>
      <c r="DV6" s="209"/>
      <c r="DW6" s="209"/>
      <c r="DX6" s="209"/>
      <c r="DY6" s="209"/>
      <c r="DZ6" s="209"/>
      <c r="EA6" s="209"/>
      <c r="EB6" s="209"/>
      <c r="EC6" s="209"/>
      <c r="ED6" s="209"/>
      <c r="EE6" s="209"/>
      <c r="EF6" s="209"/>
      <c r="EG6" s="209"/>
      <c r="EH6" s="209"/>
      <c r="EI6" s="209"/>
      <c r="EJ6" s="209"/>
      <c r="EK6" s="209"/>
      <c r="EL6" s="210"/>
    </row>
    <row r="7" spans="2:142" ht="22.5" customHeight="1" x14ac:dyDescent="0.35">
      <c r="B7" s="217" t="s">
        <v>23</v>
      </c>
      <c r="C7" s="193" t="str">
        <f>Inicio!V4</f>
        <v>Auto</v>
      </c>
      <c r="D7" s="194"/>
      <c r="E7" s="194"/>
      <c r="F7" s="194"/>
      <c r="G7" s="194"/>
      <c r="H7" s="194"/>
      <c r="I7" s="194"/>
      <c r="J7" s="194"/>
      <c r="K7" s="194"/>
      <c r="L7" s="195"/>
      <c r="M7" s="193" t="str">
        <f>Inicio!V5</f>
        <v>Moto</v>
      </c>
      <c r="N7" s="194"/>
      <c r="O7" s="194"/>
      <c r="P7" s="194"/>
      <c r="Q7" s="194"/>
      <c r="R7" s="194"/>
      <c r="S7" s="194"/>
      <c r="T7" s="194"/>
      <c r="U7" s="194"/>
      <c r="V7" s="195"/>
      <c r="W7" s="193" t="str">
        <f>Inicio!V6</f>
        <v>Bus</v>
      </c>
      <c r="X7" s="194"/>
      <c r="Y7" s="194"/>
      <c r="Z7" s="194"/>
      <c r="AA7" s="194"/>
      <c r="AB7" s="194"/>
      <c r="AC7" s="194"/>
      <c r="AD7" s="194"/>
      <c r="AE7" s="194"/>
      <c r="AF7" s="195"/>
      <c r="AG7" s="190" t="str">
        <f>Inicio!V7</f>
        <v>Camion</v>
      </c>
      <c r="AH7" s="191"/>
      <c r="AI7" s="191"/>
      <c r="AJ7" s="191"/>
      <c r="AK7" s="191"/>
      <c r="AL7" s="191"/>
      <c r="AM7" s="191"/>
      <c r="AN7" s="191"/>
      <c r="AO7" s="191"/>
      <c r="AP7" s="192"/>
      <c r="AQ7" s="190" t="str">
        <f>Inicio!V8</f>
        <v>Bicicleta</v>
      </c>
      <c r="AR7" s="191"/>
      <c r="AS7" s="191"/>
      <c r="AT7" s="191"/>
      <c r="AU7" s="191"/>
      <c r="AV7" s="191"/>
      <c r="AW7" s="191"/>
      <c r="AX7" s="191"/>
      <c r="AY7" s="191"/>
      <c r="AZ7" s="192"/>
      <c r="BA7" s="190" t="str">
        <f>Inicio!V9</f>
        <v>Taxi</v>
      </c>
      <c r="BB7" s="191"/>
      <c r="BC7" s="191"/>
      <c r="BD7" s="191"/>
      <c r="BE7" s="191"/>
      <c r="BF7" s="191"/>
      <c r="BG7" s="191"/>
      <c r="BH7" s="191"/>
      <c r="BI7" s="191"/>
      <c r="BJ7" s="192"/>
      <c r="BK7" s="190" t="str">
        <f>Inicio!V10</f>
        <v>Van</v>
      </c>
      <c r="BL7" s="191"/>
      <c r="BM7" s="191"/>
      <c r="BN7" s="191"/>
      <c r="BO7" s="191"/>
      <c r="BP7" s="191"/>
      <c r="BQ7" s="191"/>
      <c r="BR7" s="191"/>
      <c r="BS7" s="191"/>
      <c r="BT7" s="192"/>
      <c r="BU7" s="190" t="str">
        <f>Inicio!V11</f>
        <v>Combi</v>
      </c>
      <c r="BV7" s="191"/>
      <c r="BW7" s="191"/>
      <c r="BX7" s="191"/>
      <c r="BY7" s="191"/>
      <c r="BZ7" s="191"/>
      <c r="CA7" s="191"/>
      <c r="CB7" s="191"/>
      <c r="CC7" s="191"/>
      <c r="CD7" s="192"/>
      <c r="CE7" s="190" t="str">
        <f>Inicio!V12</f>
        <v>Microbus</v>
      </c>
      <c r="CF7" s="191"/>
      <c r="CG7" s="191"/>
      <c r="CH7" s="191"/>
      <c r="CI7" s="191"/>
      <c r="CJ7" s="191"/>
      <c r="CK7" s="191"/>
      <c r="CL7" s="191"/>
      <c r="CM7" s="191"/>
      <c r="CN7" s="192"/>
      <c r="CO7" s="190" t="str">
        <f>Inicio!V13</f>
        <v>Mototaxi</v>
      </c>
      <c r="CP7" s="191"/>
      <c r="CQ7" s="191"/>
      <c r="CR7" s="191"/>
      <c r="CS7" s="191"/>
      <c r="CT7" s="191"/>
      <c r="CU7" s="191"/>
      <c r="CV7" s="191"/>
      <c r="CW7" s="191"/>
      <c r="CX7" s="192"/>
      <c r="CY7" s="190" t="str">
        <f>Inicio!V14</f>
        <v>Semi-trailer</v>
      </c>
      <c r="CZ7" s="191"/>
      <c r="DA7" s="191"/>
      <c r="DB7" s="191"/>
      <c r="DC7" s="191"/>
      <c r="DD7" s="191"/>
      <c r="DE7" s="191"/>
      <c r="DF7" s="191"/>
      <c r="DG7" s="191"/>
      <c r="DH7" s="192"/>
      <c r="DI7" s="190" t="str">
        <f>Inicio!V15</f>
        <v>Otros</v>
      </c>
      <c r="DJ7" s="191"/>
      <c r="DK7" s="191"/>
      <c r="DL7" s="191"/>
      <c r="DM7" s="191"/>
      <c r="DN7" s="191"/>
      <c r="DO7" s="191"/>
      <c r="DP7" s="191"/>
      <c r="DQ7" s="191"/>
      <c r="DR7" s="192"/>
      <c r="DS7" s="211" t="s">
        <v>24</v>
      </c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3"/>
      <c r="EE7" s="196" t="s">
        <v>136</v>
      </c>
      <c r="EF7" s="196" t="s">
        <v>135</v>
      </c>
      <c r="EG7" s="196" t="s">
        <v>137</v>
      </c>
      <c r="EH7" s="196" t="s">
        <v>138</v>
      </c>
      <c r="EI7" s="214" t="s">
        <v>130</v>
      </c>
      <c r="EJ7" s="215"/>
      <c r="EK7" s="215"/>
      <c r="EL7" s="216"/>
    </row>
    <row r="8" spans="2:142" ht="20.25" customHeight="1" x14ac:dyDescent="0.35">
      <c r="B8" s="218"/>
      <c r="C8" s="14" t="str">
        <f>IF(Inicio!$G12 = 0,"",Inicio!$G12)</f>
        <v/>
      </c>
      <c r="D8" s="14" t="str">
        <f>IF(Inicio!$G13 = 0,"",Inicio!$G13)</f>
        <v/>
      </c>
      <c r="E8" s="14" t="str">
        <f>IF(Inicio!$G14 = 0,"",Inicio!$G14)</f>
        <v/>
      </c>
      <c r="F8" s="14" t="str">
        <f>IF(Inicio!$G15 = 0,"",Inicio!$G15)</f>
        <v/>
      </c>
      <c r="G8" s="14" t="str">
        <f>IF(Inicio!$G16 = 0,"",Inicio!$G16)</f>
        <v/>
      </c>
      <c r="H8" s="14" t="str">
        <f>IF(Inicio!$G17 = 0,"",Inicio!$G17)</f>
        <v/>
      </c>
      <c r="I8" s="14" t="str">
        <f>IF(Inicio!$G18 = 0,"",Inicio!$G18)</f>
        <v/>
      </c>
      <c r="J8" s="14" t="str">
        <f>IF(Inicio!$G19 = 0,"",Inicio!$G19)</f>
        <v/>
      </c>
      <c r="K8" s="14" t="str">
        <f>IF(Inicio!$G20 = 0,"",Inicio!$G20)</f>
        <v/>
      </c>
      <c r="L8" s="14" t="str">
        <f>IF(Inicio!$G21 = 0,"",Inicio!$G21)</f>
        <v/>
      </c>
      <c r="M8" s="14" t="str">
        <f>IF(Inicio!$G12 = 0,"",Inicio!$G12)</f>
        <v/>
      </c>
      <c r="N8" s="14" t="str">
        <f>IF(Inicio!$G13 = 0,"",Inicio!$G13)</f>
        <v/>
      </c>
      <c r="O8" s="14" t="str">
        <f>IF(Inicio!$G14 = 0,"",Inicio!$G14)</f>
        <v/>
      </c>
      <c r="P8" s="14" t="str">
        <f>IF(Inicio!$G15 = 0,"",Inicio!$G15)</f>
        <v/>
      </c>
      <c r="Q8" s="14" t="str">
        <f>IF(Inicio!$G16 = 0,"",Inicio!$G16)</f>
        <v/>
      </c>
      <c r="R8" s="14" t="str">
        <f>IF(Inicio!$G17 = 0,"",Inicio!$G17)</f>
        <v/>
      </c>
      <c r="S8" s="14" t="str">
        <f>IF(Inicio!$G18 = 0,"",Inicio!$G18)</f>
        <v/>
      </c>
      <c r="T8" s="14" t="str">
        <f>IF(Inicio!$G19 = 0,"",Inicio!$G19)</f>
        <v/>
      </c>
      <c r="U8" s="14" t="str">
        <f>IF(Inicio!$G20 = 0,"",Inicio!$G20)</f>
        <v/>
      </c>
      <c r="V8" s="14" t="str">
        <f>IF(Inicio!$G21 = 0,"",Inicio!$G21)</f>
        <v/>
      </c>
      <c r="W8" s="14" t="str">
        <f>IF(Inicio!$G12 = 0,"",Inicio!$G12)</f>
        <v/>
      </c>
      <c r="X8" s="14" t="str">
        <f>IF(Inicio!$G13 = 0,"",Inicio!$G13)</f>
        <v/>
      </c>
      <c r="Y8" s="14" t="str">
        <f>IF(Inicio!$G14 = 0,"",Inicio!$G14)</f>
        <v/>
      </c>
      <c r="Z8" s="14" t="str">
        <f>IF(Inicio!$G15 = 0,"",Inicio!$G15)</f>
        <v/>
      </c>
      <c r="AA8" s="14" t="str">
        <f>IF(Inicio!$G16 = 0,"",Inicio!$G16)</f>
        <v/>
      </c>
      <c r="AB8" s="14" t="str">
        <f>IF(Inicio!$G17 = 0,"",Inicio!$G17)</f>
        <v/>
      </c>
      <c r="AC8" s="14" t="str">
        <f>IF(Inicio!$G18 = 0,"",Inicio!$G18)</f>
        <v/>
      </c>
      <c r="AD8" s="14" t="str">
        <f>IF(Inicio!$G19 = 0,"",Inicio!$G19)</f>
        <v/>
      </c>
      <c r="AE8" s="14" t="str">
        <f>IF(Inicio!$G20 = 0,"",Inicio!$G20)</f>
        <v/>
      </c>
      <c r="AF8" s="14" t="str">
        <f>IF(Inicio!$G21 = 0,"",Inicio!$G21)</f>
        <v/>
      </c>
      <c r="AG8" s="14" t="str">
        <f>IF(Inicio!$G12 = 0,"",Inicio!$G12)</f>
        <v/>
      </c>
      <c r="AH8" s="14" t="str">
        <f>IF(Inicio!$G13 = 0,"",Inicio!$G13)</f>
        <v/>
      </c>
      <c r="AI8" s="14" t="str">
        <f>IF(Inicio!$G14 = 0,"",Inicio!$G14)</f>
        <v/>
      </c>
      <c r="AJ8" s="14" t="str">
        <f>IF(Inicio!$G15 = 0,"",Inicio!$G15)</f>
        <v/>
      </c>
      <c r="AK8" s="14" t="str">
        <f>IF(Inicio!$G16 = 0,"",Inicio!$G16)</f>
        <v/>
      </c>
      <c r="AL8" s="14" t="str">
        <f>IF(Inicio!$G17 = 0,"",Inicio!$G17)</f>
        <v/>
      </c>
      <c r="AM8" s="14" t="str">
        <f>IF(Inicio!$G18 = 0,"",Inicio!$G18)</f>
        <v/>
      </c>
      <c r="AN8" s="14" t="str">
        <f>IF(Inicio!$G19 = 0,"",Inicio!$G19)</f>
        <v/>
      </c>
      <c r="AO8" s="14" t="str">
        <f>IF(Inicio!$G20 = 0,"",Inicio!$G20)</f>
        <v/>
      </c>
      <c r="AP8" s="14" t="str">
        <f>IF(Inicio!$G21 = 0,"",Inicio!$G21)</f>
        <v/>
      </c>
      <c r="AQ8" s="14" t="str">
        <f>IF(Inicio!$G12 = 0,"",Inicio!$G12)</f>
        <v/>
      </c>
      <c r="AR8" s="14" t="str">
        <f>IF(Inicio!$G13 = 0,"",Inicio!$G13)</f>
        <v/>
      </c>
      <c r="AS8" s="14" t="str">
        <f>IF(Inicio!$G14 = 0,"",Inicio!$G14)</f>
        <v/>
      </c>
      <c r="AT8" s="14" t="str">
        <f>IF(Inicio!$G15 = 0,"",Inicio!$G15)</f>
        <v/>
      </c>
      <c r="AU8" s="14" t="str">
        <f>IF(Inicio!$G16 = 0,"",Inicio!$G16)</f>
        <v/>
      </c>
      <c r="AV8" s="14" t="str">
        <f>IF(Inicio!$G17 = 0,"",Inicio!$G17)</f>
        <v/>
      </c>
      <c r="AW8" s="14" t="str">
        <f>IF(Inicio!$G18 = 0,"",Inicio!$G18)</f>
        <v/>
      </c>
      <c r="AX8" s="14" t="str">
        <f>IF(Inicio!$G19 = 0,"",Inicio!$G19)</f>
        <v/>
      </c>
      <c r="AY8" s="14" t="str">
        <f>IF(Inicio!$G20 = 0,"",Inicio!$G20)</f>
        <v/>
      </c>
      <c r="AZ8" s="14" t="str">
        <f>IF(Inicio!$G21 = 0,"",Inicio!$G21)</f>
        <v/>
      </c>
      <c r="BA8" s="14" t="str">
        <f>IF(Inicio!$G12 = 0,"",Inicio!$G12)</f>
        <v/>
      </c>
      <c r="BB8" s="14" t="str">
        <f>IF(Inicio!$G13 = 0,"",Inicio!$G13)</f>
        <v/>
      </c>
      <c r="BC8" s="14" t="str">
        <f>IF(Inicio!$G14 = 0,"",Inicio!$G14)</f>
        <v/>
      </c>
      <c r="BD8" s="14" t="str">
        <f>IF(Inicio!$G15 = 0,"",Inicio!$G15)</f>
        <v/>
      </c>
      <c r="BE8" s="14" t="str">
        <f>IF(Inicio!$G16 = 0,"",Inicio!$G16)</f>
        <v/>
      </c>
      <c r="BF8" s="14" t="str">
        <f>IF(Inicio!$G17 = 0,"",Inicio!$G17)</f>
        <v/>
      </c>
      <c r="BG8" s="14" t="str">
        <f>IF(Inicio!$G18 = 0,"",Inicio!$G18)</f>
        <v/>
      </c>
      <c r="BH8" s="14" t="str">
        <f>IF(Inicio!$G19 = 0,"",Inicio!$G19)</f>
        <v/>
      </c>
      <c r="BI8" s="14" t="str">
        <f>IF(Inicio!$G20 = 0,"",Inicio!$G20)</f>
        <v/>
      </c>
      <c r="BJ8" s="14" t="str">
        <f>IF(Inicio!$G21 = 0,"",Inicio!$G21)</f>
        <v/>
      </c>
      <c r="BK8" s="14" t="str">
        <f>IF(Inicio!$G12 = 0,"",Inicio!$G12)</f>
        <v/>
      </c>
      <c r="BL8" s="14" t="str">
        <f>IF(Inicio!$G13 = 0,"",Inicio!$G13)</f>
        <v/>
      </c>
      <c r="BM8" s="14" t="str">
        <f>IF(Inicio!$G14 = 0,"",Inicio!$G14)</f>
        <v/>
      </c>
      <c r="BN8" s="14" t="str">
        <f>IF(Inicio!$G15 = 0,"",Inicio!$G15)</f>
        <v/>
      </c>
      <c r="BO8" s="14" t="str">
        <f>IF(Inicio!$G16 = 0,"",Inicio!$G16)</f>
        <v/>
      </c>
      <c r="BP8" s="14" t="str">
        <f>IF(Inicio!$G17 = 0,"",Inicio!$G17)</f>
        <v/>
      </c>
      <c r="BQ8" s="14" t="str">
        <f>IF(Inicio!$G18 = 0,"",Inicio!$G18)</f>
        <v/>
      </c>
      <c r="BR8" s="14" t="str">
        <f>IF(Inicio!$G19 = 0,"",Inicio!$G19)</f>
        <v/>
      </c>
      <c r="BS8" s="14" t="str">
        <f>IF(Inicio!$G20 = 0,"",Inicio!$G20)</f>
        <v/>
      </c>
      <c r="BT8" s="14" t="str">
        <f>IF(Inicio!$G21 = 0,"",Inicio!$G21)</f>
        <v/>
      </c>
      <c r="BU8" s="14" t="str">
        <f>IF(Inicio!$G12 = 0,"",Inicio!$G12)</f>
        <v/>
      </c>
      <c r="BV8" s="14" t="str">
        <f>IF(Inicio!$G13 = 0,"",Inicio!$G13)</f>
        <v/>
      </c>
      <c r="BW8" s="14" t="str">
        <f>IF(Inicio!$G14 = 0,"",Inicio!$G14)</f>
        <v/>
      </c>
      <c r="BX8" s="14" t="str">
        <f>IF(Inicio!$G15 = 0,"",Inicio!$G15)</f>
        <v/>
      </c>
      <c r="BY8" s="14" t="str">
        <f>IF(Inicio!$G16 = 0,"",Inicio!$G16)</f>
        <v/>
      </c>
      <c r="BZ8" s="14" t="str">
        <f>IF(Inicio!$G17 = 0,"",Inicio!$G17)</f>
        <v/>
      </c>
      <c r="CA8" s="14" t="str">
        <f>IF(Inicio!$G18 = 0,"",Inicio!$G18)</f>
        <v/>
      </c>
      <c r="CB8" s="14" t="str">
        <f>IF(Inicio!$G19 = 0,"",Inicio!$G19)</f>
        <v/>
      </c>
      <c r="CC8" s="14" t="str">
        <f>IF(Inicio!$G20 = 0,"",Inicio!$G20)</f>
        <v/>
      </c>
      <c r="CD8" s="14" t="str">
        <f>IF(Inicio!$G21 = 0,"",Inicio!$G21)</f>
        <v/>
      </c>
      <c r="CE8" s="14" t="str">
        <f>IF(Inicio!$G12 = 0,"",Inicio!$G12)</f>
        <v/>
      </c>
      <c r="CF8" s="14" t="str">
        <f>IF(Inicio!$G13 = 0,"",Inicio!$G13)</f>
        <v/>
      </c>
      <c r="CG8" s="14" t="str">
        <f>IF(Inicio!$G14 = 0,"",Inicio!$G14)</f>
        <v/>
      </c>
      <c r="CH8" s="14" t="str">
        <f>IF(Inicio!$G15 = 0,"",Inicio!$G15)</f>
        <v/>
      </c>
      <c r="CI8" s="14" t="str">
        <f>IF(Inicio!$G16 = 0,"",Inicio!$G16)</f>
        <v/>
      </c>
      <c r="CJ8" s="14" t="str">
        <f>IF(Inicio!$G17 = 0,"",Inicio!$G17)</f>
        <v/>
      </c>
      <c r="CK8" s="14" t="str">
        <f>IF(Inicio!$G18 = 0,"",Inicio!$G18)</f>
        <v/>
      </c>
      <c r="CL8" s="14" t="str">
        <f>IF(Inicio!$G19 = 0,"",Inicio!$G19)</f>
        <v/>
      </c>
      <c r="CM8" s="14" t="str">
        <f>IF(Inicio!$G20 = 0,"",Inicio!$G20)</f>
        <v/>
      </c>
      <c r="CN8" s="14" t="str">
        <f>IF(Inicio!$G21 = 0,"",Inicio!$G21)</f>
        <v/>
      </c>
      <c r="CO8" s="14" t="str">
        <f>IF(Inicio!$G12 = 0,"",Inicio!$G12)</f>
        <v/>
      </c>
      <c r="CP8" s="14" t="str">
        <f>IF(Inicio!$G13 = 0,"",Inicio!$G13)</f>
        <v/>
      </c>
      <c r="CQ8" s="14" t="str">
        <f>IF(Inicio!$G14 = 0,"",Inicio!$G14)</f>
        <v/>
      </c>
      <c r="CR8" s="14" t="str">
        <f>IF(Inicio!$G15 = 0,"",Inicio!$G15)</f>
        <v/>
      </c>
      <c r="CS8" s="14" t="str">
        <f>IF(Inicio!$G16 = 0,"",Inicio!$G16)</f>
        <v/>
      </c>
      <c r="CT8" s="14" t="str">
        <f>IF(Inicio!$G17 = 0,"",Inicio!$G17)</f>
        <v/>
      </c>
      <c r="CU8" s="14" t="str">
        <f>IF(Inicio!$G18 = 0,"",Inicio!$G18)</f>
        <v/>
      </c>
      <c r="CV8" s="14" t="str">
        <f>IF(Inicio!$G19 = 0,"",Inicio!$G19)</f>
        <v/>
      </c>
      <c r="CW8" s="14" t="str">
        <f>IF(Inicio!$G20 = 0,"",Inicio!$G20)</f>
        <v/>
      </c>
      <c r="CX8" s="14" t="str">
        <f>IF(Inicio!$G21 = 0,"",Inicio!$G21)</f>
        <v/>
      </c>
      <c r="CY8" s="14" t="str">
        <f>IF(Inicio!$G12 = 0,"",Inicio!$G12)</f>
        <v/>
      </c>
      <c r="CZ8" s="14" t="str">
        <f>IF(Inicio!$G13 = 0,"",Inicio!$G13)</f>
        <v/>
      </c>
      <c r="DA8" s="14" t="str">
        <f>IF(Inicio!$G14 = 0,"",Inicio!$G14)</f>
        <v/>
      </c>
      <c r="DB8" s="14" t="str">
        <f>IF(Inicio!$G15 = 0,"",Inicio!$G15)</f>
        <v/>
      </c>
      <c r="DC8" s="14" t="str">
        <f>IF(Inicio!$G16 = 0,"",Inicio!$G16)</f>
        <v/>
      </c>
      <c r="DD8" s="14" t="str">
        <f>IF(Inicio!$G17 = 0,"",Inicio!$G17)</f>
        <v/>
      </c>
      <c r="DE8" s="14" t="str">
        <f>IF(Inicio!$G18 = 0,"",Inicio!$G18)</f>
        <v/>
      </c>
      <c r="DF8" s="14" t="str">
        <f>IF(Inicio!$G19 = 0,"",Inicio!$G19)</f>
        <v/>
      </c>
      <c r="DG8" s="14" t="str">
        <f>IF(Inicio!$G20 = 0,"",Inicio!$G20)</f>
        <v/>
      </c>
      <c r="DH8" s="14" t="str">
        <f>IF(Inicio!$G21 = 0,"",Inicio!$G21)</f>
        <v/>
      </c>
      <c r="DI8" s="14" t="str">
        <f>IF(Inicio!$G12 = 0,"",Inicio!$G12)</f>
        <v/>
      </c>
      <c r="DJ8" s="14" t="str">
        <f>IF(Inicio!$G13 = 0,"",Inicio!$G13)</f>
        <v/>
      </c>
      <c r="DK8" s="14" t="str">
        <f>IF(Inicio!$G14 = 0,"",Inicio!$G14)</f>
        <v/>
      </c>
      <c r="DL8" s="14" t="str">
        <f>IF(Inicio!$G15 = 0,"",Inicio!$G15)</f>
        <v/>
      </c>
      <c r="DM8" s="14" t="str">
        <f>IF(Inicio!$G16 = 0,"",Inicio!$G16)</f>
        <v/>
      </c>
      <c r="DN8" s="14" t="str">
        <f>IF(Inicio!$G17 = 0,"",Inicio!$G17)</f>
        <v/>
      </c>
      <c r="DO8" s="14" t="str">
        <f>IF(Inicio!$G18 = 0,"",Inicio!$G18)</f>
        <v/>
      </c>
      <c r="DP8" s="14" t="str">
        <f>IF(Inicio!$G19 = 0,"",Inicio!$G19)</f>
        <v/>
      </c>
      <c r="DQ8" s="14" t="str">
        <f>IF(Inicio!$G20 = 0,"",Inicio!$G20)</f>
        <v/>
      </c>
      <c r="DR8" s="14" t="str">
        <f>IF(Inicio!$G21 = 0,"",Inicio!$G21)</f>
        <v/>
      </c>
      <c r="DS8" s="52" t="str">
        <f>C7</f>
        <v>Auto</v>
      </c>
      <c r="DT8" s="52" t="str">
        <f>M7</f>
        <v>Moto</v>
      </c>
      <c r="DU8" s="52" t="str">
        <f>W7</f>
        <v>Bus</v>
      </c>
      <c r="DV8" s="52" t="str">
        <f>AG7</f>
        <v>Camion</v>
      </c>
      <c r="DW8" s="52" t="str">
        <f>AQ7</f>
        <v>Bicicleta</v>
      </c>
      <c r="DX8" s="52" t="str">
        <f>BA7</f>
        <v>Taxi</v>
      </c>
      <c r="DY8" s="52" t="str">
        <f>BK7</f>
        <v>Van</v>
      </c>
      <c r="DZ8" s="52" t="str">
        <f>BU7</f>
        <v>Combi</v>
      </c>
      <c r="EA8" s="52" t="str">
        <f>CE7</f>
        <v>Microbus</v>
      </c>
      <c r="EB8" s="52" t="str">
        <f>CO7</f>
        <v>Mototaxi</v>
      </c>
      <c r="EC8" s="52" t="str">
        <f>CY7</f>
        <v>Semi-trailer</v>
      </c>
      <c r="ED8" s="52" t="str">
        <f>DI7</f>
        <v>Otros</v>
      </c>
      <c r="EE8" s="197"/>
      <c r="EF8" s="197"/>
      <c r="EG8" s="197"/>
      <c r="EH8" s="197"/>
      <c r="EI8" s="56" t="s">
        <v>132</v>
      </c>
      <c r="EJ8" s="57" t="s">
        <v>134</v>
      </c>
      <c r="EK8" s="57" t="s">
        <v>131</v>
      </c>
      <c r="EL8" s="57" t="s">
        <v>133</v>
      </c>
    </row>
    <row r="9" spans="2:142" ht="20.25" customHeight="1" x14ac:dyDescent="0.3">
      <c r="B9" s="23" t="s">
        <v>25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3">
        <f>SUM(C9:L9)*Inicio!$W$4</f>
        <v>0</v>
      </c>
      <c r="DT9" s="3">
        <f>SUM(M9:V9)*Inicio!$W$5</f>
        <v>0</v>
      </c>
      <c r="DU9" s="3">
        <f>SUM(W9:AF9)*Inicio!$W$6</f>
        <v>0</v>
      </c>
      <c r="DV9" s="3">
        <f>SUM(AG9:AP9)*Inicio!$W$7</f>
        <v>0</v>
      </c>
      <c r="DW9" s="3">
        <f>SUM(AQ9:AZ9)*Inicio!$W$8</f>
        <v>0</v>
      </c>
      <c r="DX9" s="3">
        <f>SUM(BA9:BJ9)*Inicio!$W$9</f>
        <v>0</v>
      </c>
      <c r="DY9" s="3">
        <f>SUM(BK9:BT9)*Inicio!$W$10</f>
        <v>0</v>
      </c>
      <c r="DZ9" s="3">
        <f>SUM(BU9:CD9)*Inicio!$W$11</f>
        <v>0</v>
      </c>
      <c r="EA9" s="3">
        <f>SUM(CE9:CN9)*Inicio!$W$12</f>
        <v>0</v>
      </c>
      <c r="EB9" s="3">
        <f>SUM(CO9:CX9)*Inicio!$W$13</f>
        <v>0</v>
      </c>
      <c r="EC9" s="3">
        <f>SUM(CY9:DH9)*Inicio!$W$11</f>
        <v>0</v>
      </c>
      <c r="ED9" s="3">
        <f>SUM(DI9:DR9)*Inicio!$W$12</f>
        <v>0</v>
      </c>
      <c r="EE9" s="3">
        <f>SUM(C9:DR9)</f>
        <v>0</v>
      </c>
      <c r="EF9" s="3">
        <f>EE9</f>
        <v>0</v>
      </c>
      <c r="EG9" s="3">
        <f>SUM(DS9:ED9)</f>
        <v>0</v>
      </c>
      <c r="EH9" s="3">
        <f>EG9</f>
        <v>0</v>
      </c>
      <c r="EI9" s="3">
        <f>EE9+S!EE9+E!EE9+O!EE9</f>
        <v>0</v>
      </c>
      <c r="EJ9" s="3">
        <f>EI9</f>
        <v>0</v>
      </c>
      <c r="EK9" s="3">
        <f>EG9+S!EG9+E!EG9+O!EG9</f>
        <v>0</v>
      </c>
      <c r="EL9" s="3">
        <f>EK9</f>
        <v>0</v>
      </c>
    </row>
    <row r="10" spans="2:142" ht="20.25" customHeight="1" x14ac:dyDescent="0.3">
      <c r="B10" s="24" t="s">
        <v>26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4">
        <f>SUM(C10:L10)*Inicio!$W$4</f>
        <v>0</v>
      </c>
      <c r="DT10" s="4">
        <f>SUM(M10:V10)*Inicio!$W$5</f>
        <v>0</v>
      </c>
      <c r="DU10" s="4">
        <f>SUM(W10:AF10)*Inicio!$W$6</f>
        <v>0</v>
      </c>
      <c r="DV10" s="4">
        <f>SUM(AG10:AP10)*Inicio!$W$7</f>
        <v>0</v>
      </c>
      <c r="DW10" s="4">
        <f>SUM(AQ10:AZ10)*Inicio!$W$8</f>
        <v>0</v>
      </c>
      <c r="DX10" s="4">
        <f>SUM(BA10:BJ10)*Inicio!$W$9</f>
        <v>0</v>
      </c>
      <c r="DY10" s="4">
        <f>SUM(BK10:BT10)*Inicio!$W$10</f>
        <v>0</v>
      </c>
      <c r="DZ10" s="4">
        <f>SUM(BU10:CD10)*Inicio!$W$11</f>
        <v>0</v>
      </c>
      <c r="EA10" s="4">
        <f>SUM(CE10:CN10)*Inicio!$W$12</f>
        <v>0</v>
      </c>
      <c r="EB10" s="4">
        <f>SUM(CO10:CX10)*Inicio!$W$13</f>
        <v>0</v>
      </c>
      <c r="EC10" s="4">
        <f>SUM(CY10:DH10)*Inicio!$W$11</f>
        <v>0</v>
      </c>
      <c r="ED10" s="4">
        <f>SUM(DI10:DR10)*Inicio!$W$12</f>
        <v>0</v>
      </c>
      <c r="EE10" s="4">
        <f t="shared" ref="EE10:EE73" si="0">SUM(C10:DR10)</f>
        <v>0</v>
      </c>
      <c r="EF10" s="4">
        <f>SUM(EE9:EE10)</f>
        <v>0</v>
      </c>
      <c r="EG10" s="4">
        <f t="shared" ref="EG10:EG73" si="1">SUM(DS10:ED10)</f>
        <v>0</v>
      </c>
      <c r="EH10" s="4">
        <f>SUM(EG9:EG10)</f>
        <v>0</v>
      </c>
      <c r="EI10" s="4">
        <f>EE10+S!EE10+E!EE10+O!EE10</f>
        <v>0</v>
      </c>
      <c r="EJ10" s="4">
        <f>SUM(EI9:EI10)</f>
        <v>0</v>
      </c>
      <c r="EK10" s="4">
        <f>EG10+S!EG10+E!EG10+O!EG10</f>
        <v>0</v>
      </c>
      <c r="EL10" s="4">
        <f>SUM(EK9:EK10)</f>
        <v>0</v>
      </c>
    </row>
    <row r="11" spans="2:142" ht="20.25" customHeight="1" x14ac:dyDescent="0.3">
      <c r="B11" s="24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4">
        <f>SUM(C11:L11)*Inicio!$W$4</f>
        <v>0</v>
      </c>
      <c r="DT11" s="4">
        <f>SUM(M11:V11)*Inicio!$W$5</f>
        <v>0</v>
      </c>
      <c r="DU11" s="4">
        <f>SUM(W11:AF11)*Inicio!$W$6</f>
        <v>0</v>
      </c>
      <c r="DV11" s="4">
        <f>SUM(AG11:AP11)*Inicio!$W$7</f>
        <v>0</v>
      </c>
      <c r="DW11" s="4">
        <f>SUM(AQ11:AZ11)*Inicio!$W$8</f>
        <v>0</v>
      </c>
      <c r="DX11" s="4">
        <f>SUM(BA11:BJ11)*Inicio!$W$9</f>
        <v>0</v>
      </c>
      <c r="DY11" s="4">
        <f>SUM(BK11:BT11)*Inicio!$W$10</f>
        <v>0</v>
      </c>
      <c r="DZ11" s="4">
        <f>SUM(BU11:CD11)*Inicio!$W$11</f>
        <v>0</v>
      </c>
      <c r="EA11" s="4">
        <f>SUM(CE11:CN11)*Inicio!$W$12</f>
        <v>0</v>
      </c>
      <c r="EB11" s="4">
        <f>SUM(CO11:CX11)*Inicio!$W$13</f>
        <v>0</v>
      </c>
      <c r="EC11" s="4">
        <f>SUM(CY11:DH11)*Inicio!$W$11</f>
        <v>0</v>
      </c>
      <c r="ED11" s="4">
        <f>SUM(DI11:DR11)*Inicio!$W$12</f>
        <v>0</v>
      </c>
      <c r="EE11" s="4">
        <f t="shared" si="0"/>
        <v>0</v>
      </c>
      <c r="EF11" s="4">
        <f>SUM(EE9:EE11)</f>
        <v>0</v>
      </c>
      <c r="EG11" s="4">
        <f t="shared" si="1"/>
        <v>0</v>
      </c>
      <c r="EH11" s="4">
        <f>SUM(EG9:EG11)</f>
        <v>0</v>
      </c>
      <c r="EI11" s="4">
        <f>EE11+S!EE11+E!EE11+O!EE11</f>
        <v>0</v>
      </c>
      <c r="EJ11" s="4">
        <f>SUM(EI9:EI11)</f>
        <v>0</v>
      </c>
      <c r="EK11" s="4">
        <f>EG11+S!EG11+E!EG11+O!EG11</f>
        <v>0</v>
      </c>
      <c r="EL11" s="4">
        <f>SUM(EK9:EK11)</f>
        <v>0</v>
      </c>
    </row>
    <row r="12" spans="2:142" ht="20.25" customHeight="1" x14ac:dyDescent="0.3">
      <c r="B12" s="25" t="s">
        <v>28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5">
        <f>SUM(C12:L12)*Inicio!$W$4</f>
        <v>0</v>
      </c>
      <c r="DT12" s="5">
        <f>SUM(M12:V12)*Inicio!$W$5</f>
        <v>0</v>
      </c>
      <c r="DU12" s="5">
        <f>SUM(W12:AF12)*Inicio!$W$6</f>
        <v>0</v>
      </c>
      <c r="DV12" s="5">
        <f>SUM(AG12:AP12)*Inicio!$W$7</f>
        <v>0</v>
      </c>
      <c r="DW12" s="5">
        <f>SUM(AQ12:AZ12)*Inicio!$W$8</f>
        <v>0</v>
      </c>
      <c r="DX12" s="5">
        <f>SUM(BA12:BJ12)*Inicio!$W$9</f>
        <v>0</v>
      </c>
      <c r="DY12" s="5">
        <f>SUM(BK12:BT12)*Inicio!$W$10</f>
        <v>0</v>
      </c>
      <c r="DZ12" s="5">
        <f>SUM(BU12:CD12)*Inicio!$W$11</f>
        <v>0</v>
      </c>
      <c r="EA12" s="5">
        <f>SUM(CE12:CN12)*Inicio!$W$12</f>
        <v>0</v>
      </c>
      <c r="EB12" s="5">
        <f>SUM(CO12:CX12)*Inicio!$W$13</f>
        <v>0</v>
      </c>
      <c r="EC12" s="85">
        <f>SUM(CY12:DH12)*Inicio!$W$11</f>
        <v>0</v>
      </c>
      <c r="ED12" s="85">
        <f>SUM(DI12:DR12)*Inicio!$W$12</f>
        <v>0</v>
      </c>
      <c r="EE12" s="4">
        <f t="shared" si="0"/>
        <v>0</v>
      </c>
      <c r="EF12" s="5">
        <f>SUM(EE9:EE12)</f>
        <v>0</v>
      </c>
      <c r="EG12" s="5">
        <f t="shared" si="1"/>
        <v>0</v>
      </c>
      <c r="EH12" s="5">
        <f>SUM(EG9:EG12)</f>
        <v>0</v>
      </c>
      <c r="EI12" s="5">
        <f>EE12+S!EE12+E!EE12+O!EE12</f>
        <v>0</v>
      </c>
      <c r="EJ12" s="5">
        <f>SUM(EI9:EI12)</f>
        <v>0</v>
      </c>
      <c r="EK12" s="5">
        <f>EG12+S!EG12+E!EG12+O!EG12</f>
        <v>0</v>
      </c>
      <c r="EL12" s="5">
        <f>SUM(EK9:EK12)</f>
        <v>0</v>
      </c>
    </row>
    <row r="13" spans="2:142" ht="20.25" customHeight="1" x14ac:dyDescent="0.3">
      <c r="B13" s="23" t="s">
        <v>29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3">
        <f>SUM(C13:L13)*Inicio!$W$4</f>
        <v>0</v>
      </c>
      <c r="DT13" s="3">
        <f>SUM(M13:V13)*Inicio!$W$5</f>
        <v>0</v>
      </c>
      <c r="DU13" s="3">
        <f>SUM(W13:AF13)*Inicio!$W$6</f>
        <v>0</v>
      </c>
      <c r="DV13" s="3">
        <f>SUM(AG13:AP13)*Inicio!$W$7</f>
        <v>0</v>
      </c>
      <c r="DW13" s="3">
        <f>SUM(AQ13:AZ13)*Inicio!$W$8</f>
        <v>0</v>
      </c>
      <c r="DX13" s="3">
        <f>SUM(BA13:BJ13)*Inicio!$W$9</f>
        <v>0</v>
      </c>
      <c r="DY13" s="3">
        <f>SUM(BK13:BT13)*Inicio!$W$10</f>
        <v>0</v>
      </c>
      <c r="DZ13" s="3">
        <f>SUM(BU13:CD13)*Inicio!$W$11</f>
        <v>0</v>
      </c>
      <c r="EA13" s="3">
        <f>SUM(CE13:CN13)*Inicio!$W$12</f>
        <v>0</v>
      </c>
      <c r="EB13" s="3">
        <f>SUM(CO13:CX13)*Inicio!$W$13</f>
        <v>0</v>
      </c>
      <c r="EC13" s="3">
        <f>SUM(CY13:DH13)*Inicio!$W$11</f>
        <v>0</v>
      </c>
      <c r="ED13" s="3">
        <f>SUM(DI13:DR13)*Inicio!$W$12</f>
        <v>0</v>
      </c>
      <c r="EE13" s="3">
        <f t="shared" si="0"/>
        <v>0</v>
      </c>
      <c r="EF13" s="3">
        <f>SUM(EE10:EE13)</f>
        <v>0</v>
      </c>
      <c r="EG13" s="3">
        <f t="shared" si="1"/>
        <v>0</v>
      </c>
      <c r="EH13" s="3">
        <f>SUM(EG10:EG13)</f>
        <v>0</v>
      </c>
      <c r="EI13" s="3">
        <f>EE13+S!EE13+E!EE13+O!EE13</f>
        <v>0</v>
      </c>
      <c r="EJ13" s="3">
        <f>SUM(EI10:EI13)</f>
        <v>0</v>
      </c>
      <c r="EK13" s="3">
        <f>EG13+S!EG13+E!EG13+O!EG13</f>
        <v>0</v>
      </c>
      <c r="EL13" s="3">
        <f>SUM(EK10:EK13)</f>
        <v>0</v>
      </c>
    </row>
    <row r="14" spans="2:142" ht="20.25" customHeight="1" x14ac:dyDescent="0.3">
      <c r="B14" s="24" t="s">
        <v>30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4">
        <f>SUM(C14:L14)*Inicio!$W$4</f>
        <v>0</v>
      </c>
      <c r="DT14" s="4">
        <f>SUM(M14:V14)*Inicio!$W$5</f>
        <v>0</v>
      </c>
      <c r="DU14" s="4">
        <f>SUM(W14:AF14)*Inicio!$W$6</f>
        <v>0</v>
      </c>
      <c r="DV14" s="4">
        <f>SUM(AG14:AP14)*Inicio!$W$7</f>
        <v>0</v>
      </c>
      <c r="DW14" s="4">
        <f>SUM(AQ14:AZ14)*Inicio!$W$8</f>
        <v>0</v>
      </c>
      <c r="DX14" s="4">
        <f>SUM(BA14:BJ14)*Inicio!$W$9</f>
        <v>0</v>
      </c>
      <c r="DY14" s="4">
        <f>SUM(BK14:BT14)*Inicio!$W$10</f>
        <v>0</v>
      </c>
      <c r="DZ14" s="4">
        <f>SUM(BU14:CD14)*Inicio!$W$11</f>
        <v>0</v>
      </c>
      <c r="EA14" s="4">
        <f>SUM(CE14:CN14)*Inicio!$W$12</f>
        <v>0</v>
      </c>
      <c r="EB14" s="4">
        <f>SUM(CO14:CX14)*Inicio!$W$13</f>
        <v>0</v>
      </c>
      <c r="EC14" s="4">
        <f>SUM(CY14:DH14)*Inicio!$W$11</f>
        <v>0</v>
      </c>
      <c r="ED14" s="4">
        <f>SUM(DI14:DR14)*Inicio!$W$12</f>
        <v>0</v>
      </c>
      <c r="EE14" s="4">
        <f t="shared" si="0"/>
        <v>0</v>
      </c>
      <c r="EF14" s="4">
        <f t="shared" ref="EF14:EH77" si="2">SUM(EE11:EE14)</f>
        <v>0</v>
      </c>
      <c r="EG14" s="4">
        <f t="shared" si="1"/>
        <v>0</v>
      </c>
      <c r="EH14" s="4">
        <f t="shared" si="2"/>
        <v>0</v>
      </c>
      <c r="EI14" s="4">
        <f>EE14+S!EE14+E!EE14+O!EE14</f>
        <v>0</v>
      </c>
      <c r="EJ14" s="4">
        <f t="shared" ref="EJ14:EL14" si="3">SUM(EI11:EI14)</f>
        <v>0</v>
      </c>
      <c r="EK14" s="4">
        <f>EG14+S!EG14+E!EG14+O!EG14</f>
        <v>0</v>
      </c>
      <c r="EL14" s="4">
        <f t="shared" si="3"/>
        <v>0</v>
      </c>
    </row>
    <row r="15" spans="2:142" ht="20.25" customHeight="1" x14ac:dyDescent="0.3">
      <c r="B15" s="24" t="s">
        <v>31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4">
        <f>SUM(C15:L15)*Inicio!$W$4</f>
        <v>0</v>
      </c>
      <c r="DT15" s="4">
        <f>SUM(M15:V15)*Inicio!$W$5</f>
        <v>0</v>
      </c>
      <c r="DU15" s="4">
        <f>SUM(W15:AF15)*Inicio!$W$6</f>
        <v>0</v>
      </c>
      <c r="DV15" s="4">
        <f>SUM(AG15:AP15)*Inicio!$W$7</f>
        <v>0</v>
      </c>
      <c r="DW15" s="4">
        <f>SUM(AQ15:AZ15)*Inicio!$W$8</f>
        <v>0</v>
      </c>
      <c r="DX15" s="4">
        <f>SUM(BA15:BJ15)*Inicio!$W$9</f>
        <v>0</v>
      </c>
      <c r="DY15" s="4">
        <f>SUM(BK15:BT15)*Inicio!$W$10</f>
        <v>0</v>
      </c>
      <c r="DZ15" s="4">
        <f>SUM(BU15:CD15)*Inicio!$W$11</f>
        <v>0</v>
      </c>
      <c r="EA15" s="4">
        <f>SUM(CE15:CN15)*Inicio!$W$12</f>
        <v>0</v>
      </c>
      <c r="EB15" s="4">
        <f>SUM(CO15:CX15)*Inicio!$W$13</f>
        <v>0</v>
      </c>
      <c r="EC15" s="4">
        <f>SUM(CY15:DH15)*Inicio!$W$11</f>
        <v>0</v>
      </c>
      <c r="ED15" s="4">
        <f>SUM(DI15:DR15)*Inicio!$W$12</f>
        <v>0</v>
      </c>
      <c r="EE15" s="4">
        <f t="shared" si="0"/>
        <v>0</v>
      </c>
      <c r="EF15" s="4">
        <f t="shared" si="2"/>
        <v>0</v>
      </c>
      <c r="EG15" s="4">
        <f t="shared" si="1"/>
        <v>0</v>
      </c>
      <c r="EH15" s="4">
        <f t="shared" si="2"/>
        <v>0</v>
      </c>
      <c r="EI15" s="4">
        <f>EE15+S!EE15+E!EE15+O!EE15</f>
        <v>0</v>
      </c>
      <c r="EJ15" s="4">
        <f t="shared" ref="EJ15:EL15" si="4">SUM(EI12:EI15)</f>
        <v>0</v>
      </c>
      <c r="EK15" s="4">
        <f>EG15+S!EG15+E!EG15+O!EG15</f>
        <v>0</v>
      </c>
      <c r="EL15" s="4">
        <f t="shared" si="4"/>
        <v>0</v>
      </c>
    </row>
    <row r="16" spans="2:142" ht="20.25" customHeight="1" x14ac:dyDescent="0.3">
      <c r="B16" s="25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5">
        <f>SUM(C16:L16)*Inicio!$W$4</f>
        <v>0</v>
      </c>
      <c r="DT16" s="5">
        <f>SUM(M16:V16)*Inicio!$W$5</f>
        <v>0</v>
      </c>
      <c r="DU16" s="5">
        <f>SUM(W16:AF16)*Inicio!$W$6</f>
        <v>0</v>
      </c>
      <c r="DV16" s="5">
        <f>SUM(AG16:AP16)*Inicio!$W$7</f>
        <v>0</v>
      </c>
      <c r="DW16" s="5">
        <f>SUM(AQ16:AZ16)*Inicio!$W$8</f>
        <v>0</v>
      </c>
      <c r="DX16" s="5">
        <f>SUM(BA16:BJ16)*Inicio!$W$9</f>
        <v>0</v>
      </c>
      <c r="DY16" s="5">
        <f>SUM(BK16:BT16)*Inicio!$W$10</f>
        <v>0</v>
      </c>
      <c r="DZ16" s="5">
        <f>SUM(BU16:CD16)*Inicio!$W$11</f>
        <v>0</v>
      </c>
      <c r="EA16" s="5">
        <f>SUM(CE16:CN16)*Inicio!$W$12</f>
        <v>0</v>
      </c>
      <c r="EB16" s="5">
        <f>SUM(CO16:CX16)*Inicio!$W$13</f>
        <v>0</v>
      </c>
      <c r="EC16" s="5">
        <f>SUM(CY16:DH16)*Inicio!$W$11</f>
        <v>0</v>
      </c>
      <c r="ED16" s="5">
        <f>SUM(DI16:DR16)*Inicio!$W$12</f>
        <v>0</v>
      </c>
      <c r="EE16" s="5">
        <f t="shared" si="0"/>
        <v>0</v>
      </c>
      <c r="EF16" s="5">
        <f t="shared" si="2"/>
        <v>0</v>
      </c>
      <c r="EG16" s="5">
        <f t="shared" si="1"/>
        <v>0</v>
      </c>
      <c r="EH16" s="5">
        <f t="shared" si="2"/>
        <v>0</v>
      </c>
      <c r="EI16" s="5">
        <f>EE16+S!EE16+E!EE16+O!EE16</f>
        <v>0</v>
      </c>
      <c r="EJ16" s="5">
        <f t="shared" ref="EJ16:EL16" si="5">SUM(EI13:EI16)</f>
        <v>0</v>
      </c>
      <c r="EK16" s="5">
        <f>EG16+S!EG16+E!EG16+O!EG16</f>
        <v>0</v>
      </c>
      <c r="EL16" s="5">
        <f t="shared" si="5"/>
        <v>0</v>
      </c>
    </row>
    <row r="17" spans="2:142" ht="20.25" customHeight="1" x14ac:dyDescent="0.3">
      <c r="B17" s="23" t="s">
        <v>33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3">
        <f>SUM(C17:L17)*Inicio!$W$4</f>
        <v>0</v>
      </c>
      <c r="DT17" s="3">
        <f>SUM(M17:V17)*Inicio!$W$5</f>
        <v>0</v>
      </c>
      <c r="DU17" s="3">
        <f>SUM(W17:AF17)*Inicio!$W$6</f>
        <v>0</v>
      </c>
      <c r="DV17" s="3">
        <f>SUM(AG17:AP17)*Inicio!$W$7</f>
        <v>0</v>
      </c>
      <c r="DW17" s="3">
        <f>SUM(AQ17:AZ17)*Inicio!$W$8</f>
        <v>0</v>
      </c>
      <c r="DX17" s="3">
        <f>SUM(BA17:BJ17)*Inicio!$W$9</f>
        <v>0</v>
      </c>
      <c r="DY17" s="3">
        <f>SUM(BK17:BT17)*Inicio!$W$10</f>
        <v>0</v>
      </c>
      <c r="DZ17" s="3">
        <f>SUM(BU17:CD17)*Inicio!$W$11</f>
        <v>0</v>
      </c>
      <c r="EA17" s="3">
        <f>SUM(CE17:CN17)*Inicio!$W$12</f>
        <v>0</v>
      </c>
      <c r="EB17" s="3">
        <f>SUM(CO17:CX17)*Inicio!$W$13</f>
        <v>0</v>
      </c>
      <c r="EC17" s="3">
        <f>SUM(CY17:DH17)*Inicio!$W$11</f>
        <v>0</v>
      </c>
      <c r="ED17" s="3">
        <f>SUM(DI17:DR17)*Inicio!$W$12</f>
        <v>0</v>
      </c>
      <c r="EE17" s="3">
        <f t="shared" si="0"/>
        <v>0</v>
      </c>
      <c r="EF17" s="3">
        <f t="shared" si="2"/>
        <v>0</v>
      </c>
      <c r="EG17" s="3">
        <f t="shared" si="1"/>
        <v>0</v>
      </c>
      <c r="EH17" s="3">
        <f t="shared" si="2"/>
        <v>0</v>
      </c>
      <c r="EI17" s="3">
        <f>EE17+S!EE17+E!EE17+O!EE17</f>
        <v>0</v>
      </c>
      <c r="EJ17" s="3">
        <f t="shared" ref="EJ17:EL17" si="6">SUM(EI14:EI17)</f>
        <v>0</v>
      </c>
      <c r="EK17" s="3">
        <f>EG17+S!EG17+E!EG17+O!EG17</f>
        <v>0</v>
      </c>
      <c r="EL17" s="3">
        <f t="shared" si="6"/>
        <v>0</v>
      </c>
    </row>
    <row r="18" spans="2:142" ht="20.25" customHeight="1" x14ac:dyDescent="0.3">
      <c r="B18" s="24" t="s">
        <v>34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4">
        <f>SUM(C18:L18)*Inicio!$W$4</f>
        <v>0</v>
      </c>
      <c r="DT18" s="4">
        <f>SUM(M18:V18)*Inicio!$W$5</f>
        <v>0</v>
      </c>
      <c r="DU18" s="4">
        <f>SUM(W18:AF18)*Inicio!$W$6</f>
        <v>0</v>
      </c>
      <c r="DV18" s="4">
        <f>SUM(AG18:AP18)*Inicio!$W$7</f>
        <v>0</v>
      </c>
      <c r="DW18" s="4">
        <f>SUM(AQ18:AZ18)*Inicio!$W$8</f>
        <v>0</v>
      </c>
      <c r="DX18" s="4">
        <f>SUM(BA18:BJ18)*Inicio!$W$9</f>
        <v>0</v>
      </c>
      <c r="DY18" s="4">
        <f>SUM(BK18:BT18)*Inicio!$W$10</f>
        <v>0</v>
      </c>
      <c r="DZ18" s="4">
        <f>SUM(BU18:CD18)*Inicio!$W$11</f>
        <v>0</v>
      </c>
      <c r="EA18" s="4">
        <f>SUM(CE18:CN18)*Inicio!$W$12</f>
        <v>0</v>
      </c>
      <c r="EB18" s="4">
        <f>SUM(CO18:CX18)*Inicio!$W$13</f>
        <v>0</v>
      </c>
      <c r="EC18" s="4">
        <f>SUM(CY18:DH18)*Inicio!$W$11</f>
        <v>0</v>
      </c>
      <c r="ED18" s="4">
        <f>SUM(DI18:DR18)*Inicio!$W$12</f>
        <v>0</v>
      </c>
      <c r="EE18" s="4">
        <f t="shared" si="0"/>
        <v>0</v>
      </c>
      <c r="EF18" s="4">
        <f t="shared" si="2"/>
        <v>0</v>
      </c>
      <c r="EG18" s="4">
        <f t="shared" si="1"/>
        <v>0</v>
      </c>
      <c r="EH18" s="4">
        <f t="shared" si="2"/>
        <v>0</v>
      </c>
      <c r="EI18" s="4">
        <f>EE18+S!EE18+E!EE18+O!EE18</f>
        <v>0</v>
      </c>
      <c r="EJ18" s="4">
        <f t="shared" ref="EJ18:EL18" si="7">SUM(EI15:EI18)</f>
        <v>0</v>
      </c>
      <c r="EK18" s="4">
        <f>EG18+S!EG18+E!EG18+O!EG18</f>
        <v>0</v>
      </c>
      <c r="EL18" s="4">
        <f t="shared" si="7"/>
        <v>0</v>
      </c>
    </row>
    <row r="19" spans="2:142" ht="20.25" customHeight="1" x14ac:dyDescent="0.3">
      <c r="B19" s="24" t="s">
        <v>35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4">
        <f>SUM(C19:L19)*Inicio!$W$4</f>
        <v>0</v>
      </c>
      <c r="DT19" s="4">
        <f>SUM(M19:V19)*Inicio!$W$5</f>
        <v>0</v>
      </c>
      <c r="DU19" s="4">
        <f>SUM(W19:AF19)*Inicio!$W$6</f>
        <v>0</v>
      </c>
      <c r="DV19" s="4">
        <f>SUM(AG19:AP19)*Inicio!$W$7</f>
        <v>0</v>
      </c>
      <c r="DW19" s="4">
        <f>SUM(AQ19:AZ19)*Inicio!$W$8</f>
        <v>0</v>
      </c>
      <c r="DX19" s="4">
        <f>SUM(BA19:BJ19)*Inicio!$W$9</f>
        <v>0</v>
      </c>
      <c r="DY19" s="4">
        <f>SUM(BK19:BT19)*Inicio!$W$10</f>
        <v>0</v>
      </c>
      <c r="DZ19" s="4">
        <f>SUM(BU19:CD19)*Inicio!$W$11</f>
        <v>0</v>
      </c>
      <c r="EA19" s="4">
        <f>SUM(CE19:CN19)*Inicio!$W$12</f>
        <v>0</v>
      </c>
      <c r="EB19" s="4">
        <f>SUM(CO19:CX19)*Inicio!$W$13</f>
        <v>0</v>
      </c>
      <c r="EC19" s="4">
        <f>SUM(CY19:DH19)*Inicio!$W$11</f>
        <v>0</v>
      </c>
      <c r="ED19" s="4">
        <f>SUM(DI19:DR19)*Inicio!$W$12</f>
        <v>0</v>
      </c>
      <c r="EE19" s="4">
        <f t="shared" si="0"/>
        <v>0</v>
      </c>
      <c r="EF19" s="4">
        <f t="shared" si="2"/>
        <v>0</v>
      </c>
      <c r="EG19" s="4">
        <f t="shared" si="1"/>
        <v>0</v>
      </c>
      <c r="EH19" s="4">
        <f t="shared" si="2"/>
        <v>0</v>
      </c>
      <c r="EI19" s="4">
        <f>EE19+S!EE19+E!EE19+O!EE19</f>
        <v>0</v>
      </c>
      <c r="EJ19" s="4">
        <f t="shared" ref="EJ19:EL19" si="8">SUM(EI16:EI19)</f>
        <v>0</v>
      </c>
      <c r="EK19" s="4">
        <f>EG19+S!EG19+E!EG19+O!EG19</f>
        <v>0</v>
      </c>
      <c r="EL19" s="4">
        <f t="shared" si="8"/>
        <v>0</v>
      </c>
    </row>
    <row r="20" spans="2:142" ht="20.25" customHeight="1" x14ac:dyDescent="0.3">
      <c r="B20" s="25" t="s">
        <v>36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5">
        <f>SUM(C20:L20)*Inicio!$W$4</f>
        <v>0</v>
      </c>
      <c r="DT20" s="5">
        <f>SUM(M20:V20)*Inicio!$W$5</f>
        <v>0</v>
      </c>
      <c r="DU20" s="5">
        <f>SUM(W20:AF20)*Inicio!$W$6</f>
        <v>0</v>
      </c>
      <c r="DV20" s="5">
        <f>SUM(AG20:AP20)*Inicio!$W$7</f>
        <v>0</v>
      </c>
      <c r="DW20" s="5">
        <f>SUM(AQ20:AZ20)*Inicio!$W$8</f>
        <v>0</v>
      </c>
      <c r="DX20" s="5">
        <f>SUM(BA20:BJ20)*Inicio!$W$9</f>
        <v>0</v>
      </c>
      <c r="DY20" s="5">
        <f>SUM(BK20:BT20)*Inicio!$W$10</f>
        <v>0</v>
      </c>
      <c r="DZ20" s="5">
        <f>SUM(BU20:CD20)*Inicio!$W$11</f>
        <v>0</v>
      </c>
      <c r="EA20" s="5">
        <f>SUM(CE20:CN20)*Inicio!$W$12</f>
        <v>0</v>
      </c>
      <c r="EB20" s="5">
        <f>SUM(CO20:CX20)*Inicio!$W$13</f>
        <v>0</v>
      </c>
      <c r="EC20" s="5">
        <f>SUM(CY20:DH20)*Inicio!$W$11</f>
        <v>0</v>
      </c>
      <c r="ED20" s="5">
        <f>SUM(DI20:DR20)*Inicio!$W$12</f>
        <v>0</v>
      </c>
      <c r="EE20" s="5">
        <f t="shared" si="0"/>
        <v>0</v>
      </c>
      <c r="EF20" s="5">
        <f t="shared" si="2"/>
        <v>0</v>
      </c>
      <c r="EG20" s="5">
        <f t="shared" si="1"/>
        <v>0</v>
      </c>
      <c r="EH20" s="5">
        <f t="shared" si="2"/>
        <v>0</v>
      </c>
      <c r="EI20" s="5">
        <f>EE20+S!EE20+E!EE20+O!EE20</f>
        <v>0</v>
      </c>
      <c r="EJ20" s="5">
        <f t="shared" ref="EJ20:EL20" si="9">SUM(EI17:EI20)</f>
        <v>0</v>
      </c>
      <c r="EK20" s="5">
        <f>EG20+S!EG20+E!EG20+O!EG20</f>
        <v>0</v>
      </c>
      <c r="EL20" s="5">
        <f t="shared" si="9"/>
        <v>0</v>
      </c>
    </row>
    <row r="21" spans="2:142" ht="20.25" customHeight="1" x14ac:dyDescent="0.3">
      <c r="B21" s="23" t="s">
        <v>37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3">
        <f>SUM(C21:L21)*Inicio!$W$4</f>
        <v>0</v>
      </c>
      <c r="DT21" s="3">
        <f>SUM(M21:V21)*Inicio!$W$5</f>
        <v>0</v>
      </c>
      <c r="DU21" s="3">
        <f>SUM(W21:AF21)*Inicio!$W$6</f>
        <v>0</v>
      </c>
      <c r="DV21" s="3">
        <f>SUM(AG21:AP21)*Inicio!$W$7</f>
        <v>0</v>
      </c>
      <c r="DW21" s="3">
        <f>SUM(AQ21:AZ21)*Inicio!$W$8</f>
        <v>0</v>
      </c>
      <c r="DX21" s="3">
        <f>SUM(BA21:BJ21)*Inicio!$W$9</f>
        <v>0</v>
      </c>
      <c r="DY21" s="3">
        <f>SUM(BK21:BT21)*Inicio!$W$10</f>
        <v>0</v>
      </c>
      <c r="DZ21" s="3">
        <f>SUM(BU21:CD21)*Inicio!$W$11</f>
        <v>0</v>
      </c>
      <c r="EA21" s="3">
        <f>SUM(CE21:CN21)*Inicio!$W$12</f>
        <v>0</v>
      </c>
      <c r="EB21" s="3">
        <f>SUM(CO21:CX21)*Inicio!$W$13</f>
        <v>0</v>
      </c>
      <c r="EC21" s="3">
        <f>SUM(CY21:DH21)*Inicio!$W$11</f>
        <v>0</v>
      </c>
      <c r="ED21" s="3">
        <f>SUM(DI21:DR21)*Inicio!$W$12</f>
        <v>0</v>
      </c>
      <c r="EE21" s="3">
        <f t="shared" si="0"/>
        <v>0</v>
      </c>
      <c r="EF21" s="3">
        <f t="shared" si="2"/>
        <v>0</v>
      </c>
      <c r="EG21" s="3">
        <f t="shared" si="1"/>
        <v>0</v>
      </c>
      <c r="EH21" s="3">
        <f t="shared" si="2"/>
        <v>0</v>
      </c>
      <c r="EI21" s="3">
        <f>EE21+S!EE21+E!EE21+O!EE21</f>
        <v>0</v>
      </c>
      <c r="EJ21" s="3">
        <f t="shared" ref="EJ21:EL21" si="10">SUM(EI18:EI21)</f>
        <v>0</v>
      </c>
      <c r="EK21" s="3">
        <f>EG21+S!EG21+E!EG21+O!EG21</f>
        <v>0</v>
      </c>
      <c r="EL21" s="3">
        <f t="shared" si="10"/>
        <v>0</v>
      </c>
    </row>
    <row r="22" spans="2:142" ht="20.25" customHeight="1" x14ac:dyDescent="0.3">
      <c r="B22" s="24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4">
        <f>SUM(C22:L22)*Inicio!$W$4</f>
        <v>0</v>
      </c>
      <c r="DT22" s="4">
        <f>SUM(M22:V22)*Inicio!$W$5</f>
        <v>0</v>
      </c>
      <c r="DU22" s="4">
        <f>SUM(W22:AF22)*Inicio!$W$6</f>
        <v>0</v>
      </c>
      <c r="DV22" s="4">
        <f>SUM(AG22:AP22)*Inicio!$W$7</f>
        <v>0</v>
      </c>
      <c r="DW22" s="4">
        <f>SUM(AQ22:AZ22)*Inicio!$W$8</f>
        <v>0</v>
      </c>
      <c r="DX22" s="4">
        <f>SUM(BA22:BJ22)*Inicio!$W$9</f>
        <v>0</v>
      </c>
      <c r="DY22" s="4">
        <f>SUM(BK22:BT22)*Inicio!$W$10</f>
        <v>0</v>
      </c>
      <c r="DZ22" s="4">
        <f>SUM(BU22:CD22)*Inicio!$W$11</f>
        <v>0</v>
      </c>
      <c r="EA22" s="4">
        <f>SUM(CE22:CN22)*Inicio!$W$12</f>
        <v>0</v>
      </c>
      <c r="EB22" s="4">
        <f>SUM(CO22:CX22)*Inicio!$W$13</f>
        <v>0</v>
      </c>
      <c r="EC22" s="4">
        <f>SUM(CY22:DH22)*Inicio!$W$11</f>
        <v>0</v>
      </c>
      <c r="ED22" s="4">
        <f>SUM(DI22:DR22)*Inicio!$W$12</f>
        <v>0</v>
      </c>
      <c r="EE22" s="4">
        <f t="shared" si="0"/>
        <v>0</v>
      </c>
      <c r="EF22" s="4">
        <f t="shared" si="2"/>
        <v>0</v>
      </c>
      <c r="EG22" s="4">
        <f t="shared" si="1"/>
        <v>0</v>
      </c>
      <c r="EH22" s="4">
        <f t="shared" si="2"/>
        <v>0</v>
      </c>
      <c r="EI22" s="4">
        <f>EE22+S!EE22+E!EE22+O!EE22</f>
        <v>0</v>
      </c>
      <c r="EJ22" s="4">
        <f t="shared" ref="EJ22:EL22" si="11">SUM(EI19:EI22)</f>
        <v>0</v>
      </c>
      <c r="EK22" s="4">
        <f>EG22+S!EG22+E!EG22+O!EG22</f>
        <v>0</v>
      </c>
      <c r="EL22" s="4">
        <f t="shared" si="11"/>
        <v>0</v>
      </c>
    </row>
    <row r="23" spans="2:142" ht="20.25" customHeight="1" x14ac:dyDescent="0.3">
      <c r="B23" s="24" t="s">
        <v>39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4">
        <f>SUM(C23:L23)*Inicio!$W$4</f>
        <v>0</v>
      </c>
      <c r="DT23" s="4">
        <f>SUM(M23:V23)*Inicio!$W$5</f>
        <v>0</v>
      </c>
      <c r="DU23" s="4">
        <f>SUM(W23:AF23)*Inicio!$W$6</f>
        <v>0</v>
      </c>
      <c r="DV23" s="4">
        <f>SUM(AG23:AP23)*Inicio!$W$7</f>
        <v>0</v>
      </c>
      <c r="DW23" s="4">
        <f>SUM(AQ23:AZ23)*Inicio!$W$8</f>
        <v>0</v>
      </c>
      <c r="DX23" s="4">
        <f>SUM(BA23:BJ23)*Inicio!$W$9</f>
        <v>0</v>
      </c>
      <c r="DY23" s="4">
        <f>SUM(BK23:BT23)*Inicio!$W$10</f>
        <v>0</v>
      </c>
      <c r="DZ23" s="4">
        <f>SUM(BU23:CD23)*Inicio!$W$11</f>
        <v>0</v>
      </c>
      <c r="EA23" s="4">
        <f>SUM(CE23:CN23)*Inicio!$W$12</f>
        <v>0</v>
      </c>
      <c r="EB23" s="4">
        <f>SUM(CO23:CX23)*Inicio!$W$13</f>
        <v>0</v>
      </c>
      <c r="EC23" s="4">
        <f>SUM(CY23:DH23)*Inicio!$W$11</f>
        <v>0</v>
      </c>
      <c r="ED23" s="4">
        <f>SUM(DI23:DR23)*Inicio!$W$12</f>
        <v>0</v>
      </c>
      <c r="EE23" s="4">
        <f t="shared" si="0"/>
        <v>0</v>
      </c>
      <c r="EF23" s="4">
        <f t="shared" si="2"/>
        <v>0</v>
      </c>
      <c r="EG23" s="4">
        <f t="shared" si="1"/>
        <v>0</v>
      </c>
      <c r="EH23" s="4">
        <f t="shared" si="2"/>
        <v>0</v>
      </c>
      <c r="EI23" s="4">
        <f>EE23+S!EE23+E!EE23+O!EE23</f>
        <v>0</v>
      </c>
      <c r="EJ23" s="4">
        <f t="shared" ref="EJ23:EL23" si="12">SUM(EI20:EI23)</f>
        <v>0</v>
      </c>
      <c r="EK23" s="4">
        <f>EG23+S!EG23+E!EG23+O!EG23</f>
        <v>0</v>
      </c>
      <c r="EL23" s="4">
        <f t="shared" si="12"/>
        <v>0</v>
      </c>
    </row>
    <row r="24" spans="2:142" ht="20.25" customHeight="1" x14ac:dyDescent="0.3">
      <c r="B24" s="25" t="s">
        <v>40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5">
        <f>SUM(C24:L24)*Inicio!$W$4</f>
        <v>0</v>
      </c>
      <c r="DT24" s="5">
        <f>SUM(M24:V24)*Inicio!$W$5</f>
        <v>0</v>
      </c>
      <c r="DU24" s="5">
        <f>SUM(W24:AF24)*Inicio!$W$6</f>
        <v>0</v>
      </c>
      <c r="DV24" s="5">
        <f>SUM(AG24:AP24)*Inicio!$W$7</f>
        <v>0</v>
      </c>
      <c r="DW24" s="5">
        <f>SUM(AQ24:AZ24)*Inicio!$W$8</f>
        <v>0</v>
      </c>
      <c r="DX24" s="5">
        <f>SUM(BA24:BJ24)*Inicio!$W$9</f>
        <v>0</v>
      </c>
      <c r="DY24" s="5">
        <f>SUM(BK24:BT24)*Inicio!$W$10</f>
        <v>0</v>
      </c>
      <c r="DZ24" s="5">
        <f>SUM(BU24:CD24)*Inicio!$W$11</f>
        <v>0</v>
      </c>
      <c r="EA24" s="5">
        <f>SUM(CE24:CN24)*Inicio!$W$12</f>
        <v>0</v>
      </c>
      <c r="EB24" s="5">
        <f>SUM(CO24:CX24)*Inicio!$W$13</f>
        <v>0</v>
      </c>
      <c r="EC24" s="5">
        <f>SUM(CY24:DH24)*Inicio!$W$11</f>
        <v>0</v>
      </c>
      <c r="ED24" s="5">
        <f>SUM(DI24:DR24)*Inicio!$W$12</f>
        <v>0</v>
      </c>
      <c r="EE24" s="5">
        <f t="shared" si="0"/>
        <v>0</v>
      </c>
      <c r="EF24" s="5">
        <f t="shared" si="2"/>
        <v>0</v>
      </c>
      <c r="EG24" s="5">
        <f t="shared" si="1"/>
        <v>0</v>
      </c>
      <c r="EH24" s="5">
        <f t="shared" si="2"/>
        <v>0</v>
      </c>
      <c r="EI24" s="5">
        <f>EE24+S!EE24+E!EE24+O!EE24</f>
        <v>0</v>
      </c>
      <c r="EJ24" s="5">
        <f t="shared" ref="EJ24:EL24" si="13">SUM(EI21:EI24)</f>
        <v>0</v>
      </c>
      <c r="EK24" s="5">
        <f>EG24+S!EG24+E!EG24+O!EG24</f>
        <v>0</v>
      </c>
      <c r="EL24" s="5">
        <f t="shared" si="13"/>
        <v>0</v>
      </c>
    </row>
    <row r="25" spans="2:142" ht="20.25" customHeight="1" x14ac:dyDescent="0.3">
      <c r="B25" s="23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3">
        <f>SUM(C25:L25)*Inicio!$W$4</f>
        <v>0</v>
      </c>
      <c r="DT25" s="3">
        <f>SUM(M25:V25)*Inicio!$W$5</f>
        <v>0</v>
      </c>
      <c r="DU25" s="3">
        <f>SUM(W25:AF25)*Inicio!$W$6</f>
        <v>0</v>
      </c>
      <c r="DV25" s="3">
        <f>SUM(AG25:AP25)*Inicio!$W$7</f>
        <v>0</v>
      </c>
      <c r="DW25" s="3">
        <f>SUM(AQ25:AZ25)*Inicio!$W$8</f>
        <v>0</v>
      </c>
      <c r="DX25" s="3">
        <f>SUM(BA25:BJ25)*Inicio!$W$9</f>
        <v>0</v>
      </c>
      <c r="DY25" s="3">
        <f>SUM(BK25:BT25)*Inicio!$W$10</f>
        <v>0</v>
      </c>
      <c r="DZ25" s="3">
        <f>SUM(BU25:CD25)*Inicio!$W$11</f>
        <v>0</v>
      </c>
      <c r="EA25" s="3">
        <f>SUM(CE25:CN25)*Inicio!$W$12</f>
        <v>0</v>
      </c>
      <c r="EB25" s="3">
        <f>SUM(CO25:CX25)*Inicio!$W$13</f>
        <v>0</v>
      </c>
      <c r="EC25" s="3">
        <f>SUM(CY25:DH25)*Inicio!$W$11</f>
        <v>0</v>
      </c>
      <c r="ED25" s="3">
        <f>SUM(DI25:DR25)*Inicio!$W$12</f>
        <v>0</v>
      </c>
      <c r="EE25" s="3">
        <f t="shared" si="0"/>
        <v>0</v>
      </c>
      <c r="EF25" s="3">
        <f t="shared" si="2"/>
        <v>0</v>
      </c>
      <c r="EG25" s="3">
        <f t="shared" si="1"/>
        <v>0</v>
      </c>
      <c r="EH25" s="3">
        <f t="shared" si="2"/>
        <v>0</v>
      </c>
      <c r="EI25" s="3">
        <f>EE25+S!EE25+E!EE25+O!EE25</f>
        <v>0</v>
      </c>
      <c r="EJ25" s="3">
        <f t="shared" ref="EJ25:EL25" si="14">SUM(EI22:EI25)</f>
        <v>0</v>
      </c>
      <c r="EK25" s="3">
        <f>EG25+S!EG25+E!EG25+O!EG25</f>
        <v>0</v>
      </c>
      <c r="EL25" s="3">
        <f t="shared" si="14"/>
        <v>0</v>
      </c>
    </row>
    <row r="26" spans="2:142" ht="20.25" customHeight="1" x14ac:dyDescent="0.3">
      <c r="B26" s="24" t="s">
        <v>42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4">
        <f>SUM(C26:L26)*Inicio!$W$4</f>
        <v>0</v>
      </c>
      <c r="DT26" s="4">
        <f>SUM(M26:V26)*Inicio!$W$5</f>
        <v>0</v>
      </c>
      <c r="DU26" s="4">
        <f>SUM(W26:AF26)*Inicio!$W$6</f>
        <v>0</v>
      </c>
      <c r="DV26" s="4">
        <f>SUM(AG26:AP26)*Inicio!$W$7</f>
        <v>0</v>
      </c>
      <c r="DW26" s="4">
        <f>SUM(AQ26:AZ26)*Inicio!$W$8</f>
        <v>0</v>
      </c>
      <c r="DX26" s="4">
        <f>SUM(BA26:BJ26)*Inicio!$W$9</f>
        <v>0</v>
      </c>
      <c r="DY26" s="4">
        <f>SUM(BK26:BT26)*Inicio!$W$10</f>
        <v>0</v>
      </c>
      <c r="DZ26" s="4">
        <f>SUM(BU26:CD26)*Inicio!$W$11</f>
        <v>0</v>
      </c>
      <c r="EA26" s="4">
        <f>SUM(CE26:CN26)*Inicio!$W$12</f>
        <v>0</v>
      </c>
      <c r="EB26" s="4">
        <f>SUM(CO26:CX26)*Inicio!$W$13</f>
        <v>0</v>
      </c>
      <c r="EC26" s="4">
        <f>SUM(CY26:DH26)*Inicio!$W$11</f>
        <v>0</v>
      </c>
      <c r="ED26" s="4">
        <f>SUM(DI26:DR26)*Inicio!$W$12</f>
        <v>0</v>
      </c>
      <c r="EE26" s="4">
        <f t="shared" si="0"/>
        <v>0</v>
      </c>
      <c r="EF26" s="4">
        <f t="shared" si="2"/>
        <v>0</v>
      </c>
      <c r="EG26" s="4">
        <f t="shared" si="1"/>
        <v>0</v>
      </c>
      <c r="EH26" s="4">
        <f t="shared" si="2"/>
        <v>0</v>
      </c>
      <c r="EI26" s="4">
        <f>EE26+S!EE26+E!EE26+O!EE26</f>
        <v>0</v>
      </c>
      <c r="EJ26" s="4">
        <f t="shared" ref="EJ26:EL26" si="15">SUM(EI23:EI26)</f>
        <v>0</v>
      </c>
      <c r="EK26" s="4">
        <f>EG26+S!EG26+E!EG26+O!EG26</f>
        <v>0</v>
      </c>
      <c r="EL26" s="4">
        <f t="shared" si="15"/>
        <v>0</v>
      </c>
    </row>
    <row r="27" spans="2:142" ht="20.25" customHeight="1" x14ac:dyDescent="0.3">
      <c r="B27" s="24" t="s">
        <v>43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4">
        <f>SUM(C27:L27)*Inicio!$W$4</f>
        <v>0</v>
      </c>
      <c r="DT27" s="4">
        <f>SUM(M27:V27)*Inicio!$W$5</f>
        <v>0</v>
      </c>
      <c r="DU27" s="4">
        <f>SUM(W27:AF27)*Inicio!$W$6</f>
        <v>0</v>
      </c>
      <c r="DV27" s="4">
        <f>SUM(AG27:AP27)*Inicio!$W$7</f>
        <v>0</v>
      </c>
      <c r="DW27" s="4">
        <f>SUM(AQ27:AZ27)*Inicio!$W$8</f>
        <v>0</v>
      </c>
      <c r="DX27" s="4">
        <f>SUM(BA27:BJ27)*Inicio!$W$9</f>
        <v>0</v>
      </c>
      <c r="DY27" s="4">
        <f>SUM(BK27:BT27)*Inicio!$W$10</f>
        <v>0</v>
      </c>
      <c r="DZ27" s="4">
        <f>SUM(BU27:CD27)*Inicio!$W$11</f>
        <v>0</v>
      </c>
      <c r="EA27" s="4">
        <f>SUM(CE27:CN27)*Inicio!$W$12</f>
        <v>0</v>
      </c>
      <c r="EB27" s="4">
        <f>SUM(CO27:CX27)*Inicio!$W$13</f>
        <v>0</v>
      </c>
      <c r="EC27" s="4">
        <f>SUM(CY27:DH27)*Inicio!$W$11</f>
        <v>0</v>
      </c>
      <c r="ED27" s="4">
        <f>SUM(DI27:DR27)*Inicio!$W$12</f>
        <v>0</v>
      </c>
      <c r="EE27" s="4">
        <f t="shared" si="0"/>
        <v>0</v>
      </c>
      <c r="EF27" s="4">
        <f t="shared" si="2"/>
        <v>0</v>
      </c>
      <c r="EG27" s="4">
        <f t="shared" si="1"/>
        <v>0</v>
      </c>
      <c r="EH27" s="4">
        <f t="shared" si="2"/>
        <v>0</v>
      </c>
      <c r="EI27" s="4">
        <f>EE27+S!EE27+E!EE27+O!EE27</f>
        <v>0</v>
      </c>
      <c r="EJ27" s="4">
        <f t="shared" ref="EJ27:EL27" si="16">SUM(EI24:EI27)</f>
        <v>0</v>
      </c>
      <c r="EK27" s="4">
        <f>EG27+S!EG27+E!EG27+O!EG27</f>
        <v>0</v>
      </c>
      <c r="EL27" s="4">
        <f t="shared" si="16"/>
        <v>0</v>
      </c>
    </row>
    <row r="28" spans="2:142" ht="20.25" customHeight="1" x14ac:dyDescent="0.3">
      <c r="B28" s="25" t="s">
        <v>44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5">
        <f>SUM(C28:L28)*Inicio!$W$4</f>
        <v>0</v>
      </c>
      <c r="DT28" s="5">
        <f>SUM(M28:V28)*Inicio!$W$5</f>
        <v>0</v>
      </c>
      <c r="DU28" s="5">
        <f>SUM(W28:AF28)*Inicio!$W$6</f>
        <v>0</v>
      </c>
      <c r="DV28" s="5">
        <f>SUM(AG28:AP28)*Inicio!$W$7</f>
        <v>0</v>
      </c>
      <c r="DW28" s="5">
        <f>SUM(AQ28:AZ28)*Inicio!$W$8</f>
        <v>0</v>
      </c>
      <c r="DX28" s="5">
        <f>SUM(BA28:BJ28)*Inicio!$W$9</f>
        <v>0</v>
      </c>
      <c r="DY28" s="5">
        <f>SUM(BK28:BT28)*Inicio!$W$10</f>
        <v>0</v>
      </c>
      <c r="DZ28" s="5">
        <f>SUM(BU28:CD28)*Inicio!$W$11</f>
        <v>0</v>
      </c>
      <c r="EA28" s="5">
        <f>SUM(CE28:CN28)*Inicio!$W$12</f>
        <v>0</v>
      </c>
      <c r="EB28" s="5">
        <f>SUM(CO28:CX28)*Inicio!$W$13</f>
        <v>0</v>
      </c>
      <c r="EC28" s="5">
        <f>SUM(CY28:DH28)*Inicio!$W$11</f>
        <v>0</v>
      </c>
      <c r="ED28" s="5">
        <f>SUM(DI28:DR28)*Inicio!$W$12</f>
        <v>0</v>
      </c>
      <c r="EE28" s="5">
        <f t="shared" si="0"/>
        <v>0</v>
      </c>
      <c r="EF28" s="5">
        <f t="shared" si="2"/>
        <v>0</v>
      </c>
      <c r="EG28" s="5">
        <f t="shared" si="1"/>
        <v>0</v>
      </c>
      <c r="EH28" s="5">
        <f t="shared" si="2"/>
        <v>0</v>
      </c>
      <c r="EI28" s="5">
        <f>EE28+S!EE28+E!EE28+O!EE28</f>
        <v>0</v>
      </c>
      <c r="EJ28" s="5">
        <f t="shared" ref="EJ28:EL28" si="17">SUM(EI25:EI28)</f>
        <v>0</v>
      </c>
      <c r="EK28" s="5">
        <f>EG28+S!EG28+E!EG28+O!EG28</f>
        <v>0</v>
      </c>
      <c r="EL28" s="5">
        <f t="shared" si="17"/>
        <v>0</v>
      </c>
    </row>
    <row r="29" spans="2:142" ht="20.25" customHeight="1" x14ac:dyDescent="0.3">
      <c r="B29" s="23" t="s">
        <v>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3">
        <f>SUM(C29:L29)*Inicio!$W$4</f>
        <v>0</v>
      </c>
      <c r="DT29" s="3">
        <f>SUM(M29:V29)*Inicio!$W$5</f>
        <v>0</v>
      </c>
      <c r="DU29" s="3">
        <f>SUM(W29:AF29)*Inicio!$W$6</f>
        <v>0</v>
      </c>
      <c r="DV29" s="3">
        <f>SUM(AG29:AP29)*Inicio!$W$7</f>
        <v>0</v>
      </c>
      <c r="DW29" s="3">
        <f>SUM(AQ29:AZ29)*Inicio!$W$8</f>
        <v>0</v>
      </c>
      <c r="DX29" s="3">
        <f>SUM(BA29:BJ29)*Inicio!$W$9</f>
        <v>0</v>
      </c>
      <c r="DY29" s="3">
        <f>SUM(BK29:BT29)*Inicio!$W$10</f>
        <v>0</v>
      </c>
      <c r="DZ29" s="3">
        <f>SUM(BU29:CD29)*Inicio!$W$11</f>
        <v>0</v>
      </c>
      <c r="EA29" s="3">
        <f>SUM(CE29:CN29)*Inicio!$W$12</f>
        <v>0</v>
      </c>
      <c r="EB29" s="3">
        <f>SUM(CO29:CX29)*Inicio!$W$13</f>
        <v>0</v>
      </c>
      <c r="EC29" s="3">
        <f>SUM(CY29:DH29)*Inicio!$W$11</f>
        <v>0</v>
      </c>
      <c r="ED29" s="3">
        <f>SUM(DI29:DR29)*Inicio!$W$12</f>
        <v>0</v>
      </c>
      <c r="EE29" s="3">
        <f t="shared" si="0"/>
        <v>0</v>
      </c>
      <c r="EF29" s="3">
        <f t="shared" si="2"/>
        <v>0</v>
      </c>
      <c r="EG29" s="3">
        <f t="shared" si="1"/>
        <v>0</v>
      </c>
      <c r="EH29" s="3">
        <f t="shared" si="2"/>
        <v>0</v>
      </c>
      <c r="EI29" s="3">
        <f>EE29+S!EE29+E!EE29+O!EE29</f>
        <v>0</v>
      </c>
      <c r="EJ29" s="3">
        <f t="shared" ref="EJ29:EL29" si="18">SUM(EI26:EI29)</f>
        <v>0</v>
      </c>
      <c r="EK29" s="3">
        <f>EG29+S!EG29+E!EG29+O!EG29</f>
        <v>0</v>
      </c>
      <c r="EL29" s="3">
        <f t="shared" si="18"/>
        <v>0</v>
      </c>
    </row>
    <row r="30" spans="2:142" ht="20.25" customHeight="1" x14ac:dyDescent="0.3">
      <c r="B30" s="24" t="s">
        <v>46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4">
        <f>SUM(C30:L30)*Inicio!$W$4</f>
        <v>0</v>
      </c>
      <c r="DT30" s="4">
        <f>SUM(M30:V30)*Inicio!$W$5</f>
        <v>0</v>
      </c>
      <c r="DU30" s="4">
        <f>SUM(W30:AF30)*Inicio!$W$6</f>
        <v>0</v>
      </c>
      <c r="DV30" s="4">
        <f>SUM(AG30:AP30)*Inicio!$W$7</f>
        <v>0</v>
      </c>
      <c r="DW30" s="4">
        <f>SUM(AQ30:AZ30)*Inicio!$W$8</f>
        <v>0</v>
      </c>
      <c r="DX30" s="4">
        <f>SUM(BA30:BJ30)*Inicio!$W$9</f>
        <v>0</v>
      </c>
      <c r="DY30" s="4">
        <f>SUM(BK30:BT30)*Inicio!$W$10</f>
        <v>0</v>
      </c>
      <c r="DZ30" s="4">
        <f>SUM(BU30:CD30)*Inicio!$W$11</f>
        <v>0</v>
      </c>
      <c r="EA30" s="4">
        <f>SUM(CE30:CN30)*Inicio!$W$12</f>
        <v>0</v>
      </c>
      <c r="EB30" s="4">
        <f>SUM(CO30:CX30)*Inicio!$W$13</f>
        <v>0</v>
      </c>
      <c r="EC30" s="4">
        <f>SUM(CY30:DH30)*Inicio!$W$11</f>
        <v>0</v>
      </c>
      <c r="ED30" s="4">
        <f>SUM(DI30:DR30)*Inicio!$W$12</f>
        <v>0</v>
      </c>
      <c r="EE30" s="4">
        <f t="shared" si="0"/>
        <v>0</v>
      </c>
      <c r="EF30" s="4">
        <f t="shared" si="2"/>
        <v>0</v>
      </c>
      <c r="EG30" s="4">
        <f t="shared" si="1"/>
        <v>0</v>
      </c>
      <c r="EH30" s="4">
        <f t="shared" si="2"/>
        <v>0</v>
      </c>
      <c r="EI30" s="4">
        <f>EE30+S!EE30+E!EE30+O!EE30</f>
        <v>0</v>
      </c>
      <c r="EJ30" s="4">
        <f t="shared" ref="EJ30:EL30" si="19">SUM(EI27:EI30)</f>
        <v>0</v>
      </c>
      <c r="EK30" s="4">
        <f>EG30+S!EG30+E!EG30+O!EG30</f>
        <v>0</v>
      </c>
      <c r="EL30" s="4">
        <f t="shared" si="19"/>
        <v>0</v>
      </c>
    </row>
    <row r="31" spans="2:142" ht="20.25" customHeight="1" x14ac:dyDescent="0.3">
      <c r="B31" s="24" t="s">
        <v>47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4">
        <f>SUM(C31:L31)*Inicio!$W$4</f>
        <v>0</v>
      </c>
      <c r="DT31" s="4">
        <f>SUM(M31:V31)*Inicio!$W$5</f>
        <v>0</v>
      </c>
      <c r="DU31" s="4">
        <f>SUM(W31:AF31)*Inicio!$W$6</f>
        <v>0</v>
      </c>
      <c r="DV31" s="4">
        <f>SUM(AG31:AP31)*Inicio!$W$7</f>
        <v>0</v>
      </c>
      <c r="DW31" s="4">
        <f>SUM(AQ31:AZ31)*Inicio!$W$8</f>
        <v>0</v>
      </c>
      <c r="DX31" s="4">
        <f>SUM(BA31:BJ31)*Inicio!$W$9</f>
        <v>0</v>
      </c>
      <c r="DY31" s="4">
        <f>SUM(BK31:BT31)*Inicio!$W$10</f>
        <v>0</v>
      </c>
      <c r="DZ31" s="4">
        <f>SUM(BU31:CD31)*Inicio!$W$11</f>
        <v>0</v>
      </c>
      <c r="EA31" s="4">
        <f>SUM(CE31:CN31)*Inicio!$W$12</f>
        <v>0</v>
      </c>
      <c r="EB31" s="4">
        <f>SUM(CO31:CX31)*Inicio!$W$13</f>
        <v>0</v>
      </c>
      <c r="EC31" s="4">
        <f>SUM(CY31:DH31)*Inicio!$W$11</f>
        <v>0</v>
      </c>
      <c r="ED31" s="4">
        <f>SUM(DI31:DR31)*Inicio!$W$12</f>
        <v>0</v>
      </c>
      <c r="EE31" s="4">
        <f t="shared" si="0"/>
        <v>0</v>
      </c>
      <c r="EF31" s="4">
        <f t="shared" si="2"/>
        <v>0</v>
      </c>
      <c r="EG31" s="4">
        <f t="shared" si="1"/>
        <v>0</v>
      </c>
      <c r="EH31" s="4">
        <f t="shared" si="2"/>
        <v>0</v>
      </c>
      <c r="EI31" s="4">
        <f>EE31+S!EE31+E!EE31+O!EE31</f>
        <v>0</v>
      </c>
      <c r="EJ31" s="4">
        <f t="shared" ref="EJ31:EL31" si="20">SUM(EI28:EI31)</f>
        <v>0</v>
      </c>
      <c r="EK31" s="4">
        <f>EG31+S!EG31+E!EG31+O!EG31</f>
        <v>0</v>
      </c>
      <c r="EL31" s="4">
        <f t="shared" si="20"/>
        <v>0</v>
      </c>
    </row>
    <row r="32" spans="2:142" ht="20.25" customHeight="1" x14ac:dyDescent="0.3">
      <c r="B32" s="25" t="s">
        <v>48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5">
        <f>SUM(C32:L32)*Inicio!$W$4</f>
        <v>0</v>
      </c>
      <c r="DT32" s="5">
        <f>SUM(M32:V32)*Inicio!$W$5</f>
        <v>0</v>
      </c>
      <c r="DU32" s="5">
        <f>SUM(W32:AF32)*Inicio!$W$6</f>
        <v>0</v>
      </c>
      <c r="DV32" s="5">
        <f>SUM(AG32:AP32)*Inicio!$W$7</f>
        <v>0</v>
      </c>
      <c r="DW32" s="5">
        <f>SUM(AQ32:AZ32)*Inicio!$W$8</f>
        <v>0</v>
      </c>
      <c r="DX32" s="5">
        <f>SUM(BA32:BJ32)*Inicio!$W$9</f>
        <v>0</v>
      </c>
      <c r="DY32" s="5">
        <f>SUM(BK32:BT32)*Inicio!$W$10</f>
        <v>0</v>
      </c>
      <c r="DZ32" s="5">
        <f>SUM(BU32:CD32)*Inicio!$W$11</f>
        <v>0</v>
      </c>
      <c r="EA32" s="5">
        <f>SUM(CE32:CN32)*Inicio!$W$12</f>
        <v>0</v>
      </c>
      <c r="EB32" s="5">
        <f>SUM(CO32:CX32)*Inicio!$W$13</f>
        <v>0</v>
      </c>
      <c r="EC32" s="5">
        <f>SUM(CY32:DH32)*Inicio!$W$11</f>
        <v>0</v>
      </c>
      <c r="ED32" s="5">
        <f>SUM(DI32:DR32)*Inicio!$W$12</f>
        <v>0</v>
      </c>
      <c r="EE32" s="5">
        <f t="shared" si="0"/>
        <v>0</v>
      </c>
      <c r="EF32" s="5">
        <f t="shared" si="2"/>
        <v>0</v>
      </c>
      <c r="EG32" s="5">
        <f t="shared" si="1"/>
        <v>0</v>
      </c>
      <c r="EH32" s="5">
        <f t="shared" si="2"/>
        <v>0</v>
      </c>
      <c r="EI32" s="5">
        <f>EE32+S!EE32+E!EE32+O!EE32</f>
        <v>0</v>
      </c>
      <c r="EJ32" s="5">
        <f t="shared" ref="EJ32:EL32" si="21">SUM(EI29:EI32)</f>
        <v>0</v>
      </c>
      <c r="EK32" s="5">
        <f>EG32+S!EG32+E!EG32+O!EG32</f>
        <v>0</v>
      </c>
      <c r="EL32" s="5">
        <f t="shared" si="21"/>
        <v>0</v>
      </c>
    </row>
    <row r="33" spans="2:142" ht="20.25" customHeight="1" x14ac:dyDescent="0.3">
      <c r="B33" s="23" t="s">
        <v>49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3">
        <f>SUM(C33:L33)*Inicio!$W$4</f>
        <v>0</v>
      </c>
      <c r="DT33" s="3">
        <f>SUM(M33:V33)*Inicio!$W$5</f>
        <v>0</v>
      </c>
      <c r="DU33" s="3">
        <f>SUM(W33:AF33)*Inicio!$W$6</f>
        <v>0</v>
      </c>
      <c r="DV33" s="3">
        <f>SUM(AG33:AP33)*Inicio!$W$7</f>
        <v>0</v>
      </c>
      <c r="DW33" s="3">
        <f>SUM(AQ33:AZ33)*Inicio!$W$8</f>
        <v>0</v>
      </c>
      <c r="DX33" s="3">
        <f>SUM(BA33:BJ33)*Inicio!$W$9</f>
        <v>0</v>
      </c>
      <c r="DY33" s="3">
        <f>SUM(BK33:BT33)*Inicio!$W$10</f>
        <v>0</v>
      </c>
      <c r="DZ33" s="3">
        <f>SUM(BU33:CD33)*Inicio!$W$11</f>
        <v>0</v>
      </c>
      <c r="EA33" s="3">
        <f>SUM(CE33:CN33)*Inicio!$W$12</f>
        <v>0</v>
      </c>
      <c r="EB33" s="3">
        <f>SUM(CO33:CX33)*Inicio!$W$13</f>
        <v>0</v>
      </c>
      <c r="EC33" s="3">
        <f>SUM(CY33:DH33)*Inicio!$W$11</f>
        <v>0</v>
      </c>
      <c r="ED33" s="3">
        <f>SUM(DI33:DR33)*Inicio!$W$12</f>
        <v>0</v>
      </c>
      <c r="EE33" s="3">
        <f t="shared" si="0"/>
        <v>0</v>
      </c>
      <c r="EF33" s="3">
        <f t="shared" si="2"/>
        <v>0</v>
      </c>
      <c r="EG33" s="3">
        <f t="shared" si="1"/>
        <v>0</v>
      </c>
      <c r="EH33" s="3">
        <f t="shared" si="2"/>
        <v>0</v>
      </c>
      <c r="EI33" s="3">
        <f>EE33+S!EE33+E!EE33+O!EE33</f>
        <v>0</v>
      </c>
      <c r="EJ33" s="3">
        <f t="shared" ref="EJ33:EL33" si="22">SUM(EI30:EI33)</f>
        <v>0</v>
      </c>
      <c r="EK33" s="3">
        <f>EG33+S!EG33+E!EG33+O!EG33</f>
        <v>0</v>
      </c>
      <c r="EL33" s="3">
        <f t="shared" si="22"/>
        <v>0</v>
      </c>
    </row>
    <row r="34" spans="2:142" ht="20.25" customHeight="1" x14ac:dyDescent="0.3">
      <c r="B34" s="24" t="s">
        <v>50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4">
        <f>SUM(C34:L34)*Inicio!$W$4</f>
        <v>0</v>
      </c>
      <c r="DT34" s="4">
        <f>SUM(M34:V34)*Inicio!$W$5</f>
        <v>0</v>
      </c>
      <c r="DU34" s="4">
        <f>SUM(W34:AF34)*Inicio!$W$6</f>
        <v>0</v>
      </c>
      <c r="DV34" s="4">
        <f>SUM(AG34:AP34)*Inicio!$W$7</f>
        <v>0</v>
      </c>
      <c r="DW34" s="4">
        <f>SUM(AQ34:AZ34)*Inicio!$W$8</f>
        <v>0</v>
      </c>
      <c r="DX34" s="4">
        <f>SUM(BA34:BJ34)*Inicio!$W$9</f>
        <v>0</v>
      </c>
      <c r="DY34" s="4">
        <f>SUM(BK34:BT34)*Inicio!$W$10</f>
        <v>0</v>
      </c>
      <c r="DZ34" s="4">
        <f>SUM(BU34:CD34)*Inicio!$W$11</f>
        <v>0</v>
      </c>
      <c r="EA34" s="4">
        <f>SUM(CE34:CN34)*Inicio!$W$12</f>
        <v>0</v>
      </c>
      <c r="EB34" s="4">
        <f>SUM(CO34:CX34)*Inicio!$W$13</f>
        <v>0</v>
      </c>
      <c r="EC34" s="4">
        <f>SUM(CY34:DH34)*Inicio!$W$11</f>
        <v>0</v>
      </c>
      <c r="ED34" s="4">
        <f>SUM(DI34:DR34)*Inicio!$W$12</f>
        <v>0</v>
      </c>
      <c r="EE34" s="4">
        <f t="shared" si="0"/>
        <v>0</v>
      </c>
      <c r="EF34" s="4">
        <f t="shared" si="2"/>
        <v>0</v>
      </c>
      <c r="EG34" s="4">
        <f t="shared" si="1"/>
        <v>0</v>
      </c>
      <c r="EH34" s="4">
        <f t="shared" si="2"/>
        <v>0</v>
      </c>
      <c r="EI34" s="4">
        <f>EE34+S!EE34+E!EE34+O!EE34</f>
        <v>0</v>
      </c>
      <c r="EJ34" s="4">
        <f t="shared" ref="EJ34:EL34" si="23">SUM(EI31:EI34)</f>
        <v>0</v>
      </c>
      <c r="EK34" s="4">
        <f>EG34+S!EG34+E!EG34+O!EG34</f>
        <v>0</v>
      </c>
      <c r="EL34" s="4">
        <f t="shared" si="23"/>
        <v>0</v>
      </c>
    </row>
    <row r="35" spans="2:142" ht="20.25" customHeight="1" x14ac:dyDescent="0.3">
      <c r="B35" s="24" t="s">
        <v>51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4">
        <f>SUM(C35:L35)*Inicio!$W$4</f>
        <v>0</v>
      </c>
      <c r="DT35" s="4">
        <f>SUM(M35:V35)*Inicio!$W$5</f>
        <v>0</v>
      </c>
      <c r="DU35" s="4">
        <f>SUM(W35:AF35)*Inicio!$W$6</f>
        <v>0</v>
      </c>
      <c r="DV35" s="4">
        <f>SUM(AG35:AP35)*Inicio!$W$7</f>
        <v>0</v>
      </c>
      <c r="DW35" s="4">
        <f>SUM(AQ35:AZ35)*Inicio!$W$8</f>
        <v>0</v>
      </c>
      <c r="DX35" s="4">
        <f>SUM(BA35:BJ35)*Inicio!$W$9</f>
        <v>0</v>
      </c>
      <c r="DY35" s="4">
        <f>SUM(BK35:BT35)*Inicio!$W$10</f>
        <v>0</v>
      </c>
      <c r="DZ35" s="4">
        <f>SUM(BU35:CD35)*Inicio!$W$11</f>
        <v>0</v>
      </c>
      <c r="EA35" s="4">
        <f>SUM(CE35:CN35)*Inicio!$W$12</f>
        <v>0</v>
      </c>
      <c r="EB35" s="4">
        <f>SUM(CO35:CX35)*Inicio!$W$13</f>
        <v>0</v>
      </c>
      <c r="EC35" s="4">
        <f>SUM(CY35:DH35)*Inicio!$W$11</f>
        <v>0</v>
      </c>
      <c r="ED35" s="4">
        <f>SUM(DI35:DR35)*Inicio!$W$12</f>
        <v>0</v>
      </c>
      <c r="EE35" s="4">
        <f t="shared" si="0"/>
        <v>0</v>
      </c>
      <c r="EF35" s="4">
        <f t="shared" si="2"/>
        <v>0</v>
      </c>
      <c r="EG35" s="4">
        <f t="shared" si="1"/>
        <v>0</v>
      </c>
      <c r="EH35" s="4">
        <f t="shared" si="2"/>
        <v>0</v>
      </c>
      <c r="EI35" s="4">
        <f>EE35+S!EE35+E!EE35+O!EE35</f>
        <v>0</v>
      </c>
      <c r="EJ35" s="4">
        <f t="shared" ref="EJ35:EL35" si="24">SUM(EI32:EI35)</f>
        <v>0</v>
      </c>
      <c r="EK35" s="4">
        <f>EG35+S!EG35+E!EG35+O!EG35</f>
        <v>0</v>
      </c>
      <c r="EL35" s="4">
        <f t="shared" si="24"/>
        <v>0</v>
      </c>
    </row>
    <row r="36" spans="2:142" ht="20.25" customHeight="1" x14ac:dyDescent="0.3">
      <c r="B36" s="26" t="s">
        <v>52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5">
        <f>SUM(C36:L36)*Inicio!$W$4</f>
        <v>0</v>
      </c>
      <c r="DT36" s="5">
        <f>SUM(M36:V36)*Inicio!$W$5</f>
        <v>0</v>
      </c>
      <c r="DU36" s="5">
        <f>SUM(W36:AF36)*Inicio!$W$6</f>
        <v>0</v>
      </c>
      <c r="DV36" s="5">
        <f>SUM(AG36:AP36)*Inicio!$W$7</f>
        <v>0</v>
      </c>
      <c r="DW36" s="5">
        <f>SUM(AQ36:AZ36)*Inicio!$W$8</f>
        <v>0</v>
      </c>
      <c r="DX36" s="5">
        <f>SUM(BA36:BJ36)*Inicio!$W$9</f>
        <v>0</v>
      </c>
      <c r="DY36" s="5">
        <f>SUM(BK36:BT36)*Inicio!$W$10</f>
        <v>0</v>
      </c>
      <c r="DZ36" s="5">
        <f>SUM(BU36:CD36)*Inicio!$W$11</f>
        <v>0</v>
      </c>
      <c r="EA36" s="5">
        <f>SUM(CE36:CN36)*Inicio!$W$12</f>
        <v>0</v>
      </c>
      <c r="EB36" s="5">
        <f>SUM(CO36:CX36)*Inicio!$W$13</f>
        <v>0</v>
      </c>
      <c r="EC36" s="5">
        <f>SUM(CY36:DH36)*Inicio!$W$11</f>
        <v>0</v>
      </c>
      <c r="ED36" s="5">
        <f>SUM(DI36:DR36)*Inicio!$W$12</f>
        <v>0</v>
      </c>
      <c r="EE36" s="5">
        <f t="shared" si="0"/>
        <v>0</v>
      </c>
      <c r="EF36" s="5">
        <f t="shared" si="2"/>
        <v>0</v>
      </c>
      <c r="EG36" s="5">
        <f t="shared" si="1"/>
        <v>0</v>
      </c>
      <c r="EH36" s="5">
        <f t="shared" si="2"/>
        <v>0</v>
      </c>
      <c r="EI36" s="5">
        <f>EE36+S!EE36+E!EE36+O!EE36</f>
        <v>0</v>
      </c>
      <c r="EJ36" s="5">
        <f t="shared" ref="EJ36:EL36" si="25">SUM(EI33:EI36)</f>
        <v>0</v>
      </c>
      <c r="EK36" s="5">
        <f>EG36+S!EG36+E!EG36+O!EG36</f>
        <v>0</v>
      </c>
      <c r="EL36" s="5">
        <f t="shared" si="25"/>
        <v>0</v>
      </c>
    </row>
    <row r="37" spans="2:142" ht="20.25" customHeight="1" x14ac:dyDescent="0.3">
      <c r="B37" s="27" t="s">
        <v>53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3">
        <f>SUM(C37:L37)*Inicio!$W$4</f>
        <v>0</v>
      </c>
      <c r="DT37" s="3">
        <f>SUM(M37:V37)*Inicio!$W$5</f>
        <v>0</v>
      </c>
      <c r="DU37" s="3">
        <f>SUM(W37:AF37)*Inicio!$W$6</f>
        <v>0</v>
      </c>
      <c r="DV37" s="3">
        <f>SUM(AG37:AP37)*Inicio!$W$7</f>
        <v>0</v>
      </c>
      <c r="DW37" s="3">
        <f>SUM(AQ37:AZ37)*Inicio!$W$8</f>
        <v>0</v>
      </c>
      <c r="DX37" s="3">
        <f>SUM(BA37:BJ37)*Inicio!$W$9</f>
        <v>0</v>
      </c>
      <c r="DY37" s="3">
        <f>SUM(BK37:BT37)*Inicio!$W$10</f>
        <v>0</v>
      </c>
      <c r="DZ37" s="3">
        <f>SUM(BU37:CD37)*Inicio!$W$11</f>
        <v>0</v>
      </c>
      <c r="EA37" s="3">
        <f>SUM(CE37:CN37)*Inicio!$W$12</f>
        <v>0</v>
      </c>
      <c r="EB37" s="3">
        <f>SUM(CO37:CX37)*Inicio!$W$13</f>
        <v>0</v>
      </c>
      <c r="EC37" s="3">
        <f>SUM(CY37:DH37)*Inicio!$W$11</f>
        <v>0</v>
      </c>
      <c r="ED37" s="3">
        <f>SUM(DI37:DR37)*Inicio!$W$12</f>
        <v>0</v>
      </c>
      <c r="EE37" s="3">
        <f t="shared" si="0"/>
        <v>0</v>
      </c>
      <c r="EF37" s="3">
        <f t="shared" si="2"/>
        <v>0</v>
      </c>
      <c r="EG37" s="3">
        <f t="shared" si="1"/>
        <v>0</v>
      </c>
      <c r="EH37" s="3">
        <f t="shared" si="2"/>
        <v>0</v>
      </c>
      <c r="EI37" s="3">
        <f>EE37+S!EE37+E!EE37+O!EE37</f>
        <v>0</v>
      </c>
      <c r="EJ37" s="3">
        <f t="shared" ref="EJ37:EL37" si="26">SUM(EI34:EI37)</f>
        <v>0</v>
      </c>
      <c r="EK37" s="3">
        <f>EG37+S!EG37+E!EG37+O!EG37</f>
        <v>0</v>
      </c>
      <c r="EL37" s="3">
        <f t="shared" si="26"/>
        <v>0</v>
      </c>
    </row>
    <row r="38" spans="2:142" ht="20.25" customHeight="1" x14ac:dyDescent="0.3">
      <c r="B38" s="28" t="s">
        <v>54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4">
        <f>SUM(C38:L38)*Inicio!$W$4</f>
        <v>0</v>
      </c>
      <c r="DT38" s="4">
        <f>SUM(M38:V38)*Inicio!$W$5</f>
        <v>0</v>
      </c>
      <c r="DU38" s="4">
        <f>SUM(W38:AF38)*Inicio!$W$6</f>
        <v>0</v>
      </c>
      <c r="DV38" s="4">
        <f>SUM(AG38:AP38)*Inicio!$W$7</f>
        <v>0</v>
      </c>
      <c r="DW38" s="4">
        <f>SUM(AQ38:AZ38)*Inicio!$W$8</f>
        <v>0</v>
      </c>
      <c r="DX38" s="4">
        <f>SUM(BA38:BJ38)*Inicio!$W$9</f>
        <v>0</v>
      </c>
      <c r="DY38" s="4">
        <f>SUM(BK38:BT38)*Inicio!$W$10</f>
        <v>0</v>
      </c>
      <c r="DZ38" s="4">
        <f>SUM(BU38:CD38)*Inicio!$W$11</f>
        <v>0</v>
      </c>
      <c r="EA38" s="4">
        <f>SUM(CE38:CN38)*Inicio!$W$12</f>
        <v>0</v>
      </c>
      <c r="EB38" s="4">
        <f>SUM(CO38:CX38)*Inicio!$W$13</f>
        <v>0</v>
      </c>
      <c r="EC38" s="4">
        <f>SUM(CY38:DH38)*Inicio!$W$11</f>
        <v>0</v>
      </c>
      <c r="ED38" s="4">
        <f>SUM(DI38:DR38)*Inicio!$W$12</f>
        <v>0</v>
      </c>
      <c r="EE38" s="4">
        <f t="shared" si="0"/>
        <v>0</v>
      </c>
      <c r="EF38" s="4">
        <f t="shared" si="2"/>
        <v>0</v>
      </c>
      <c r="EG38" s="4">
        <f t="shared" si="1"/>
        <v>0</v>
      </c>
      <c r="EH38" s="4">
        <f t="shared" si="2"/>
        <v>0</v>
      </c>
      <c r="EI38" s="4">
        <f>EE38+S!EE38+E!EE38+O!EE38</f>
        <v>0</v>
      </c>
      <c r="EJ38" s="4">
        <f t="shared" ref="EJ38:EL38" si="27">SUM(EI35:EI38)</f>
        <v>0</v>
      </c>
      <c r="EK38" s="4">
        <f>EG38+S!EG38+E!EG38+O!EG38</f>
        <v>0</v>
      </c>
      <c r="EL38" s="4">
        <f t="shared" si="27"/>
        <v>0</v>
      </c>
    </row>
    <row r="39" spans="2:142" ht="20.25" customHeight="1" x14ac:dyDescent="0.3">
      <c r="B39" s="28" t="s">
        <v>55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4">
        <f>SUM(C39:L39)*Inicio!$W$4</f>
        <v>0</v>
      </c>
      <c r="DT39" s="4">
        <f>SUM(M39:V39)*Inicio!$W$5</f>
        <v>0</v>
      </c>
      <c r="DU39" s="4">
        <f>SUM(W39:AF39)*Inicio!$W$6</f>
        <v>0</v>
      </c>
      <c r="DV39" s="4">
        <f>SUM(AG39:AP39)*Inicio!$W$7</f>
        <v>0</v>
      </c>
      <c r="DW39" s="4">
        <f>SUM(AQ39:AZ39)*Inicio!$W$8</f>
        <v>0</v>
      </c>
      <c r="DX39" s="4">
        <f>SUM(BA39:BJ39)*Inicio!$W$9</f>
        <v>0</v>
      </c>
      <c r="DY39" s="4">
        <f>SUM(BK39:BT39)*Inicio!$W$10</f>
        <v>0</v>
      </c>
      <c r="DZ39" s="4">
        <f>SUM(BU39:CD39)*Inicio!$W$11</f>
        <v>0</v>
      </c>
      <c r="EA39" s="4">
        <f>SUM(CE39:CN39)*Inicio!$W$12</f>
        <v>0</v>
      </c>
      <c r="EB39" s="4">
        <f>SUM(CO39:CX39)*Inicio!$W$13</f>
        <v>0</v>
      </c>
      <c r="EC39" s="4">
        <f>SUM(CY39:DH39)*Inicio!$W$11</f>
        <v>0</v>
      </c>
      <c r="ED39" s="4">
        <f>SUM(DI39:DR39)*Inicio!$W$12</f>
        <v>0</v>
      </c>
      <c r="EE39" s="4">
        <f t="shared" si="0"/>
        <v>0</v>
      </c>
      <c r="EF39" s="4">
        <f t="shared" si="2"/>
        <v>0</v>
      </c>
      <c r="EG39" s="4">
        <f t="shared" si="1"/>
        <v>0</v>
      </c>
      <c r="EH39" s="4">
        <f t="shared" si="2"/>
        <v>0</v>
      </c>
      <c r="EI39" s="4">
        <f>EE39+S!EE39+E!EE39+O!EE39</f>
        <v>0</v>
      </c>
      <c r="EJ39" s="4">
        <f t="shared" ref="EJ39:EL39" si="28">SUM(EI36:EI39)</f>
        <v>0</v>
      </c>
      <c r="EK39" s="4">
        <f>EG39+S!EG39+E!EG39+O!EG39</f>
        <v>0</v>
      </c>
      <c r="EL39" s="4">
        <f t="shared" si="28"/>
        <v>0</v>
      </c>
    </row>
    <row r="40" spans="2:142" ht="20.25" customHeight="1" x14ac:dyDescent="0.3">
      <c r="B40" s="26" t="s">
        <v>56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5">
        <f>SUM(C40:L40)*Inicio!$W$4</f>
        <v>0</v>
      </c>
      <c r="DT40" s="5">
        <f>SUM(M40:V40)*Inicio!$W$5</f>
        <v>0</v>
      </c>
      <c r="DU40" s="5">
        <f>SUM(W40:AF40)*Inicio!$W$6</f>
        <v>0</v>
      </c>
      <c r="DV40" s="5">
        <f>SUM(AG40:AP40)*Inicio!$W$7</f>
        <v>0</v>
      </c>
      <c r="DW40" s="5">
        <f>SUM(AQ40:AZ40)*Inicio!$W$8</f>
        <v>0</v>
      </c>
      <c r="DX40" s="5">
        <f>SUM(BA40:BJ40)*Inicio!$W$9</f>
        <v>0</v>
      </c>
      <c r="DY40" s="5">
        <f>SUM(BK40:BT40)*Inicio!$W$10</f>
        <v>0</v>
      </c>
      <c r="DZ40" s="5">
        <f>SUM(BU40:CD40)*Inicio!$W$11</f>
        <v>0</v>
      </c>
      <c r="EA40" s="5">
        <f>SUM(CE40:CN40)*Inicio!$W$12</f>
        <v>0</v>
      </c>
      <c r="EB40" s="5">
        <f>SUM(CO40:CX40)*Inicio!$W$13</f>
        <v>0</v>
      </c>
      <c r="EC40" s="5">
        <f>SUM(CY40:DH40)*Inicio!$W$11</f>
        <v>0</v>
      </c>
      <c r="ED40" s="5">
        <f>SUM(DI40:DR40)*Inicio!$W$12</f>
        <v>0</v>
      </c>
      <c r="EE40" s="5">
        <f t="shared" si="0"/>
        <v>0</v>
      </c>
      <c r="EF40" s="5">
        <f t="shared" si="2"/>
        <v>0</v>
      </c>
      <c r="EG40" s="5">
        <f t="shared" si="1"/>
        <v>0</v>
      </c>
      <c r="EH40" s="5">
        <f t="shared" si="2"/>
        <v>0</v>
      </c>
      <c r="EI40" s="5">
        <f>EE40+S!EE40+E!EE40+O!EE40</f>
        <v>0</v>
      </c>
      <c r="EJ40" s="5">
        <f t="shared" ref="EJ40:EL40" si="29">SUM(EI37:EI40)</f>
        <v>0</v>
      </c>
      <c r="EK40" s="5">
        <f>EG40+S!EG40+E!EG40+O!EG40</f>
        <v>0</v>
      </c>
      <c r="EL40" s="5">
        <f t="shared" si="29"/>
        <v>0</v>
      </c>
    </row>
    <row r="41" spans="2:142" ht="20.25" customHeight="1" x14ac:dyDescent="0.3">
      <c r="B41" s="27" t="s">
        <v>57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3">
        <f>SUM(C41:L41)*Inicio!$W$4</f>
        <v>0</v>
      </c>
      <c r="DT41" s="3">
        <f>SUM(M41:V41)*Inicio!$W$5</f>
        <v>0</v>
      </c>
      <c r="DU41" s="3">
        <f>SUM(W41:AF41)*Inicio!$W$6</f>
        <v>0</v>
      </c>
      <c r="DV41" s="3">
        <f>SUM(AG41:AP41)*Inicio!$W$7</f>
        <v>0</v>
      </c>
      <c r="DW41" s="3">
        <f>SUM(AQ41:AZ41)*Inicio!$W$8</f>
        <v>0</v>
      </c>
      <c r="DX41" s="3">
        <f>SUM(BA41:BJ41)*Inicio!$W$9</f>
        <v>0</v>
      </c>
      <c r="DY41" s="3">
        <f>SUM(BK41:BT41)*Inicio!$W$10</f>
        <v>0</v>
      </c>
      <c r="DZ41" s="3">
        <f>SUM(BU41:CD41)*Inicio!$W$11</f>
        <v>0</v>
      </c>
      <c r="EA41" s="3">
        <f>SUM(CE41:CN41)*Inicio!$W$12</f>
        <v>0</v>
      </c>
      <c r="EB41" s="3">
        <f>SUM(CO41:CX41)*Inicio!$W$13</f>
        <v>0</v>
      </c>
      <c r="EC41" s="3">
        <f>SUM(CY41:DH41)*Inicio!$W$11</f>
        <v>0</v>
      </c>
      <c r="ED41" s="3">
        <f>SUM(DI41:DR41)*Inicio!$W$12</f>
        <v>0</v>
      </c>
      <c r="EE41" s="3">
        <f t="shared" si="0"/>
        <v>0</v>
      </c>
      <c r="EF41" s="3">
        <f t="shared" si="2"/>
        <v>0</v>
      </c>
      <c r="EG41" s="3">
        <f t="shared" si="1"/>
        <v>0</v>
      </c>
      <c r="EH41" s="3">
        <f t="shared" si="2"/>
        <v>0</v>
      </c>
      <c r="EI41" s="3">
        <f>EE41+S!EE41+E!EE41+O!EE41</f>
        <v>0</v>
      </c>
      <c r="EJ41" s="3">
        <f t="shared" ref="EJ41:EL41" si="30">SUM(EI38:EI41)</f>
        <v>0</v>
      </c>
      <c r="EK41" s="3">
        <f>EG41+S!EG41+E!EG41+O!EG41</f>
        <v>0</v>
      </c>
      <c r="EL41" s="3">
        <f t="shared" si="30"/>
        <v>0</v>
      </c>
    </row>
    <row r="42" spans="2:142" ht="20.25" customHeight="1" x14ac:dyDescent="0.3">
      <c r="B42" s="28" t="s">
        <v>58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4">
        <f>SUM(C42:L42)*Inicio!$W$4</f>
        <v>0</v>
      </c>
      <c r="DT42" s="4">
        <f>SUM(M42:V42)*Inicio!$W$5</f>
        <v>0</v>
      </c>
      <c r="DU42" s="4">
        <f>SUM(W42:AF42)*Inicio!$W$6</f>
        <v>0</v>
      </c>
      <c r="DV42" s="4">
        <f>SUM(AG42:AP42)*Inicio!$W$7</f>
        <v>0</v>
      </c>
      <c r="DW42" s="4">
        <f>SUM(AQ42:AZ42)*Inicio!$W$8</f>
        <v>0</v>
      </c>
      <c r="DX42" s="4">
        <f>SUM(BA42:BJ42)*Inicio!$W$9</f>
        <v>0</v>
      </c>
      <c r="DY42" s="4">
        <f>SUM(BK42:BT42)*Inicio!$W$10</f>
        <v>0</v>
      </c>
      <c r="DZ42" s="4">
        <f>SUM(BU42:CD42)*Inicio!$W$11</f>
        <v>0</v>
      </c>
      <c r="EA42" s="4">
        <f>SUM(CE42:CN42)*Inicio!$W$12</f>
        <v>0</v>
      </c>
      <c r="EB42" s="4">
        <f>SUM(CO42:CX42)*Inicio!$W$13</f>
        <v>0</v>
      </c>
      <c r="EC42" s="4">
        <f>SUM(CY42:DH42)*Inicio!$W$11</f>
        <v>0</v>
      </c>
      <c r="ED42" s="4">
        <f>SUM(DI42:DR42)*Inicio!$W$12</f>
        <v>0</v>
      </c>
      <c r="EE42" s="4">
        <f t="shared" si="0"/>
        <v>0</v>
      </c>
      <c r="EF42" s="4">
        <f t="shared" si="2"/>
        <v>0</v>
      </c>
      <c r="EG42" s="4">
        <f t="shared" si="1"/>
        <v>0</v>
      </c>
      <c r="EH42" s="4">
        <f t="shared" si="2"/>
        <v>0</v>
      </c>
      <c r="EI42" s="4">
        <f>EE42+S!EE42+E!EE42+O!EE42</f>
        <v>0</v>
      </c>
      <c r="EJ42" s="4">
        <f t="shared" ref="EJ42:EL42" si="31">SUM(EI39:EI42)</f>
        <v>0</v>
      </c>
      <c r="EK42" s="4">
        <f>EG42+S!EG42+E!EG42+O!EG42</f>
        <v>0</v>
      </c>
      <c r="EL42" s="4">
        <f t="shared" si="31"/>
        <v>0</v>
      </c>
    </row>
    <row r="43" spans="2:142" ht="20.25" customHeight="1" x14ac:dyDescent="0.3">
      <c r="B43" s="28" t="s">
        <v>59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4">
        <f>SUM(C43:L43)*Inicio!$W$4</f>
        <v>0</v>
      </c>
      <c r="DT43" s="4">
        <f>SUM(M43:V43)*Inicio!$W$5</f>
        <v>0</v>
      </c>
      <c r="DU43" s="4">
        <f>SUM(W43:AF43)*Inicio!$W$6</f>
        <v>0</v>
      </c>
      <c r="DV43" s="4">
        <f>SUM(AG43:AP43)*Inicio!$W$7</f>
        <v>0</v>
      </c>
      <c r="DW43" s="4">
        <f>SUM(AQ43:AZ43)*Inicio!$W$8</f>
        <v>0</v>
      </c>
      <c r="DX43" s="4">
        <f>SUM(BA43:BJ43)*Inicio!$W$9</f>
        <v>0</v>
      </c>
      <c r="DY43" s="4">
        <f>SUM(BK43:BT43)*Inicio!$W$10</f>
        <v>0</v>
      </c>
      <c r="DZ43" s="4">
        <f>SUM(BU43:CD43)*Inicio!$W$11</f>
        <v>0</v>
      </c>
      <c r="EA43" s="4">
        <f>SUM(CE43:CN43)*Inicio!$W$12</f>
        <v>0</v>
      </c>
      <c r="EB43" s="4">
        <f>SUM(CO43:CX43)*Inicio!$W$13</f>
        <v>0</v>
      </c>
      <c r="EC43" s="4">
        <f>SUM(CY43:DH43)*Inicio!$W$11</f>
        <v>0</v>
      </c>
      <c r="ED43" s="4">
        <f>SUM(DI43:DR43)*Inicio!$W$12</f>
        <v>0</v>
      </c>
      <c r="EE43" s="4">
        <f t="shared" si="0"/>
        <v>0</v>
      </c>
      <c r="EF43" s="4">
        <f t="shared" si="2"/>
        <v>0</v>
      </c>
      <c r="EG43" s="4">
        <f t="shared" si="1"/>
        <v>0</v>
      </c>
      <c r="EH43" s="4">
        <f t="shared" si="2"/>
        <v>0</v>
      </c>
      <c r="EI43" s="4">
        <f>EE43+S!EE43+E!EE43+O!EE43</f>
        <v>0</v>
      </c>
      <c r="EJ43" s="4">
        <f t="shared" ref="EJ43:EL43" si="32">SUM(EI40:EI43)</f>
        <v>0</v>
      </c>
      <c r="EK43" s="4">
        <f>EG43+S!EG43+E!EG43+O!EG43</f>
        <v>0</v>
      </c>
      <c r="EL43" s="4">
        <f t="shared" si="32"/>
        <v>0</v>
      </c>
    </row>
    <row r="44" spans="2:142" ht="20.25" customHeight="1" x14ac:dyDescent="0.3">
      <c r="B44" s="26" t="s">
        <v>60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5">
        <f>SUM(C44:L44)*Inicio!$W$4</f>
        <v>0</v>
      </c>
      <c r="DT44" s="5">
        <f>SUM(M44:V44)*Inicio!$W$5</f>
        <v>0</v>
      </c>
      <c r="DU44" s="5">
        <f>SUM(W44:AF44)*Inicio!$W$6</f>
        <v>0</v>
      </c>
      <c r="DV44" s="5">
        <f>SUM(AG44:AP44)*Inicio!$W$7</f>
        <v>0</v>
      </c>
      <c r="DW44" s="5">
        <f>SUM(AQ44:AZ44)*Inicio!$W$8</f>
        <v>0</v>
      </c>
      <c r="DX44" s="5">
        <f>SUM(BA44:BJ44)*Inicio!$W$9</f>
        <v>0</v>
      </c>
      <c r="DY44" s="5">
        <f>SUM(BK44:BT44)*Inicio!$W$10</f>
        <v>0</v>
      </c>
      <c r="DZ44" s="5">
        <f>SUM(BU44:CD44)*Inicio!$W$11</f>
        <v>0</v>
      </c>
      <c r="EA44" s="5">
        <f>SUM(CE44:CN44)*Inicio!$W$12</f>
        <v>0</v>
      </c>
      <c r="EB44" s="5">
        <f>SUM(CO44:CX44)*Inicio!$W$13</f>
        <v>0</v>
      </c>
      <c r="EC44" s="5">
        <f>SUM(CY44:DH44)*Inicio!$W$11</f>
        <v>0</v>
      </c>
      <c r="ED44" s="5">
        <f>SUM(DI44:DR44)*Inicio!$W$12</f>
        <v>0</v>
      </c>
      <c r="EE44" s="5">
        <f t="shared" si="0"/>
        <v>0</v>
      </c>
      <c r="EF44" s="5">
        <f t="shared" si="2"/>
        <v>0</v>
      </c>
      <c r="EG44" s="5">
        <f t="shared" si="1"/>
        <v>0</v>
      </c>
      <c r="EH44" s="5">
        <f t="shared" si="2"/>
        <v>0</v>
      </c>
      <c r="EI44" s="5">
        <f>EE44+S!EE44+E!EE44+O!EE44</f>
        <v>0</v>
      </c>
      <c r="EJ44" s="5">
        <f t="shared" ref="EJ44:EL44" si="33">SUM(EI41:EI44)</f>
        <v>0</v>
      </c>
      <c r="EK44" s="5">
        <f>EG44+S!EG44+E!EG44+O!EG44</f>
        <v>0</v>
      </c>
      <c r="EL44" s="5">
        <f t="shared" si="33"/>
        <v>0</v>
      </c>
    </row>
    <row r="45" spans="2:142" ht="20.25" customHeight="1" x14ac:dyDescent="0.3">
      <c r="B45" s="27" t="s">
        <v>61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3">
        <f>SUM(C45:L45)*Inicio!$W$4</f>
        <v>0</v>
      </c>
      <c r="DT45" s="3">
        <f>SUM(M45:V45)*Inicio!$W$5</f>
        <v>0</v>
      </c>
      <c r="DU45" s="3">
        <f>SUM(W45:AF45)*Inicio!$W$6</f>
        <v>0</v>
      </c>
      <c r="DV45" s="3">
        <f>SUM(AG45:AP45)*Inicio!$W$7</f>
        <v>0</v>
      </c>
      <c r="DW45" s="3">
        <f>SUM(AQ45:AZ45)*Inicio!$W$8</f>
        <v>0</v>
      </c>
      <c r="DX45" s="3">
        <f>SUM(BA45:BJ45)*Inicio!$W$9</f>
        <v>0</v>
      </c>
      <c r="DY45" s="3">
        <f>SUM(BK45:BT45)*Inicio!$W$10</f>
        <v>0</v>
      </c>
      <c r="DZ45" s="3">
        <f>SUM(BU45:CD45)*Inicio!$W$11</f>
        <v>0</v>
      </c>
      <c r="EA45" s="3">
        <f>SUM(CE45:CN45)*Inicio!$W$12</f>
        <v>0</v>
      </c>
      <c r="EB45" s="3">
        <f>SUM(CO45:CX45)*Inicio!$W$13</f>
        <v>0</v>
      </c>
      <c r="EC45" s="3">
        <f>SUM(CY45:DH45)*Inicio!$W$11</f>
        <v>0</v>
      </c>
      <c r="ED45" s="3">
        <f>SUM(DI45:DR45)*Inicio!$W$12</f>
        <v>0</v>
      </c>
      <c r="EE45" s="3">
        <f t="shared" si="0"/>
        <v>0</v>
      </c>
      <c r="EF45" s="3">
        <f t="shared" si="2"/>
        <v>0</v>
      </c>
      <c r="EG45" s="3">
        <f t="shared" si="1"/>
        <v>0</v>
      </c>
      <c r="EH45" s="3">
        <f t="shared" si="2"/>
        <v>0</v>
      </c>
      <c r="EI45" s="3">
        <f>EE45+S!EE45+E!EE45+O!EE45</f>
        <v>0</v>
      </c>
      <c r="EJ45" s="3">
        <f t="shared" ref="EJ45:EL45" si="34">SUM(EI42:EI45)</f>
        <v>0</v>
      </c>
      <c r="EK45" s="3">
        <f>EG45+S!EG45+E!EG45+O!EG45</f>
        <v>0</v>
      </c>
      <c r="EL45" s="3">
        <f t="shared" si="34"/>
        <v>0</v>
      </c>
    </row>
    <row r="46" spans="2:142" ht="20.25" customHeight="1" x14ac:dyDescent="0.3">
      <c r="B46" s="28" t="s">
        <v>62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4">
        <f>SUM(C46:L46)*Inicio!$W$4</f>
        <v>0</v>
      </c>
      <c r="DT46" s="4">
        <f>SUM(M46:V46)*Inicio!$W$5</f>
        <v>0</v>
      </c>
      <c r="DU46" s="4">
        <f>SUM(W46:AF46)*Inicio!$W$6</f>
        <v>0</v>
      </c>
      <c r="DV46" s="4">
        <f>SUM(AG46:AP46)*Inicio!$W$7</f>
        <v>0</v>
      </c>
      <c r="DW46" s="4">
        <f>SUM(AQ46:AZ46)*Inicio!$W$8</f>
        <v>0</v>
      </c>
      <c r="DX46" s="4">
        <f>SUM(BA46:BJ46)*Inicio!$W$9</f>
        <v>0</v>
      </c>
      <c r="DY46" s="4">
        <f>SUM(BK46:BT46)*Inicio!$W$10</f>
        <v>0</v>
      </c>
      <c r="DZ46" s="4">
        <f>SUM(BU46:CD46)*Inicio!$W$11</f>
        <v>0</v>
      </c>
      <c r="EA46" s="4">
        <f>SUM(CE46:CN46)*Inicio!$W$12</f>
        <v>0</v>
      </c>
      <c r="EB46" s="4">
        <f>SUM(CO46:CX46)*Inicio!$W$13</f>
        <v>0</v>
      </c>
      <c r="EC46" s="4">
        <f>SUM(CY46:DH46)*Inicio!$W$11</f>
        <v>0</v>
      </c>
      <c r="ED46" s="4">
        <f>SUM(DI46:DR46)*Inicio!$W$12</f>
        <v>0</v>
      </c>
      <c r="EE46" s="4">
        <f t="shared" si="0"/>
        <v>0</v>
      </c>
      <c r="EF46" s="4">
        <f t="shared" si="2"/>
        <v>0</v>
      </c>
      <c r="EG46" s="4">
        <f t="shared" si="1"/>
        <v>0</v>
      </c>
      <c r="EH46" s="4">
        <f t="shared" si="2"/>
        <v>0</v>
      </c>
      <c r="EI46" s="4">
        <f>EE46+S!EE46+E!EE46+O!EE46</f>
        <v>0</v>
      </c>
      <c r="EJ46" s="4">
        <f t="shared" ref="EJ46:EL46" si="35">SUM(EI43:EI46)</f>
        <v>0</v>
      </c>
      <c r="EK46" s="4">
        <f>EG46+S!EG46+E!EG46+O!EG46</f>
        <v>0</v>
      </c>
      <c r="EL46" s="4">
        <f t="shared" si="35"/>
        <v>0</v>
      </c>
    </row>
    <row r="47" spans="2:142" ht="20.25" customHeight="1" x14ac:dyDescent="0.3">
      <c r="B47" s="28" t="s">
        <v>63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4">
        <f>SUM(C47:L47)*Inicio!$W$4</f>
        <v>0</v>
      </c>
      <c r="DT47" s="4">
        <f>SUM(M47:V47)*Inicio!$W$5</f>
        <v>0</v>
      </c>
      <c r="DU47" s="4">
        <f>SUM(W47:AF47)*Inicio!$W$6</f>
        <v>0</v>
      </c>
      <c r="DV47" s="4">
        <f>SUM(AG47:AP47)*Inicio!$W$7</f>
        <v>0</v>
      </c>
      <c r="DW47" s="4">
        <f>SUM(AQ47:AZ47)*Inicio!$W$8</f>
        <v>0</v>
      </c>
      <c r="DX47" s="4">
        <f>SUM(BA47:BJ47)*Inicio!$W$9</f>
        <v>0</v>
      </c>
      <c r="DY47" s="4">
        <f>SUM(BK47:BT47)*Inicio!$W$10</f>
        <v>0</v>
      </c>
      <c r="DZ47" s="4">
        <f>SUM(BU47:CD47)*Inicio!$W$11</f>
        <v>0</v>
      </c>
      <c r="EA47" s="4">
        <f>SUM(CE47:CN47)*Inicio!$W$12</f>
        <v>0</v>
      </c>
      <c r="EB47" s="4">
        <f>SUM(CO47:CX47)*Inicio!$W$13</f>
        <v>0</v>
      </c>
      <c r="EC47" s="4">
        <f>SUM(CY47:DH47)*Inicio!$W$11</f>
        <v>0</v>
      </c>
      <c r="ED47" s="4">
        <f>SUM(DI47:DR47)*Inicio!$W$12</f>
        <v>0</v>
      </c>
      <c r="EE47" s="4">
        <f t="shared" si="0"/>
        <v>0</v>
      </c>
      <c r="EF47" s="4">
        <f t="shared" si="2"/>
        <v>0</v>
      </c>
      <c r="EG47" s="4">
        <f t="shared" si="1"/>
        <v>0</v>
      </c>
      <c r="EH47" s="4">
        <f t="shared" si="2"/>
        <v>0</v>
      </c>
      <c r="EI47" s="4">
        <f>EE47+S!EE47+E!EE47+O!EE47</f>
        <v>0</v>
      </c>
      <c r="EJ47" s="4">
        <f t="shared" ref="EJ47:EL47" si="36">SUM(EI44:EI47)</f>
        <v>0</v>
      </c>
      <c r="EK47" s="4">
        <f>EG47+S!EG47+E!EG47+O!EG47</f>
        <v>0</v>
      </c>
      <c r="EL47" s="4">
        <f t="shared" si="36"/>
        <v>0</v>
      </c>
    </row>
    <row r="48" spans="2:142" ht="20.25" customHeight="1" x14ac:dyDescent="0.3">
      <c r="B48" s="26" t="s">
        <v>64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5">
        <f>SUM(C48:L48)*Inicio!$W$4</f>
        <v>0</v>
      </c>
      <c r="DT48" s="5">
        <f>SUM(M48:V48)*Inicio!$W$5</f>
        <v>0</v>
      </c>
      <c r="DU48" s="5">
        <f>SUM(W48:AF48)*Inicio!$W$6</f>
        <v>0</v>
      </c>
      <c r="DV48" s="5">
        <f>SUM(AG48:AP48)*Inicio!$W$7</f>
        <v>0</v>
      </c>
      <c r="DW48" s="5">
        <f>SUM(AQ48:AZ48)*Inicio!$W$8</f>
        <v>0</v>
      </c>
      <c r="DX48" s="5">
        <f>SUM(BA48:BJ48)*Inicio!$W$9</f>
        <v>0</v>
      </c>
      <c r="DY48" s="5">
        <f>SUM(BK48:BT48)*Inicio!$W$10</f>
        <v>0</v>
      </c>
      <c r="DZ48" s="5">
        <f>SUM(BU48:CD48)*Inicio!$W$11</f>
        <v>0</v>
      </c>
      <c r="EA48" s="5">
        <f>SUM(CE48:CN48)*Inicio!$W$12</f>
        <v>0</v>
      </c>
      <c r="EB48" s="5">
        <f>SUM(CO48:CX48)*Inicio!$W$13</f>
        <v>0</v>
      </c>
      <c r="EC48" s="5">
        <f>SUM(CY48:DH48)*Inicio!$W$11</f>
        <v>0</v>
      </c>
      <c r="ED48" s="5">
        <f>SUM(DI48:DR48)*Inicio!$W$12</f>
        <v>0</v>
      </c>
      <c r="EE48" s="5">
        <f t="shared" si="0"/>
        <v>0</v>
      </c>
      <c r="EF48" s="5">
        <f t="shared" si="2"/>
        <v>0</v>
      </c>
      <c r="EG48" s="5">
        <f t="shared" si="1"/>
        <v>0</v>
      </c>
      <c r="EH48" s="5">
        <f t="shared" si="2"/>
        <v>0</v>
      </c>
      <c r="EI48" s="5">
        <f>EE48+S!EE48+E!EE48+O!EE48</f>
        <v>0</v>
      </c>
      <c r="EJ48" s="5">
        <f t="shared" ref="EJ48:EL48" si="37">SUM(EI45:EI48)</f>
        <v>0</v>
      </c>
      <c r="EK48" s="5">
        <f>EG48+S!EG48+E!EG48+O!EG48</f>
        <v>0</v>
      </c>
      <c r="EL48" s="5">
        <f t="shared" si="37"/>
        <v>0</v>
      </c>
    </row>
    <row r="49" spans="2:142" ht="20.25" customHeight="1" x14ac:dyDescent="0.3">
      <c r="B49" s="27" t="s">
        <v>65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3">
        <f>SUM(C49:L49)*Inicio!$W$4</f>
        <v>0</v>
      </c>
      <c r="DT49" s="3">
        <f>SUM(M49:V49)*Inicio!$W$5</f>
        <v>0</v>
      </c>
      <c r="DU49" s="3">
        <f>SUM(W49:AF49)*Inicio!$W$6</f>
        <v>0</v>
      </c>
      <c r="DV49" s="3">
        <f>SUM(AG49:AP49)*Inicio!$W$7</f>
        <v>0</v>
      </c>
      <c r="DW49" s="3">
        <f>SUM(AQ49:AZ49)*Inicio!$W$8</f>
        <v>0</v>
      </c>
      <c r="DX49" s="3">
        <f>SUM(BA49:BJ49)*Inicio!$W$9</f>
        <v>0</v>
      </c>
      <c r="DY49" s="3">
        <f>SUM(BK49:BT49)*Inicio!$W$10</f>
        <v>0</v>
      </c>
      <c r="DZ49" s="3">
        <f>SUM(BU49:CD49)*Inicio!$W$11</f>
        <v>0</v>
      </c>
      <c r="EA49" s="3">
        <f>SUM(CE49:CN49)*Inicio!$W$12</f>
        <v>0</v>
      </c>
      <c r="EB49" s="3">
        <f>SUM(CO49:CX49)*Inicio!$W$13</f>
        <v>0</v>
      </c>
      <c r="EC49" s="3">
        <f>SUM(CY49:DH49)*Inicio!$W$11</f>
        <v>0</v>
      </c>
      <c r="ED49" s="3">
        <f>SUM(DI49:DR49)*Inicio!$W$12</f>
        <v>0</v>
      </c>
      <c r="EE49" s="3">
        <f t="shared" si="0"/>
        <v>0</v>
      </c>
      <c r="EF49" s="3">
        <f t="shared" si="2"/>
        <v>0</v>
      </c>
      <c r="EG49" s="3">
        <f t="shared" si="1"/>
        <v>0</v>
      </c>
      <c r="EH49" s="3">
        <f t="shared" si="2"/>
        <v>0</v>
      </c>
      <c r="EI49" s="3">
        <f>EE49+S!EE49+E!EE49+O!EE49</f>
        <v>0</v>
      </c>
      <c r="EJ49" s="3">
        <f t="shared" ref="EJ49:EL49" si="38">SUM(EI46:EI49)</f>
        <v>0</v>
      </c>
      <c r="EK49" s="3">
        <f>EG49+S!EG49+E!EG49+O!EG49</f>
        <v>0</v>
      </c>
      <c r="EL49" s="3">
        <f t="shared" si="38"/>
        <v>0</v>
      </c>
    </row>
    <row r="50" spans="2:142" ht="20.25" customHeight="1" x14ac:dyDescent="0.3">
      <c r="B50" s="28" t="s">
        <v>66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4">
        <f>SUM(C50:L50)*Inicio!$W$4</f>
        <v>0</v>
      </c>
      <c r="DT50" s="4">
        <f>SUM(M50:V50)*Inicio!$W$5</f>
        <v>0</v>
      </c>
      <c r="DU50" s="4">
        <f>SUM(W50:AF50)*Inicio!$W$6</f>
        <v>0</v>
      </c>
      <c r="DV50" s="4">
        <f>SUM(AG50:AP50)*Inicio!$W$7</f>
        <v>0</v>
      </c>
      <c r="DW50" s="4">
        <f>SUM(AQ50:AZ50)*Inicio!$W$8</f>
        <v>0</v>
      </c>
      <c r="DX50" s="4">
        <f>SUM(BA50:BJ50)*Inicio!$W$9</f>
        <v>0</v>
      </c>
      <c r="DY50" s="4">
        <f>SUM(BK50:BT50)*Inicio!$W$10</f>
        <v>0</v>
      </c>
      <c r="DZ50" s="4">
        <f>SUM(BU50:CD50)*Inicio!$W$11</f>
        <v>0</v>
      </c>
      <c r="EA50" s="4">
        <f>SUM(CE50:CN50)*Inicio!$W$12</f>
        <v>0</v>
      </c>
      <c r="EB50" s="4">
        <f>SUM(CO50:CX50)*Inicio!$W$13</f>
        <v>0</v>
      </c>
      <c r="EC50" s="4">
        <f>SUM(CY50:DH50)*Inicio!$W$11</f>
        <v>0</v>
      </c>
      <c r="ED50" s="4">
        <f>SUM(DI50:DR50)*Inicio!$W$12</f>
        <v>0</v>
      </c>
      <c r="EE50" s="4">
        <f t="shared" si="0"/>
        <v>0</v>
      </c>
      <c r="EF50" s="4">
        <f t="shared" si="2"/>
        <v>0</v>
      </c>
      <c r="EG50" s="4">
        <f t="shared" si="1"/>
        <v>0</v>
      </c>
      <c r="EH50" s="4">
        <f t="shared" si="2"/>
        <v>0</v>
      </c>
      <c r="EI50" s="4">
        <f>EE50+S!EE50+E!EE50+O!EE50</f>
        <v>0</v>
      </c>
      <c r="EJ50" s="4">
        <f t="shared" ref="EJ50:EL50" si="39">SUM(EI47:EI50)</f>
        <v>0</v>
      </c>
      <c r="EK50" s="4">
        <f>EG50+S!EG50+E!EG50+O!EG50</f>
        <v>0</v>
      </c>
      <c r="EL50" s="4">
        <f t="shared" si="39"/>
        <v>0</v>
      </c>
    </row>
    <row r="51" spans="2:142" ht="20.25" customHeight="1" x14ac:dyDescent="0.3">
      <c r="B51" s="28" t="s">
        <v>67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4">
        <f>SUM(C51:L51)*Inicio!$W$4</f>
        <v>0</v>
      </c>
      <c r="DT51" s="4">
        <f>SUM(M51:V51)*Inicio!$W$5</f>
        <v>0</v>
      </c>
      <c r="DU51" s="4">
        <f>SUM(W51:AF51)*Inicio!$W$6</f>
        <v>0</v>
      </c>
      <c r="DV51" s="4">
        <f>SUM(AG51:AP51)*Inicio!$W$7</f>
        <v>0</v>
      </c>
      <c r="DW51" s="4">
        <f>SUM(AQ51:AZ51)*Inicio!$W$8</f>
        <v>0</v>
      </c>
      <c r="DX51" s="4">
        <f>SUM(BA51:BJ51)*Inicio!$W$9</f>
        <v>0</v>
      </c>
      <c r="DY51" s="4">
        <f>SUM(BK51:BT51)*Inicio!$W$10</f>
        <v>0</v>
      </c>
      <c r="DZ51" s="4">
        <f>SUM(BU51:CD51)*Inicio!$W$11</f>
        <v>0</v>
      </c>
      <c r="EA51" s="4">
        <f>SUM(CE51:CN51)*Inicio!$W$12</f>
        <v>0</v>
      </c>
      <c r="EB51" s="4">
        <f>SUM(CO51:CX51)*Inicio!$W$13</f>
        <v>0</v>
      </c>
      <c r="EC51" s="4">
        <f>SUM(CY51:DH51)*Inicio!$W$11</f>
        <v>0</v>
      </c>
      <c r="ED51" s="4">
        <f>SUM(DI51:DR51)*Inicio!$W$12</f>
        <v>0</v>
      </c>
      <c r="EE51" s="4">
        <f t="shared" si="0"/>
        <v>0</v>
      </c>
      <c r="EF51" s="4">
        <f t="shared" si="2"/>
        <v>0</v>
      </c>
      <c r="EG51" s="4">
        <f t="shared" si="1"/>
        <v>0</v>
      </c>
      <c r="EH51" s="4">
        <f t="shared" si="2"/>
        <v>0</v>
      </c>
      <c r="EI51" s="4">
        <f>EE51+S!EE51+E!EE51+O!EE51</f>
        <v>0</v>
      </c>
      <c r="EJ51" s="4">
        <f t="shared" ref="EJ51:EL51" si="40">SUM(EI48:EI51)</f>
        <v>0</v>
      </c>
      <c r="EK51" s="4">
        <f>EG51+S!EG51+E!EG51+O!EG51</f>
        <v>0</v>
      </c>
      <c r="EL51" s="4">
        <f t="shared" si="40"/>
        <v>0</v>
      </c>
    </row>
    <row r="52" spans="2:142" ht="20.25" customHeight="1" x14ac:dyDescent="0.3">
      <c r="B52" s="26" t="s">
        <v>68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5">
        <f>SUM(C52:L52)*Inicio!$W$4</f>
        <v>0</v>
      </c>
      <c r="DT52" s="5">
        <f>SUM(M52:V52)*Inicio!$W$5</f>
        <v>0</v>
      </c>
      <c r="DU52" s="5">
        <f>SUM(W52:AF52)*Inicio!$W$6</f>
        <v>0</v>
      </c>
      <c r="DV52" s="5">
        <f>SUM(AG52:AP52)*Inicio!$W$7</f>
        <v>0</v>
      </c>
      <c r="DW52" s="5">
        <f>SUM(AQ52:AZ52)*Inicio!$W$8</f>
        <v>0</v>
      </c>
      <c r="DX52" s="5">
        <f>SUM(BA52:BJ52)*Inicio!$W$9</f>
        <v>0</v>
      </c>
      <c r="DY52" s="5">
        <f>SUM(BK52:BT52)*Inicio!$W$10</f>
        <v>0</v>
      </c>
      <c r="DZ52" s="5">
        <f>SUM(BU52:CD52)*Inicio!$W$11</f>
        <v>0</v>
      </c>
      <c r="EA52" s="5">
        <f>SUM(CE52:CN52)*Inicio!$W$12</f>
        <v>0</v>
      </c>
      <c r="EB52" s="5">
        <f>SUM(CO52:CX52)*Inicio!$W$13</f>
        <v>0</v>
      </c>
      <c r="EC52" s="5">
        <f>SUM(CY52:DH52)*Inicio!$W$11</f>
        <v>0</v>
      </c>
      <c r="ED52" s="5">
        <f>SUM(DI52:DR52)*Inicio!$W$12</f>
        <v>0</v>
      </c>
      <c r="EE52" s="5">
        <f t="shared" si="0"/>
        <v>0</v>
      </c>
      <c r="EF52" s="5">
        <f t="shared" si="2"/>
        <v>0</v>
      </c>
      <c r="EG52" s="5">
        <f t="shared" si="1"/>
        <v>0</v>
      </c>
      <c r="EH52" s="5">
        <f t="shared" si="2"/>
        <v>0</v>
      </c>
      <c r="EI52" s="5">
        <f>EE52+S!EE52+E!EE52+O!EE52</f>
        <v>0</v>
      </c>
      <c r="EJ52" s="5">
        <f t="shared" ref="EJ52:EL52" si="41">SUM(EI49:EI52)</f>
        <v>0</v>
      </c>
      <c r="EK52" s="5">
        <f>EG52+S!EG52+E!EG52+O!EG52</f>
        <v>0</v>
      </c>
      <c r="EL52" s="5">
        <f t="shared" si="41"/>
        <v>0</v>
      </c>
    </row>
    <row r="53" spans="2:142" ht="20.25" customHeight="1" x14ac:dyDescent="0.3">
      <c r="B53" s="27" t="s">
        <v>69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4">
        <f>SUM(C53:L53)*Inicio!$W$4</f>
        <v>0</v>
      </c>
      <c r="DT53" s="4">
        <f>SUM(M53:V53)*Inicio!$W$5</f>
        <v>0</v>
      </c>
      <c r="DU53" s="4">
        <f>SUM(W53:AF53)*Inicio!$W$6</f>
        <v>0</v>
      </c>
      <c r="DV53" s="4">
        <f>SUM(AG53:AP53)*Inicio!$W$7</f>
        <v>0</v>
      </c>
      <c r="DW53" s="4">
        <f>SUM(AQ53:AZ53)*Inicio!$W$8</f>
        <v>0</v>
      </c>
      <c r="DX53" s="4">
        <f>SUM(BA53:BJ53)*Inicio!$W$9</f>
        <v>0</v>
      </c>
      <c r="DY53" s="4">
        <f>SUM(BK53:BT53)*Inicio!$W$10</f>
        <v>0</v>
      </c>
      <c r="DZ53" s="4">
        <f>SUM(BU53:CD53)*Inicio!$W$11</f>
        <v>0</v>
      </c>
      <c r="EA53" s="4">
        <f>SUM(CE53:CN53)*Inicio!$W$12</f>
        <v>0</v>
      </c>
      <c r="EB53" s="4">
        <f>SUM(CO53:CX53)*Inicio!$W$13</f>
        <v>0</v>
      </c>
      <c r="EC53" s="4">
        <f>SUM(CY53:DH53)*Inicio!$W$11</f>
        <v>0</v>
      </c>
      <c r="ED53" s="4">
        <f>SUM(DI53:DR53)*Inicio!$W$12</f>
        <v>0</v>
      </c>
      <c r="EE53" s="4">
        <f t="shared" si="0"/>
        <v>0</v>
      </c>
      <c r="EF53" s="4">
        <f t="shared" si="2"/>
        <v>0</v>
      </c>
      <c r="EG53" s="4">
        <f t="shared" si="1"/>
        <v>0</v>
      </c>
      <c r="EH53" s="4">
        <f t="shared" si="2"/>
        <v>0</v>
      </c>
      <c r="EI53" s="4">
        <f>EE53+S!EE53+E!EE53+O!EE53</f>
        <v>0</v>
      </c>
      <c r="EJ53" s="4">
        <f t="shared" ref="EJ53:EL53" si="42">SUM(EI50:EI53)</f>
        <v>0</v>
      </c>
      <c r="EK53" s="4">
        <f>EG53+S!EG53+E!EG53+O!EG53</f>
        <v>0</v>
      </c>
      <c r="EL53" s="4">
        <f t="shared" si="42"/>
        <v>0</v>
      </c>
    </row>
    <row r="54" spans="2:142" ht="20.25" customHeight="1" x14ac:dyDescent="0.3">
      <c r="B54" s="28" t="s">
        <v>70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4">
        <f>SUM(C54:L54)*Inicio!$W$4</f>
        <v>0</v>
      </c>
      <c r="DT54" s="4">
        <f>SUM(M54:V54)*Inicio!$W$5</f>
        <v>0</v>
      </c>
      <c r="DU54" s="4">
        <f>SUM(W54:AF54)*Inicio!$W$6</f>
        <v>0</v>
      </c>
      <c r="DV54" s="4">
        <f>SUM(AG54:AP54)*Inicio!$W$7</f>
        <v>0</v>
      </c>
      <c r="DW54" s="4">
        <f>SUM(AQ54:AZ54)*Inicio!$W$8</f>
        <v>0</v>
      </c>
      <c r="DX54" s="4">
        <f>SUM(BA54:BJ54)*Inicio!$W$9</f>
        <v>0</v>
      </c>
      <c r="DY54" s="4">
        <f>SUM(BK54:BT54)*Inicio!$W$10</f>
        <v>0</v>
      </c>
      <c r="DZ54" s="4">
        <f>SUM(BU54:CD54)*Inicio!$W$11</f>
        <v>0</v>
      </c>
      <c r="EA54" s="4">
        <f>SUM(CE54:CN54)*Inicio!$W$12</f>
        <v>0</v>
      </c>
      <c r="EB54" s="4">
        <f>SUM(CO54:CX54)*Inicio!$W$13</f>
        <v>0</v>
      </c>
      <c r="EC54" s="4">
        <f>SUM(CY54:DH54)*Inicio!$W$11</f>
        <v>0</v>
      </c>
      <c r="ED54" s="4">
        <f>SUM(DI54:DR54)*Inicio!$W$12</f>
        <v>0</v>
      </c>
      <c r="EE54" s="4">
        <f t="shared" si="0"/>
        <v>0</v>
      </c>
      <c r="EF54" s="4">
        <f t="shared" si="2"/>
        <v>0</v>
      </c>
      <c r="EG54" s="4">
        <f t="shared" si="1"/>
        <v>0</v>
      </c>
      <c r="EH54" s="4">
        <f t="shared" si="2"/>
        <v>0</v>
      </c>
      <c r="EI54" s="4">
        <f>EE54+S!EE54+E!EE54+O!EE54</f>
        <v>0</v>
      </c>
      <c r="EJ54" s="4">
        <f t="shared" ref="EJ54:EL54" si="43">SUM(EI51:EI54)</f>
        <v>0</v>
      </c>
      <c r="EK54" s="4">
        <f>EG54+S!EG54+E!EG54+O!EG54</f>
        <v>0</v>
      </c>
      <c r="EL54" s="4">
        <f t="shared" si="43"/>
        <v>0</v>
      </c>
    </row>
    <row r="55" spans="2:142" ht="20.25" customHeight="1" x14ac:dyDescent="0.3">
      <c r="B55" s="28" t="s">
        <v>71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4">
        <f>SUM(C55:L55)*Inicio!$W$4</f>
        <v>0</v>
      </c>
      <c r="DT55" s="4">
        <f>SUM(M55:V55)*Inicio!$W$5</f>
        <v>0</v>
      </c>
      <c r="DU55" s="4">
        <f>SUM(W55:AF55)*Inicio!$W$6</f>
        <v>0</v>
      </c>
      <c r="DV55" s="4">
        <f>SUM(AG55:AP55)*Inicio!$W$7</f>
        <v>0</v>
      </c>
      <c r="DW55" s="4">
        <f>SUM(AQ55:AZ55)*Inicio!$W$8</f>
        <v>0</v>
      </c>
      <c r="DX55" s="4">
        <f>SUM(BA55:BJ55)*Inicio!$W$9</f>
        <v>0</v>
      </c>
      <c r="DY55" s="4">
        <f>SUM(BK55:BT55)*Inicio!$W$10</f>
        <v>0</v>
      </c>
      <c r="DZ55" s="4">
        <f>SUM(BU55:CD55)*Inicio!$W$11</f>
        <v>0</v>
      </c>
      <c r="EA55" s="4">
        <f>SUM(CE55:CN55)*Inicio!$W$12</f>
        <v>0</v>
      </c>
      <c r="EB55" s="4">
        <f>SUM(CO55:CX55)*Inicio!$W$13</f>
        <v>0</v>
      </c>
      <c r="EC55" s="4">
        <f>SUM(CY55:DH55)*Inicio!$W$11</f>
        <v>0</v>
      </c>
      <c r="ED55" s="4">
        <f>SUM(DI55:DR55)*Inicio!$W$12</f>
        <v>0</v>
      </c>
      <c r="EE55" s="4">
        <f t="shared" si="0"/>
        <v>0</v>
      </c>
      <c r="EF55" s="4">
        <f t="shared" si="2"/>
        <v>0</v>
      </c>
      <c r="EG55" s="4">
        <f t="shared" si="1"/>
        <v>0</v>
      </c>
      <c r="EH55" s="4">
        <f t="shared" si="2"/>
        <v>0</v>
      </c>
      <c r="EI55" s="4">
        <f>EE55+S!EE55+E!EE55+O!EE55</f>
        <v>0</v>
      </c>
      <c r="EJ55" s="4">
        <f t="shared" ref="EJ55:EL55" si="44">SUM(EI52:EI55)</f>
        <v>0</v>
      </c>
      <c r="EK55" s="4">
        <f>EG55+S!EG55+E!EG55+O!EG55</f>
        <v>0</v>
      </c>
      <c r="EL55" s="4">
        <f t="shared" si="44"/>
        <v>0</v>
      </c>
    </row>
    <row r="56" spans="2:142" ht="20.25" customHeight="1" x14ac:dyDescent="0.3">
      <c r="B56" s="26" t="s">
        <v>72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4">
        <f>SUM(C56:L56)*Inicio!$W$4</f>
        <v>0</v>
      </c>
      <c r="DT56" s="4">
        <f>SUM(M56:V56)*Inicio!$W$5</f>
        <v>0</v>
      </c>
      <c r="DU56" s="4">
        <f>SUM(W56:AF56)*Inicio!$W$6</f>
        <v>0</v>
      </c>
      <c r="DV56" s="4">
        <f>SUM(AG56:AP56)*Inicio!$W$7</f>
        <v>0</v>
      </c>
      <c r="DW56" s="4">
        <f>SUM(AQ56:AZ56)*Inicio!$W$8</f>
        <v>0</v>
      </c>
      <c r="DX56" s="4">
        <f>SUM(BA56:BJ56)*Inicio!$W$9</f>
        <v>0</v>
      </c>
      <c r="DY56" s="4">
        <f>SUM(BK56:BT56)*Inicio!$W$10</f>
        <v>0</v>
      </c>
      <c r="DZ56" s="4">
        <f>SUM(BU56:CD56)*Inicio!$W$11</f>
        <v>0</v>
      </c>
      <c r="EA56" s="4">
        <f>SUM(CE56:CN56)*Inicio!$W$12</f>
        <v>0</v>
      </c>
      <c r="EB56" s="4">
        <f>SUM(CO56:CX56)*Inicio!$W$13</f>
        <v>0</v>
      </c>
      <c r="EC56" s="4">
        <f>SUM(CY56:DH56)*Inicio!$W$11</f>
        <v>0</v>
      </c>
      <c r="ED56" s="4">
        <f>SUM(DI56:DR56)*Inicio!$W$12</f>
        <v>0</v>
      </c>
      <c r="EE56" s="4">
        <f t="shared" si="0"/>
        <v>0</v>
      </c>
      <c r="EF56" s="4">
        <f t="shared" si="2"/>
        <v>0</v>
      </c>
      <c r="EG56" s="4">
        <f t="shared" si="1"/>
        <v>0</v>
      </c>
      <c r="EH56" s="4">
        <f t="shared" si="2"/>
        <v>0</v>
      </c>
      <c r="EI56" s="4">
        <f>EE56+S!EE56+E!EE56+O!EE56</f>
        <v>0</v>
      </c>
      <c r="EJ56" s="4">
        <f t="shared" ref="EJ56:EL56" si="45">SUM(EI53:EI56)</f>
        <v>0</v>
      </c>
      <c r="EK56" s="4">
        <f>EG56+S!EG56+E!EG56+O!EG56</f>
        <v>0</v>
      </c>
      <c r="EL56" s="4">
        <f t="shared" si="45"/>
        <v>0</v>
      </c>
    </row>
    <row r="57" spans="2:142" ht="20.25" customHeight="1" x14ac:dyDescent="0.3">
      <c r="B57" s="27" t="s">
        <v>73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3">
        <f>SUM(C57:L57)*Inicio!$W$4</f>
        <v>0</v>
      </c>
      <c r="DT57" s="3">
        <f>SUM(M57:V57)*Inicio!$W$5</f>
        <v>0</v>
      </c>
      <c r="DU57" s="3">
        <f>SUM(W57:AF57)*Inicio!$W$6</f>
        <v>0</v>
      </c>
      <c r="DV57" s="3">
        <f>SUM(AG57:AP57)*Inicio!$W$7</f>
        <v>0</v>
      </c>
      <c r="DW57" s="3">
        <f>SUM(AQ57:AZ57)*Inicio!$W$8</f>
        <v>0</v>
      </c>
      <c r="DX57" s="3">
        <f>SUM(BA57:BJ57)*Inicio!$W$9</f>
        <v>0</v>
      </c>
      <c r="DY57" s="3">
        <f>SUM(BK57:BT57)*Inicio!$W$10</f>
        <v>0</v>
      </c>
      <c r="DZ57" s="3">
        <f>SUM(BU57:CD57)*Inicio!$W$11</f>
        <v>0</v>
      </c>
      <c r="EA57" s="3">
        <f>SUM(CE57:CN57)*Inicio!$W$12</f>
        <v>0</v>
      </c>
      <c r="EB57" s="3">
        <f>SUM(CO57:CX57)*Inicio!$W$13</f>
        <v>0</v>
      </c>
      <c r="EC57" s="3">
        <f>SUM(CY57:DH57)*Inicio!$W$11</f>
        <v>0</v>
      </c>
      <c r="ED57" s="3">
        <f>SUM(DI57:DR57)*Inicio!$W$12</f>
        <v>0</v>
      </c>
      <c r="EE57" s="3">
        <f t="shared" si="0"/>
        <v>0</v>
      </c>
      <c r="EF57" s="3">
        <f t="shared" si="2"/>
        <v>0</v>
      </c>
      <c r="EG57" s="3">
        <f t="shared" si="1"/>
        <v>0</v>
      </c>
      <c r="EH57" s="3">
        <f t="shared" si="2"/>
        <v>0</v>
      </c>
      <c r="EI57" s="3">
        <f>EE57+S!EE57+E!EE57+O!EE57</f>
        <v>0</v>
      </c>
      <c r="EJ57" s="3">
        <f t="shared" ref="EJ57:EL57" si="46">SUM(EI54:EI57)</f>
        <v>0</v>
      </c>
      <c r="EK57" s="3">
        <f>EG57+S!EG57+E!EG57+O!EG57</f>
        <v>0</v>
      </c>
      <c r="EL57" s="3">
        <f t="shared" si="46"/>
        <v>0</v>
      </c>
    </row>
    <row r="58" spans="2:142" ht="20.25" customHeight="1" x14ac:dyDescent="0.3">
      <c r="B58" s="28" t="s">
        <v>74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4">
        <f>SUM(C58:L58)*Inicio!$W$4</f>
        <v>0</v>
      </c>
      <c r="DT58" s="4">
        <f>SUM(M58:V58)*Inicio!$W$5</f>
        <v>0</v>
      </c>
      <c r="DU58" s="4">
        <f>SUM(W58:AF58)*Inicio!$W$6</f>
        <v>0</v>
      </c>
      <c r="DV58" s="4">
        <f>SUM(AG58:AP58)*Inicio!$W$7</f>
        <v>0</v>
      </c>
      <c r="DW58" s="4">
        <f>SUM(AQ58:AZ58)*Inicio!$W$8</f>
        <v>0</v>
      </c>
      <c r="DX58" s="4">
        <f>SUM(BA58:BJ58)*Inicio!$W$9</f>
        <v>0</v>
      </c>
      <c r="DY58" s="4">
        <f>SUM(BK58:BT58)*Inicio!$W$10</f>
        <v>0</v>
      </c>
      <c r="DZ58" s="4">
        <f>SUM(BU58:CD58)*Inicio!$W$11</f>
        <v>0</v>
      </c>
      <c r="EA58" s="4">
        <f>SUM(CE58:CN58)*Inicio!$W$12</f>
        <v>0</v>
      </c>
      <c r="EB58" s="4">
        <f>SUM(CO58:CX58)*Inicio!$W$13</f>
        <v>0</v>
      </c>
      <c r="EC58" s="4">
        <f>SUM(CY58:DH58)*Inicio!$W$11</f>
        <v>0</v>
      </c>
      <c r="ED58" s="4">
        <f>SUM(DI58:DR58)*Inicio!$W$12</f>
        <v>0</v>
      </c>
      <c r="EE58" s="4">
        <f t="shared" si="0"/>
        <v>0</v>
      </c>
      <c r="EF58" s="4">
        <f t="shared" si="2"/>
        <v>0</v>
      </c>
      <c r="EG58" s="4">
        <f t="shared" si="1"/>
        <v>0</v>
      </c>
      <c r="EH58" s="4">
        <f t="shared" si="2"/>
        <v>0</v>
      </c>
      <c r="EI58" s="4">
        <f>EE58+S!EE58+E!EE58+O!EE58</f>
        <v>0</v>
      </c>
      <c r="EJ58" s="4">
        <f t="shared" ref="EJ58:EL58" si="47">SUM(EI55:EI58)</f>
        <v>0</v>
      </c>
      <c r="EK58" s="4">
        <f>EG58+S!EG58+E!EG58+O!EG58</f>
        <v>0</v>
      </c>
      <c r="EL58" s="4">
        <f t="shared" si="47"/>
        <v>0</v>
      </c>
    </row>
    <row r="59" spans="2:142" ht="20.25" customHeight="1" x14ac:dyDescent="0.3">
      <c r="B59" s="28" t="s">
        <v>75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4">
        <f>SUM(C59:L59)*Inicio!$W$4</f>
        <v>0</v>
      </c>
      <c r="DT59" s="4">
        <f>SUM(M59:V59)*Inicio!$W$5</f>
        <v>0</v>
      </c>
      <c r="DU59" s="4">
        <f>SUM(W59:AF59)*Inicio!$W$6</f>
        <v>0</v>
      </c>
      <c r="DV59" s="4">
        <f>SUM(AG59:AP59)*Inicio!$W$7</f>
        <v>0</v>
      </c>
      <c r="DW59" s="4">
        <f>SUM(AQ59:AZ59)*Inicio!$W$8</f>
        <v>0</v>
      </c>
      <c r="DX59" s="4">
        <f>SUM(BA59:BJ59)*Inicio!$W$9</f>
        <v>0</v>
      </c>
      <c r="DY59" s="4">
        <f>SUM(BK59:BT59)*Inicio!$W$10</f>
        <v>0</v>
      </c>
      <c r="DZ59" s="4">
        <f>SUM(BU59:CD59)*Inicio!$W$11</f>
        <v>0</v>
      </c>
      <c r="EA59" s="4">
        <f>SUM(CE59:CN59)*Inicio!$W$12</f>
        <v>0</v>
      </c>
      <c r="EB59" s="4">
        <f>SUM(CO59:CX59)*Inicio!$W$13</f>
        <v>0</v>
      </c>
      <c r="EC59" s="4">
        <f>SUM(CY59:DH59)*Inicio!$W$11</f>
        <v>0</v>
      </c>
      <c r="ED59" s="4">
        <f>SUM(DI59:DR59)*Inicio!$W$12</f>
        <v>0</v>
      </c>
      <c r="EE59" s="4">
        <f t="shared" si="0"/>
        <v>0</v>
      </c>
      <c r="EF59" s="4">
        <f t="shared" si="2"/>
        <v>0</v>
      </c>
      <c r="EG59" s="4">
        <f t="shared" si="1"/>
        <v>0</v>
      </c>
      <c r="EH59" s="4">
        <f t="shared" si="2"/>
        <v>0</v>
      </c>
      <c r="EI59" s="4">
        <f>EE59+S!EE59+E!EE59+O!EE59</f>
        <v>0</v>
      </c>
      <c r="EJ59" s="4">
        <f t="shared" ref="EJ59:EL59" si="48">SUM(EI56:EI59)</f>
        <v>0</v>
      </c>
      <c r="EK59" s="4">
        <f>EG59+S!EG59+E!EG59+O!EG59</f>
        <v>0</v>
      </c>
      <c r="EL59" s="4">
        <f t="shared" si="48"/>
        <v>0</v>
      </c>
    </row>
    <row r="60" spans="2:142" ht="20.25" customHeight="1" x14ac:dyDescent="0.3">
      <c r="B60" s="26" t="s">
        <v>76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5">
        <f>SUM(C60:L60)*Inicio!$W$4</f>
        <v>0</v>
      </c>
      <c r="DT60" s="5">
        <f>SUM(M60:V60)*Inicio!$W$5</f>
        <v>0</v>
      </c>
      <c r="DU60" s="5">
        <f>SUM(W60:AF60)*Inicio!$W$6</f>
        <v>0</v>
      </c>
      <c r="DV60" s="5">
        <f>SUM(AG60:AP60)*Inicio!$W$7</f>
        <v>0</v>
      </c>
      <c r="DW60" s="5">
        <f>SUM(AQ60:AZ60)*Inicio!$W$8</f>
        <v>0</v>
      </c>
      <c r="DX60" s="5">
        <f>SUM(BA60:BJ60)*Inicio!$W$9</f>
        <v>0</v>
      </c>
      <c r="DY60" s="5">
        <f>SUM(BK60:BT60)*Inicio!$W$10</f>
        <v>0</v>
      </c>
      <c r="DZ60" s="5">
        <f>SUM(BU60:CD60)*Inicio!$W$11</f>
        <v>0</v>
      </c>
      <c r="EA60" s="5">
        <f>SUM(CE60:CN60)*Inicio!$W$12</f>
        <v>0</v>
      </c>
      <c r="EB60" s="5">
        <f>SUM(CO60:CX60)*Inicio!$W$13</f>
        <v>0</v>
      </c>
      <c r="EC60" s="5">
        <f>SUM(CY60:DH60)*Inicio!$W$11</f>
        <v>0</v>
      </c>
      <c r="ED60" s="5">
        <f>SUM(DI60:DR60)*Inicio!$W$12</f>
        <v>0</v>
      </c>
      <c r="EE60" s="5">
        <f t="shared" si="0"/>
        <v>0</v>
      </c>
      <c r="EF60" s="5">
        <f t="shared" si="2"/>
        <v>0</v>
      </c>
      <c r="EG60" s="5">
        <f t="shared" si="1"/>
        <v>0</v>
      </c>
      <c r="EH60" s="5">
        <f t="shared" si="2"/>
        <v>0</v>
      </c>
      <c r="EI60" s="5">
        <f>EE60+S!EE60+E!EE60+O!EE60</f>
        <v>0</v>
      </c>
      <c r="EJ60" s="5">
        <f t="shared" ref="EJ60:EL60" si="49">SUM(EI57:EI60)</f>
        <v>0</v>
      </c>
      <c r="EK60" s="5">
        <f>EG60+S!EG60+E!EG60+O!EG60</f>
        <v>0</v>
      </c>
      <c r="EL60" s="5">
        <f t="shared" si="49"/>
        <v>0</v>
      </c>
    </row>
    <row r="61" spans="2:142" ht="20.25" customHeight="1" x14ac:dyDescent="0.3">
      <c r="B61" s="27" t="s">
        <v>77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3">
        <f>SUM(C61:L61)*Inicio!$W$4</f>
        <v>0</v>
      </c>
      <c r="DT61" s="3">
        <f>SUM(M61:V61)*Inicio!$W$5</f>
        <v>0</v>
      </c>
      <c r="DU61" s="3">
        <f>SUM(W61:AF61)*Inicio!$W$6</f>
        <v>0</v>
      </c>
      <c r="DV61" s="3">
        <f>SUM(AG61:AP61)*Inicio!$W$7</f>
        <v>0</v>
      </c>
      <c r="DW61" s="3">
        <f>SUM(AQ61:AZ61)*Inicio!$W$8</f>
        <v>0</v>
      </c>
      <c r="DX61" s="3">
        <f>SUM(BA61:BJ61)*Inicio!$W$9</f>
        <v>0</v>
      </c>
      <c r="DY61" s="3">
        <f>SUM(BK61:BT61)*Inicio!$W$10</f>
        <v>0</v>
      </c>
      <c r="DZ61" s="3">
        <f>SUM(BU61:CD61)*Inicio!$W$11</f>
        <v>0</v>
      </c>
      <c r="EA61" s="3">
        <f>SUM(CE61:CN61)*Inicio!$W$12</f>
        <v>0</v>
      </c>
      <c r="EB61" s="3">
        <f>SUM(CO61:CX61)*Inicio!$W$13</f>
        <v>0</v>
      </c>
      <c r="EC61" s="3">
        <f>SUM(CY61:DH61)*Inicio!$W$11</f>
        <v>0</v>
      </c>
      <c r="ED61" s="3">
        <f>SUM(DI61:DR61)*Inicio!$W$12</f>
        <v>0</v>
      </c>
      <c r="EE61" s="3">
        <f t="shared" si="0"/>
        <v>0</v>
      </c>
      <c r="EF61" s="3">
        <f t="shared" si="2"/>
        <v>0</v>
      </c>
      <c r="EG61" s="3">
        <f t="shared" si="1"/>
        <v>0</v>
      </c>
      <c r="EH61" s="3">
        <f t="shared" si="2"/>
        <v>0</v>
      </c>
      <c r="EI61" s="3">
        <f>EE61+S!EE61+E!EE61+O!EE61</f>
        <v>0</v>
      </c>
      <c r="EJ61" s="3">
        <f t="shared" ref="EJ61:EL61" si="50">SUM(EI58:EI61)</f>
        <v>0</v>
      </c>
      <c r="EK61" s="3">
        <f>EG61+S!EG61+E!EG61+O!EG61</f>
        <v>0</v>
      </c>
      <c r="EL61" s="3">
        <f t="shared" si="50"/>
        <v>0</v>
      </c>
    </row>
    <row r="62" spans="2:142" ht="20.25" customHeight="1" x14ac:dyDescent="0.3">
      <c r="B62" s="28" t="s">
        <v>78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4">
        <f>SUM(C62:L62)*Inicio!$W$4</f>
        <v>0</v>
      </c>
      <c r="DT62" s="4">
        <f>SUM(M62:V62)*Inicio!$W$5</f>
        <v>0</v>
      </c>
      <c r="DU62" s="4">
        <f>SUM(W62:AF62)*Inicio!$W$6</f>
        <v>0</v>
      </c>
      <c r="DV62" s="4">
        <f>SUM(AG62:AP62)*Inicio!$W$7</f>
        <v>0</v>
      </c>
      <c r="DW62" s="4">
        <f>SUM(AQ62:AZ62)*Inicio!$W$8</f>
        <v>0</v>
      </c>
      <c r="DX62" s="4">
        <f>SUM(BA62:BJ62)*Inicio!$W$9</f>
        <v>0</v>
      </c>
      <c r="DY62" s="4">
        <f>SUM(BK62:BT62)*Inicio!$W$10</f>
        <v>0</v>
      </c>
      <c r="DZ62" s="4">
        <f>SUM(BU62:CD62)*Inicio!$W$11</f>
        <v>0</v>
      </c>
      <c r="EA62" s="4">
        <f>SUM(CE62:CN62)*Inicio!$W$12</f>
        <v>0</v>
      </c>
      <c r="EB62" s="4">
        <f>SUM(CO62:CX62)*Inicio!$W$13</f>
        <v>0</v>
      </c>
      <c r="EC62" s="4">
        <f>SUM(CY62:DH62)*Inicio!$W$11</f>
        <v>0</v>
      </c>
      <c r="ED62" s="4">
        <f>SUM(DI62:DR62)*Inicio!$W$12</f>
        <v>0</v>
      </c>
      <c r="EE62" s="4">
        <f t="shared" si="0"/>
        <v>0</v>
      </c>
      <c r="EF62" s="4">
        <f t="shared" si="2"/>
        <v>0</v>
      </c>
      <c r="EG62" s="4">
        <f t="shared" si="1"/>
        <v>0</v>
      </c>
      <c r="EH62" s="4">
        <f t="shared" si="2"/>
        <v>0</v>
      </c>
      <c r="EI62" s="4">
        <f>EE62+S!EE62+E!EE62+O!EE62</f>
        <v>0</v>
      </c>
      <c r="EJ62" s="4">
        <f t="shared" ref="EJ62:EL62" si="51">SUM(EI59:EI62)</f>
        <v>0</v>
      </c>
      <c r="EK62" s="4">
        <f>EG62+S!EG62+E!EG62+O!EG62</f>
        <v>0</v>
      </c>
      <c r="EL62" s="4">
        <f t="shared" si="51"/>
        <v>0</v>
      </c>
    </row>
    <row r="63" spans="2:142" ht="20.25" customHeight="1" x14ac:dyDescent="0.3">
      <c r="B63" s="28" t="s">
        <v>79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4">
        <f>SUM(C63:L63)*Inicio!$W$4</f>
        <v>0</v>
      </c>
      <c r="DT63" s="4">
        <f>SUM(M63:V63)*Inicio!$W$5</f>
        <v>0</v>
      </c>
      <c r="DU63" s="4">
        <f>SUM(W63:AF63)*Inicio!$W$6</f>
        <v>0</v>
      </c>
      <c r="DV63" s="4">
        <f>SUM(AG63:AP63)*Inicio!$W$7</f>
        <v>0</v>
      </c>
      <c r="DW63" s="4">
        <f>SUM(AQ63:AZ63)*Inicio!$W$8</f>
        <v>0</v>
      </c>
      <c r="DX63" s="4">
        <f>SUM(BA63:BJ63)*Inicio!$W$9</f>
        <v>0</v>
      </c>
      <c r="DY63" s="4">
        <f>SUM(BK63:BT63)*Inicio!$W$10</f>
        <v>0</v>
      </c>
      <c r="DZ63" s="4">
        <f>SUM(BU63:CD63)*Inicio!$W$11</f>
        <v>0</v>
      </c>
      <c r="EA63" s="4">
        <f>SUM(CE63:CN63)*Inicio!$W$12</f>
        <v>0</v>
      </c>
      <c r="EB63" s="4">
        <f>SUM(CO63:CX63)*Inicio!$W$13</f>
        <v>0</v>
      </c>
      <c r="EC63" s="4">
        <f>SUM(CY63:DH63)*Inicio!$W$11</f>
        <v>0</v>
      </c>
      <c r="ED63" s="4">
        <f>SUM(DI63:DR63)*Inicio!$W$12</f>
        <v>0</v>
      </c>
      <c r="EE63" s="4">
        <f t="shared" si="0"/>
        <v>0</v>
      </c>
      <c r="EF63" s="4">
        <f t="shared" si="2"/>
        <v>0</v>
      </c>
      <c r="EG63" s="4">
        <f t="shared" si="1"/>
        <v>0</v>
      </c>
      <c r="EH63" s="4">
        <f t="shared" si="2"/>
        <v>0</v>
      </c>
      <c r="EI63" s="4">
        <f>EE63+S!EE63+E!EE63+O!EE63</f>
        <v>0</v>
      </c>
      <c r="EJ63" s="4">
        <f t="shared" ref="EJ63:EL63" si="52">SUM(EI60:EI63)</f>
        <v>0</v>
      </c>
      <c r="EK63" s="4">
        <f>EG63+S!EG63+E!EG63+O!EG63</f>
        <v>0</v>
      </c>
      <c r="EL63" s="4">
        <f t="shared" si="52"/>
        <v>0</v>
      </c>
    </row>
    <row r="64" spans="2:142" ht="20.25" customHeight="1" x14ac:dyDescent="0.3">
      <c r="B64" s="26" t="s">
        <v>80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5">
        <f>SUM(C64:L64)*Inicio!$W$4</f>
        <v>0</v>
      </c>
      <c r="DT64" s="5">
        <f>SUM(M64:V64)*Inicio!$W$5</f>
        <v>0</v>
      </c>
      <c r="DU64" s="5">
        <f>SUM(W64:AF64)*Inicio!$W$6</f>
        <v>0</v>
      </c>
      <c r="DV64" s="5">
        <f>SUM(AG64:AP64)*Inicio!$W$7</f>
        <v>0</v>
      </c>
      <c r="DW64" s="5">
        <f>SUM(AQ64:AZ64)*Inicio!$W$8</f>
        <v>0</v>
      </c>
      <c r="DX64" s="5">
        <f>SUM(BA64:BJ64)*Inicio!$W$9</f>
        <v>0</v>
      </c>
      <c r="DY64" s="5">
        <f>SUM(BK64:BT64)*Inicio!$W$10</f>
        <v>0</v>
      </c>
      <c r="DZ64" s="5">
        <f>SUM(BU64:CD64)*Inicio!$W$11</f>
        <v>0</v>
      </c>
      <c r="EA64" s="5">
        <f>SUM(CE64:CN64)*Inicio!$W$12</f>
        <v>0</v>
      </c>
      <c r="EB64" s="5">
        <f>SUM(CO64:CX64)*Inicio!$W$13</f>
        <v>0</v>
      </c>
      <c r="EC64" s="5">
        <f>SUM(CY64:DH64)*Inicio!$W$11</f>
        <v>0</v>
      </c>
      <c r="ED64" s="5">
        <f>SUM(DI64:DR64)*Inicio!$W$12</f>
        <v>0</v>
      </c>
      <c r="EE64" s="5">
        <f t="shared" si="0"/>
        <v>0</v>
      </c>
      <c r="EF64" s="5">
        <f t="shared" si="2"/>
        <v>0</v>
      </c>
      <c r="EG64" s="5">
        <f t="shared" si="1"/>
        <v>0</v>
      </c>
      <c r="EH64" s="5">
        <f t="shared" si="2"/>
        <v>0</v>
      </c>
      <c r="EI64" s="5">
        <f>EE64+S!EE64+E!EE64+O!EE64</f>
        <v>0</v>
      </c>
      <c r="EJ64" s="5">
        <f t="shared" ref="EJ64:EL64" si="53">SUM(EI61:EI64)</f>
        <v>0</v>
      </c>
      <c r="EK64" s="5">
        <f>EG64+S!EG64+E!EG64+O!EG64</f>
        <v>0</v>
      </c>
      <c r="EL64" s="5">
        <f t="shared" si="53"/>
        <v>0</v>
      </c>
    </row>
    <row r="65" spans="2:142" ht="20.25" customHeight="1" x14ac:dyDescent="0.3">
      <c r="B65" s="27" t="s">
        <v>81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3">
        <f>SUM(C65:L65)*Inicio!$W$4</f>
        <v>0</v>
      </c>
      <c r="DT65" s="3">
        <f>SUM(M65:V65)*Inicio!$W$5</f>
        <v>0</v>
      </c>
      <c r="DU65" s="3">
        <f>SUM(W65:AF65)*Inicio!$W$6</f>
        <v>0</v>
      </c>
      <c r="DV65" s="3">
        <f>SUM(AG65:AP65)*Inicio!$W$7</f>
        <v>0</v>
      </c>
      <c r="DW65" s="3">
        <f>SUM(AQ65:AZ65)*Inicio!$W$8</f>
        <v>0</v>
      </c>
      <c r="DX65" s="3">
        <f>SUM(BA65:BJ65)*Inicio!$W$9</f>
        <v>0</v>
      </c>
      <c r="DY65" s="3">
        <f>SUM(BK65:BT65)*Inicio!$W$10</f>
        <v>0</v>
      </c>
      <c r="DZ65" s="3">
        <f>SUM(BU65:CD65)*Inicio!$W$11</f>
        <v>0</v>
      </c>
      <c r="EA65" s="3">
        <f>SUM(CE65:CN65)*Inicio!$W$12</f>
        <v>0</v>
      </c>
      <c r="EB65" s="3">
        <f>SUM(CO65:CX65)*Inicio!$W$13</f>
        <v>0</v>
      </c>
      <c r="EC65" s="3">
        <f>SUM(CY65:DH65)*Inicio!$W$11</f>
        <v>0</v>
      </c>
      <c r="ED65" s="3">
        <f>SUM(DI65:DR65)*Inicio!$W$12</f>
        <v>0</v>
      </c>
      <c r="EE65" s="3">
        <f t="shared" si="0"/>
        <v>0</v>
      </c>
      <c r="EF65" s="3">
        <f t="shared" si="2"/>
        <v>0</v>
      </c>
      <c r="EG65" s="3">
        <f t="shared" si="1"/>
        <v>0</v>
      </c>
      <c r="EH65" s="3">
        <f t="shared" si="2"/>
        <v>0</v>
      </c>
      <c r="EI65" s="3">
        <f>EE65+S!EE65+E!EE65+O!EE65</f>
        <v>0</v>
      </c>
      <c r="EJ65" s="3">
        <f t="shared" ref="EJ65:EL65" si="54">SUM(EI62:EI65)</f>
        <v>0</v>
      </c>
      <c r="EK65" s="3">
        <f>EG65+S!EG65+E!EG65+O!EG65</f>
        <v>0</v>
      </c>
      <c r="EL65" s="3">
        <f t="shared" si="54"/>
        <v>0</v>
      </c>
    </row>
    <row r="66" spans="2:142" ht="20.25" customHeight="1" x14ac:dyDescent="0.3">
      <c r="B66" s="28" t="s">
        <v>82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4">
        <f>SUM(C66:L66)*Inicio!$W$4</f>
        <v>0</v>
      </c>
      <c r="DT66" s="4">
        <f>SUM(M66:V66)*Inicio!$W$5</f>
        <v>0</v>
      </c>
      <c r="DU66" s="4">
        <f>SUM(W66:AF66)*Inicio!$W$6</f>
        <v>0</v>
      </c>
      <c r="DV66" s="4">
        <f>SUM(AG66:AP66)*Inicio!$W$7</f>
        <v>0</v>
      </c>
      <c r="DW66" s="4">
        <f>SUM(AQ66:AZ66)*Inicio!$W$8</f>
        <v>0</v>
      </c>
      <c r="DX66" s="4">
        <f>SUM(BA66:BJ66)*Inicio!$W$9</f>
        <v>0</v>
      </c>
      <c r="DY66" s="4">
        <f>SUM(BK66:BT66)*Inicio!$W$10</f>
        <v>0</v>
      </c>
      <c r="DZ66" s="4">
        <f>SUM(BU66:CD66)*Inicio!$W$11</f>
        <v>0</v>
      </c>
      <c r="EA66" s="4">
        <f>SUM(CE66:CN66)*Inicio!$W$12</f>
        <v>0</v>
      </c>
      <c r="EB66" s="4">
        <f>SUM(CO66:CX66)*Inicio!$W$13</f>
        <v>0</v>
      </c>
      <c r="EC66" s="4">
        <f>SUM(CY66:DH66)*Inicio!$W$11</f>
        <v>0</v>
      </c>
      <c r="ED66" s="4">
        <f>SUM(DI66:DR66)*Inicio!$W$12</f>
        <v>0</v>
      </c>
      <c r="EE66" s="4">
        <f t="shared" si="0"/>
        <v>0</v>
      </c>
      <c r="EF66" s="4">
        <f t="shared" si="2"/>
        <v>0</v>
      </c>
      <c r="EG66" s="4">
        <f t="shared" si="1"/>
        <v>0</v>
      </c>
      <c r="EH66" s="4">
        <f t="shared" si="2"/>
        <v>0</v>
      </c>
      <c r="EI66" s="4">
        <f>EE66+S!EE66+E!EE66+O!EE66</f>
        <v>0</v>
      </c>
      <c r="EJ66" s="4">
        <f t="shared" ref="EJ66:EL66" si="55">SUM(EI63:EI66)</f>
        <v>0</v>
      </c>
      <c r="EK66" s="4">
        <f>EG66+S!EG66+E!EG66+O!EG66</f>
        <v>0</v>
      </c>
      <c r="EL66" s="4">
        <f t="shared" si="55"/>
        <v>0</v>
      </c>
    </row>
    <row r="67" spans="2:142" ht="20.25" customHeight="1" x14ac:dyDescent="0.3">
      <c r="B67" s="28" t="s">
        <v>83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4">
        <f>SUM(C67:L67)*Inicio!$W$4</f>
        <v>0</v>
      </c>
      <c r="DT67" s="4">
        <f>SUM(M67:V67)*Inicio!$W$5</f>
        <v>0</v>
      </c>
      <c r="DU67" s="4">
        <f>SUM(W67:AF67)*Inicio!$W$6</f>
        <v>0</v>
      </c>
      <c r="DV67" s="4">
        <f>SUM(AG67:AP67)*Inicio!$W$7</f>
        <v>0</v>
      </c>
      <c r="DW67" s="4">
        <f>SUM(AQ67:AZ67)*Inicio!$W$8</f>
        <v>0</v>
      </c>
      <c r="DX67" s="4">
        <f>SUM(BA67:BJ67)*Inicio!$W$9</f>
        <v>0</v>
      </c>
      <c r="DY67" s="4">
        <f>SUM(BK67:BT67)*Inicio!$W$10</f>
        <v>0</v>
      </c>
      <c r="DZ67" s="4">
        <f>SUM(BU67:CD67)*Inicio!$W$11</f>
        <v>0</v>
      </c>
      <c r="EA67" s="4">
        <f>SUM(CE67:CN67)*Inicio!$W$12</f>
        <v>0</v>
      </c>
      <c r="EB67" s="4">
        <f>SUM(CO67:CX67)*Inicio!$W$13</f>
        <v>0</v>
      </c>
      <c r="EC67" s="4">
        <f>SUM(CY67:DH67)*Inicio!$W$11</f>
        <v>0</v>
      </c>
      <c r="ED67" s="4">
        <f>SUM(DI67:DR67)*Inicio!$W$12</f>
        <v>0</v>
      </c>
      <c r="EE67" s="4">
        <f t="shared" si="0"/>
        <v>0</v>
      </c>
      <c r="EF67" s="4">
        <f t="shared" si="2"/>
        <v>0</v>
      </c>
      <c r="EG67" s="4">
        <f t="shared" si="1"/>
        <v>0</v>
      </c>
      <c r="EH67" s="4">
        <f t="shared" si="2"/>
        <v>0</v>
      </c>
      <c r="EI67" s="4">
        <f>EE67+S!EE67+E!EE67+O!EE67</f>
        <v>0</v>
      </c>
      <c r="EJ67" s="4">
        <f t="shared" ref="EJ67:EL67" si="56">SUM(EI64:EI67)</f>
        <v>0</v>
      </c>
      <c r="EK67" s="4">
        <f>EG67+S!EG67+E!EG67+O!EG67</f>
        <v>0</v>
      </c>
      <c r="EL67" s="4">
        <f t="shared" si="56"/>
        <v>0</v>
      </c>
    </row>
    <row r="68" spans="2:142" ht="20.25" customHeight="1" x14ac:dyDescent="0.3">
      <c r="B68" s="26" t="s">
        <v>84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5">
        <f>SUM(C68:L68)*Inicio!$W$4</f>
        <v>0</v>
      </c>
      <c r="DT68" s="5">
        <f>SUM(M68:V68)*Inicio!$W$5</f>
        <v>0</v>
      </c>
      <c r="DU68" s="5">
        <f>SUM(W68:AF68)*Inicio!$W$6</f>
        <v>0</v>
      </c>
      <c r="DV68" s="5">
        <f>SUM(AG68:AP68)*Inicio!$W$7</f>
        <v>0</v>
      </c>
      <c r="DW68" s="5">
        <f>SUM(AQ68:AZ68)*Inicio!$W$8</f>
        <v>0</v>
      </c>
      <c r="DX68" s="5">
        <f>SUM(BA68:BJ68)*Inicio!$W$9</f>
        <v>0</v>
      </c>
      <c r="DY68" s="5">
        <f>SUM(BK68:BT68)*Inicio!$W$10</f>
        <v>0</v>
      </c>
      <c r="DZ68" s="5">
        <f>SUM(BU68:CD68)*Inicio!$W$11</f>
        <v>0</v>
      </c>
      <c r="EA68" s="5">
        <f>SUM(CE68:CN68)*Inicio!$W$12</f>
        <v>0</v>
      </c>
      <c r="EB68" s="5">
        <f>SUM(CO68:CX68)*Inicio!$W$13</f>
        <v>0</v>
      </c>
      <c r="EC68" s="5">
        <f>SUM(CY68:DH68)*Inicio!$W$11</f>
        <v>0</v>
      </c>
      <c r="ED68" s="5">
        <f>SUM(DI68:DR68)*Inicio!$W$12</f>
        <v>0</v>
      </c>
      <c r="EE68" s="5">
        <f t="shared" si="0"/>
        <v>0</v>
      </c>
      <c r="EF68" s="5">
        <f t="shared" si="2"/>
        <v>0</v>
      </c>
      <c r="EG68" s="5">
        <f t="shared" si="1"/>
        <v>0</v>
      </c>
      <c r="EH68" s="5">
        <f t="shared" si="2"/>
        <v>0</v>
      </c>
      <c r="EI68" s="5">
        <f>EE68+S!EE68+E!EE68+O!EE68</f>
        <v>0</v>
      </c>
      <c r="EJ68" s="5">
        <f t="shared" ref="EJ68:EL68" si="57">SUM(EI65:EI68)</f>
        <v>0</v>
      </c>
      <c r="EK68" s="5">
        <f>EG68+S!EG68+E!EG68+O!EG68</f>
        <v>0</v>
      </c>
      <c r="EL68" s="5">
        <f t="shared" si="57"/>
        <v>0</v>
      </c>
    </row>
    <row r="69" spans="2:142" ht="20.25" customHeight="1" x14ac:dyDescent="0.3">
      <c r="B69" s="27" t="s">
        <v>85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3">
        <f>SUM(C69:L69)*Inicio!$W$4</f>
        <v>0</v>
      </c>
      <c r="DT69" s="3">
        <f>SUM(M69:V69)*Inicio!$W$5</f>
        <v>0</v>
      </c>
      <c r="DU69" s="3">
        <f>SUM(W69:AF69)*Inicio!$W$6</f>
        <v>0</v>
      </c>
      <c r="DV69" s="3">
        <f>SUM(AG69:AP69)*Inicio!$W$7</f>
        <v>0</v>
      </c>
      <c r="DW69" s="3">
        <f>SUM(AQ69:AZ69)*Inicio!$W$8</f>
        <v>0</v>
      </c>
      <c r="DX69" s="3">
        <f>SUM(BA69:BJ69)*Inicio!$W$9</f>
        <v>0</v>
      </c>
      <c r="DY69" s="3">
        <f>SUM(BK69:BT69)*Inicio!$W$10</f>
        <v>0</v>
      </c>
      <c r="DZ69" s="3">
        <f>SUM(BU69:CD69)*Inicio!$W$11</f>
        <v>0</v>
      </c>
      <c r="EA69" s="3">
        <f>SUM(CE69:CN69)*Inicio!$W$12</f>
        <v>0</v>
      </c>
      <c r="EB69" s="3">
        <f>SUM(CO69:CX69)*Inicio!$W$13</f>
        <v>0</v>
      </c>
      <c r="EC69" s="3">
        <f>SUM(CY69:DH69)*Inicio!$W$11</f>
        <v>0</v>
      </c>
      <c r="ED69" s="3">
        <f>SUM(DI69:DR69)*Inicio!$W$12</f>
        <v>0</v>
      </c>
      <c r="EE69" s="3">
        <f t="shared" si="0"/>
        <v>0</v>
      </c>
      <c r="EF69" s="3">
        <f t="shared" si="2"/>
        <v>0</v>
      </c>
      <c r="EG69" s="3">
        <f t="shared" si="1"/>
        <v>0</v>
      </c>
      <c r="EH69" s="3">
        <f t="shared" si="2"/>
        <v>0</v>
      </c>
      <c r="EI69" s="3">
        <f>EE69+S!EE69+E!EE69+O!EE69</f>
        <v>0</v>
      </c>
      <c r="EJ69" s="3">
        <f t="shared" ref="EJ69:EL69" si="58">SUM(EI66:EI69)</f>
        <v>0</v>
      </c>
      <c r="EK69" s="3">
        <f>EG69+S!EG69+E!EG69+O!EG69</f>
        <v>0</v>
      </c>
      <c r="EL69" s="3">
        <f t="shared" si="58"/>
        <v>0</v>
      </c>
    </row>
    <row r="70" spans="2:142" ht="20.25" customHeight="1" x14ac:dyDescent="0.3">
      <c r="B70" s="28" t="s">
        <v>86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4">
        <f>SUM(C70:L70)*Inicio!$W$4</f>
        <v>0</v>
      </c>
      <c r="DT70" s="4">
        <f>SUM(M70:V70)*Inicio!$W$5</f>
        <v>0</v>
      </c>
      <c r="DU70" s="4">
        <f>SUM(W70:AF70)*Inicio!$W$6</f>
        <v>0</v>
      </c>
      <c r="DV70" s="4">
        <f>SUM(AG70:AP70)*Inicio!$W$7</f>
        <v>0</v>
      </c>
      <c r="DW70" s="4">
        <f>SUM(AQ70:AZ70)*Inicio!$W$8</f>
        <v>0</v>
      </c>
      <c r="DX70" s="4">
        <f>SUM(BA70:BJ70)*Inicio!$W$9</f>
        <v>0</v>
      </c>
      <c r="DY70" s="4">
        <f>SUM(BK70:BT70)*Inicio!$W$10</f>
        <v>0</v>
      </c>
      <c r="DZ70" s="4">
        <f>SUM(BU70:CD70)*Inicio!$W$11</f>
        <v>0</v>
      </c>
      <c r="EA70" s="4">
        <f>SUM(CE70:CN70)*Inicio!$W$12</f>
        <v>0</v>
      </c>
      <c r="EB70" s="4">
        <f>SUM(CO70:CX70)*Inicio!$W$13</f>
        <v>0</v>
      </c>
      <c r="EC70" s="4">
        <f>SUM(CY70:DH70)*Inicio!$W$11</f>
        <v>0</v>
      </c>
      <c r="ED70" s="4">
        <f>SUM(DI70:DR70)*Inicio!$W$12</f>
        <v>0</v>
      </c>
      <c r="EE70" s="4">
        <f t="shared" si="0"/>
        <v>0</v>
      </c>
      <c r="EF70" s="4">
        <f t="shared" si="2"/>
        <v>0</v>
      </c>
      <c r="EG70" s="4">
        <f t="shared" si="1"/>
        <v>0</v>
      </c>
      <c r="EH70" s="4">
        <f t="shared" si="2"/>
        <v>0</v>
      </c>
      <c r="EI70" s="4">
        <f>EE70+S!EE70+E!EE70+O!EE70</f>
        <v>0</v>
      </c>
      <c r="EJ70" s="4">
        <f t="shared" ref="EJ70:EL70" si="59">SUM(EI67:EI70)</f>
        <v>0</v>
      </c>
      <c r="EK70" s="4">
        <f>EG70+S!EG70+E!EG70+O!EG70</f>
        <v>0</v>
      </c>
      <c r="EL70" s="4">
        <f t="shared" si="59"/>
        <v>0</v>
      </c>
    </row>
    <row r="71" spans="2:142" ht="20.25" customHeight="1" x14ac:dyDescent="0.3">
      <c r="B71" s="28" t="s">
        <v>87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4">
        <f>SUM(C71:L71)*Inicio!$W$4</f>
        <v>0</v>
      </c>
      <c r="DT71" s="4">
        <f>SUM(M71:V71)*Inicio!$W$5</f>
        <v>0</v>
      </c>
      <c r="DU71" s="4">
        <f>SUM(W71:AF71)*Inicio!$W$6</f>
        <v>0</v>
      </c>
      <c r="DV71" s="4">
        <f>SUM(AG71:AP71)*Inicio!$W$7</f>
        <v>0</v>
      </c>
      <c r="DW71" s="4">
        <f>SUM(AQ71:AZ71)*Inicio!$W$8</f>
        <v>0</v>
      </c>
      <c r="DX71" s="4">
        <f>SUM(BA71:BJ71)*Inicio!$W$9</f>
        <v>0</v>
      </c>
      <c r="DY71" s="4">
        <f>SUM(BK71:BT71)*Inicio!$W$10</f>
        <v>0</v>
      </c>
      <c r="DZ71" s="4">
        <f>SUM(BU71:CD71)*Inicio!$W$11</f>
        <v>0</v>
      </c>
      <c r="EA71" s="4">
        <f>SUM(CE71:CN71)*Inicio!$W$12</f>
        <v>0</v>
      </c>
      <c r="EB71" s="4">
        <f>SUM(CO71:CX71)*Inicio!$W$13</f>
        <v>0</v>
      </c>
      <c r="EC71" s="4">
        <f>SUM(CY71:DH71)*Inicio!$W$11</f>
        <v>0</v>
      </c>
      <c r="ED71" s="4">
        <f>SUM(DI71:DR71)*Inicio!$W$12</f>
        <v>0</v>
      </c>
      <c r="EE71" s="4">
        <f t="shared" si="0"/>
        <v>0</v>
      </c>
      <c r="EF71" s="4">
        <f t="shared" si="2"/>
        <v>0</v>
      </c>
      <c r="EG71" s="4">
        <f t="shared" si="1"/>
        <v>0</v>
      </c>
      <c r="EH71" s="4">
        <f t="shared" si="2"/>
        <v>0</v>
      </c>
      <c r="EI71" s="4">
        <f>EE71+S!EE71+E!EE71+O!EE71</f>
        <v>0</v>
      </c>
      <c r="EJ71" s="4">
        <f t="shared" ref="EJ71:EL71" si="60">SUM(EI68:EI71)</f>
        <v>0</v>
      </c>
      <c r="EK71" s="4">
        <f>EG71+S!EG71+E!EG71+O!EG71</f>
        <v>0</v>
      </c>
      <c r="EL71" s="4">
        <f t="shared" si="60"/>
        <v>0</v>
      </c>
    </row>
    <row r="72" spans="2:142" ht="20.25" customHeight="1" x14ac:dyDescent="0.3">
      <c r="B72" s="26" t="s">
        <v>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5">
        <f>SUM(C72:L72)*Inicio!$W$4</f>
        <v>0</v>
      </c>
      <c r="DT72" s="5">
        <f>SUM(M72:V72)*Inicio!$W$5</f>
        <v>0</v>
      </c>
      <c r="DU72" s="5">
        <f>SUM(W72:AF72)*Inicio!$W$6</f>
        <v>0</v>
      </c>
      <c r="DV72" s="5">
        <f>SUM(AG72:AP72)*Inicio!$W$7</f>
        <v>0</v>
      </c>
      <c r="DW72" s="5">
        <f>SUM(AQ72:AZ72)*Inicio!$W$8</f>
        <v>0</v>
      </c>
      <c r="DX72" s="5">
        <f>SUM(BA72:BJ72)*Inicio!$W$9</f>
        <v>0</v>
      </c>
      <c r="DY72" s="5">
        <f>SUM(BK72:BT72)*Inicio!$W$10</f>
        <v>0</v>
      </c>
      <c r="DZ72" s="5">
        <f>SUM(BU72:CD72)*Inicio!$W$11</f>
        <v>0</v>
      </c>
      <c r="EA72" s="5">
        <f>SUM(CE72:CN72)*Inicio!$W$12</f>
        <v>0</v>
      </c>
      <c r="EB72" s="5">
        <f>SUM(CO72:CX72)*Inicio!$W$13</f>
        <v>0</v>
      </c>
      <c r="EC72" s="5">
        <f>SUM(CY72:DH72)*Inicio!$W$11</f>
        <v>0</v>
      </c>
      <c r="ED72" s="5">
        <f>SUM(DI72:DR72)*Inicio!$W$12</f>
        <v>0</v>
      </c>
      <c r="EE72" s="5">
        <f t="shared" si="0"/>
        <v>0</v>
      </c>
      <c r="EF72" s="5">
        <f t="shared" si="2"/>
        <v>0</v>
      </c>
      <c r="EG72" s="5">
        <f t="shared" si="1"/>
        <v>0</v>
      </c>
      <c r="EH72" s="5">
        <f t="shared" si="2"/>
        <v>0</v>
      </c>
      <c r="EI72" s="5">
        <f>EE72+S!EE72+E!EE72+O!EE72</f>
        <v>0</v>
      </c>
      <c r="EJ72" s="5">
        <f t="shared" ref="EJ72:EL72" si="61">SUM(EI69:EI72)</f>
        <v>0</v>
      </c>
      <c r="EK72" s="5">
        <f>EG72+S!EG72+E!EG72+O!EG72</f>
        <v>0</v>
      </c>
      <c r="EL72" s="5">
        <f t="shared" si="61"/>
        <v>0</v>
      </c>
    </row>
    <row r="73" spans="2:142" ht="20.25" customHeight="1" x14ac:dyDescent="0.3">
      <c r="B73" s="27" t="s">
        <v>89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3">
        <f>SUM(C73:L73)*Inicio!$W$4</f>
        <v>0</v>
      </c>
      <c r="DT73" s="3">
        <f>SUM(M73:V73)*Inicio!$W$5</f>
        <v>0</v>
      </c>
      <c r="DU73" s="3">
        <f>SUM(W73:AF73)*Inicio!$W$6</f>
        <v>0</v>
      </c>
      <c r="DV73" s="3">
        <f>SUM(AG73:AP73)*Inicio!$W$7</f>
        <v>0</v>
      </c>
      <c r="DW73" s="3">
        <f>SUM(AQ73:AZ73)*Inicio!$W$8</f>
        <v>0</v>
      </c>
      <c r="DX73" s="3">
        <f>SUM(BA73:BJ73)*Inicio!$W$9</f>
        <v>0</v>
      </c>
      <c r="DY73" s="3">
        <f>SUM(BK73:BT73)*Inicio!$W$10</f>
        <v>0</v>
      </c>
      <c r="DZ73" s="3">
        <f>SUM(BU73:CD73)*Inicio!$W$11</f>
        <v>0</v>
      </c>
      <c r="EA73" s="3">
        <f>SUM(CE73:CN73)*Inicio!$W$12</f>
        <v>0</v>
      </c>
      <c r="EB73" s="3">
        <f>SUM(CO73:CX73)*Inicio!$W$13</f>
        <v>0</v>
      </c>
      <c r="EC73" s="3">
        <f>SUM(CY73:DH73)*Inicio!$W$11</f>
        <v>0</v>
      </c>
      <c r="ED73" s="3">
        <f>SUM(DI73:DR73)*Inicio!$W$12</f>
        <v>0</v>
      </c>
      <c r="EE73" s="3">
        <f t="shared" si="0"/>
        <v>0</v>
      </c>
      <c r="EF73" s="3">
        <f t="shared" si="2"/>
        <v>0</v>
      </c>
      <c r="EG73" s="3">
        <f t="shared" si="1"/>
        <v>0</v>
      </c>
      <c r="EH73" s="3">
        <f t="shared" si="2"/>
        <v>0</v>
      </c>
      <c r="EI73" s="3">
        <f>EE73+S!EE73+E!EE73+O!EE73</f>
        <v>0</v>
      </c>
      <c r="EJ73" s="3">
        <f t="shared" ref="EJ73:EL73" si="62">SUM(EI70:EI73)</f>
        <v>0</v>
      </c>
      <c r="EK73" s="3">
        <f>EG73+S!EG73+E!EG73+O!EG73</f>
        <v>0</v>
      </c>
      <c r="EL73" s="3">
        <f t="shared" si="62"/>
        <v>0</v>
      </c>
    </row>
    <row r="74" spans="2:142" ht="20.25" customHeight="1" x14ac:dyDescent="0.3">
      <c r="B74" s="28" t="s">
        <v>90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4">
        <f>SUM(C74:L74)*Inicio!$W$4</f>
        <v>0</v>
      </c>
      <c r="DT74" s="4">
        <f>SUM(M74:V74)*Inicio!$W$5</f>
        <v>0</v>
      </c>
      <c r="DU74" s="4">
        <f>SUM(W74:AF74)*Inicio!$W$6</f>
        <v>0</v>
      </c>
      <c r="DV74" s="4">
        <f>SUM(AG74:AP74)*Inicio!$W$7</f>
        <v>0</v>
      </c>
      <c r="DW74" s="4">
        <f>SUM(AQ74:AZ74)*Inicio!$W$8</f>
        <v>0</v>
      </c>
      <c r="DX74" s="4">
        <f>SUM(BA74:BJ74)*Inicio!$W$9</f>
        <v>0</v>
      </c>
      <c r="DY74" s="4">
        <f>SUM(BK74:BT74)*Inicio!$W$10</f>
        <v>0</v>
      </c>
      <c r="DZ74" s="4">
        <f>SUM(BU74:CD74)*Inicio!$W$11</f>
        <v>0</v>
      </c>
      <c r="EA74" s="4">
        <f>SUM(CE74:CN74)*Inicio!$W$12</f>
        <v>0</v>
      </c>
      <c r="EB74" s="4">
        <f>SUM(CO74:CX74)*Inicio!$W$13</f>
        <v>0</v>
      </c>
      <c r="EC74" s="4">
        <f>SUM(CY74:DH74)*Inicio!$W$11</f>
        <v>0</v>
      </c>
      <c r="ED74" s="4">
        <f>SUM(DI74:DR74)*Inicio!$W$12</f>
        <v>0</v>
      </c>
      <c r="EE74" s="4">
        <f t="shared" ref="EE74:EE104" si="63">SUM(C74:DR74)</f>
        <v>0</v>
      </c>
      <c r="EF74" s="4">
        <f t="shared" si="2"/>
        <v>0</v>
      </c>
      <c r="EG74" s="4">
        <f t="shared" ref="EG74:EG104" si="64">SUM(DS74:ED74)</f>
        <v>0</v>
      </c>
      <c r="EH74" s="4">
        <f t="shared" si="2"/>
        <v>0</v>
      </c>
      <c r="EI74" s="4">
        <f>EE74+S!EE74+E!EE74+O!EE74</f>
        <v>0</v>
      </c>
      <c r="EJ74" s="4">
        <f t="shared" ref="EJ74:EL74" si="65">SUM(EI71:EI74)</f>
        <v>0</v>
      </c>
      <c r="EK74" s="4">
        <f>EG74+S!EG74+E!EG74+O!EG74</f>
        <v>0</v>
      </c>
      <c r="EL74" s="4">
        <f t="shared" si="65"/>
        <v>0</v>
      </c>
    </row>
    <row r="75" spans="2:142" ht="20.25" customHeight="1" x14ac:dyDescent="0.3">
      <c r="B75" s="28" t="s">
        <v>91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4">
        <f>SUM(C75:L75)*Inicio!$W$4</f>
        <v>0</v>
      </c>
      <c r="DT75" s="4">
        <f>SUM(M75:V75)*Inicio!$W$5</f>
        <v>0</v>
      </c>
      <c r="DU75" s="4">
        <f>SUM(W75:AF75)*Inicio!$W$6</f>
        <v>0</v>
      </c>
      <c r="DV75" s="4">
        <f>SUM(AG75:AP75)*Inicio!$W$7</f>
        <v>0</v>
      </c>
      <c r="DW75" s="4">
        <f>SUM(AQ75:AZ75)*Inicio!$W$8</f>
        <v>0</v>
      </c>
      <c r="DX75" s="4">
        <f>SUM(BA75:BJ75)*Inicio!$W$9</f>
        <v>0</v>
      </c>
      <c r="DY75" s="4">
        <f>SUM(BK75:BT75)*Inicio!$W$10</f>
        <v>0</v>
      </c>
      <c r="DZ75" s="4">
        <f>SUM(BU75:CD75)*Inicio!$W$11</f>
        <v>0</v>
      </c>
      <c r="EA75" s="4">
        <f>SUM(CE75:CN75)*Inicio!$W$12</f>
        <v>0</v>
      </c>
      <c r="EB75" s="4">
        <f>SUM(CO75:CX75)*Inicio!$W$13</f>
        <v>0</v>
      </c>
      <c r="EC75" s="4">
        <f>SUM(CY75:DH75)*Inicio!$W$11</f>
        <v>0</v>
      </c>
      <c r="ED75" s="4">
        <f>SUM(DI75:DR75)*Inicio!$W$12</f>
        <v>0</v>
      </c>
      <c r="EE75" s="4">
        <f t="shared" si="63"/>
        <v>0</v>
      </c>
      <c r="EF75" s="4">
        <f t="shared" si="2"/>
        <v>0</v>
      </c>
      <c r="EG75" s="4">
        <f t="shared" si="64"/>
        <v>0</v>
      </c>
      <c r="EH75" s="4">
        <f t="shared" si="2"/>
        <v>0</v>
      </c>
      <c r="EI75" s="4">
        <f>EE75+S!EE75+E!EE75+O!EE75</f>
        <v>0</v>
      </c>
      <c r="EJ75" s="4">
        <f t="shared" ref="EJ75:EL75" si="66">SUM(EI72:EI75)</f>
        <v>0</v>
      </c>
      <c r="EK75" s="4">
        <f>EG75+S!EG75+E!EG75+O!EG75</f>
        <v>0</v>
      </c>
      <c r="EL75" s="4">
        <f t="shared" si="66"/>
        <v>0</v>
      </c>
    </row>
    <row r="76" spans="2:142" ht="20.25" customHeight="1" x14ac:dyDescent="0.3">
      <c r="B76" s="26" t="s">
        <v>92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5">
        <f>SUM(C76:L76)*Inicio!$W$4</f>
        <v>0</v>
      </c>
      <c r="DT76" s="5">
        <f>SUM(M76:V76)*Inicio!$W$5</f>
        <v>0</v>
      </c>
      <c r="DU76" s="5">
        <f>SUM(W76:AF76)*Inicio!$W$6</f>
        <v>0</v>
      </c>
      <c r="DV76" s="5">
        <f>SUM(AG76:AP76)*Inicio!$W$7</f>
        <v>0</v>
      </c>
      <c r="DW76" s="5">
        <f>SUM(AQ76:AZ76)*Inicio!$W$8</f>
        <v>0</v>
      </c>
      <c r="DX76" s="5">
        <f>SUM(BA76:BJ76)*Inicio!$W$9</f>
        <v>0</v>
      </c>
      <c r="DY76" s="5">
        <f>SUM(BK76:BT76)*Inicio!$W$10</f>
        <v>0</v>
      </c>
      <c r="DZ76" s="5">
        <f>SUM(BU76:CD76)*Inicio!$W$11</f>
        <v>0</v>
      </c>
      <c r="EA76" s="5">
        <f>SUM(CE76:CN76)*Inicio!$W$12</f>
        <v>0</v>
      </c>
      <c r="EB76" s="5">
        <f>SUM(CO76:CX76)*Inicio!$W$13</f>
        <v>0</v>
      </c>
      <c r="EC76" s="5">
        <f>SUM(CY76:DH76)*Inicio!$W$11</f>
        <v>0</v>
      </c>
      <c r="ED76" s="5">
        <f>SUM(DI76:DR76)*Inicio!$W$12</f>
        <v>0</v>
      </c>
      <c r="EE76" s="5">
        <f t="shared" si="63"/>
        <v>0</v>
      </c>
      <c r="EF76" s="5">
        <f t="shared" si="2"/>
        <v>0</v>
      </c>
      <c r="EG76" s="5">
        <f t="shared" si="64"/>
        <v>0</v>
      </c>
      <c r="EH76" s="5">
        <f t="shared" si="2"/>
        <v>0</v>
      </c>
      <c r="EI76" s="5">
        <f>EE76+S!EE76+E!EE76+O!EE76</f>
        <v>0</v>
      </c>
      <c r="EJ76" s="5">
        <f t="shared" ref="EJ76:EL76" si="67">SUM(EI73:EI76)</f>
        <v>0</v>
      </c>
      <c r="EK76" s="5">
        <f>EG76+S!EG76+E!EG76+O!EG76</f>
        <v>0</v>
      </c>
      <c r="EL76" s="5">
        <f t="shared" si="67"/>
        <v>0</v>
      </c>
    </row>
    <row r="77" spans="2:142" ht="20.25" customHeight="1" x14ac:dyDescent="0.3">
      <c r="B77" s="27" t="s">
        <v>93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3">
        <f>SUM(C77:L77)*Inicio!$W$4</f>
        <v>0</v>
      </c>
      <c r="DT77" s="3">
        <f>SUM(M77:V77)*Inicio!$W$5</f>
        <v>0</v>
      </c>
      <c r="DU77" s="3">
        <f>SUM(W77:AF77)*Inicio!$W$6</f>
        <v>0</v>
      </c>
      <c r="DV77" s="3">
        <f>SUM(AG77:AP77)*Inicio!$W$7</f>
        <v>0</v>
      </c>
      <c r="DW77" s="3">
        <f>SUM(AQ77:AZ77)*Inicio!$W$8</f>
        <v>0</v>
      </c>
      <c r="DX77" s="3">
        <f>SUM(BA77:BJ77)*Inicio!$W$9</f>
        <v>0</v>
      </c>
      <c r="DY77" s="3">
        <f>SUM(BK77:BT77)*Inicio!$W$10</f>
        <v>0</v>
      </c>
      <c r="DZ77" s="3">
        <f>SUM(BU77:CD77)*Inicio!$W$11</f>
        <v>0</v>
      </c>
      <c r="EA77" s="3">
        <f>SUM(CE77:CN77)*Inicio!$W$12</f>
        <v>0</v>
      </c>
      <c r="EB77" s="3">
        <f>SUM(CO77:CX77)*Inicio!$W$13</f>
        <v>0</v>
      </c>
      <c r="EC77" s="3">
        <f>SUM(CY77:DH77)*Inicio!$W$11</f>
        <v>0</v>
      </c>
      <c r="ED77" s="3">
        <f>SUM(DI77:DR77)*Inicio!$W$12</f>
        <v>0</v>
      </c>
      <c r="EE77" s="3">
        <f t="shared" si="63"/>
        <v>0</v>
      </c>
      <c r="EF77" s="3">
        <f t="shared" si="2"/>
        <v>0</v>
      </c>
      <c r="EG77" s="3">
        <f t="shared" si="64"/>
        <v>0</v>
      </c>
      <c r="EH77" s="3">
        <f t="shared" si="2"/>
        <v>0</v>
      </c>
      <c r="EI77" s="3">
        <f>EE77+S!EE77+E!EE77+O!EE77</f>
        <v>0</v>
      </c>
      <c r="EJ77" s="3">
        <f t="shared" ref="EJ77:EL77" si="68">SUM(EI74:EI77)</f>
        <v>0</v>
      </c>
      <c r="EK77" s="3">
        <f>EG77+S!EG77+E!EG77+O!EG77</f>
        <v>0</v>
      </c>
      <c r="EL77" s="3">
        <f t="shared" si="68"/>
        <v>0</v>
      </c>
    </row>
    <row r="78" spans="2:142" ht="20.25" customHeight="1" x14ac:dyDescent="0.3">
      <c r="B78" s="28" t="s">
        <v>94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4">
        <f>SUM(C78:L78)*Inicio!$W$4</f>
        <v>0</v>
      </c>
      <c r="DT78" s="4">
        <f>SUM(M78:V78)*Inicio!$W$5</f>
        <v>0</v>
      </c>
      <c r="DU78" s="4">
        <f>SUM(W78:AF78)*Inicio!$W$6</f>
        <v>0</v>
      </c>
      <c r="DV78" s="4">
        <f>SUM(AG78:AP78)*Inicio!$W$7</f>
        <v>0</v>
      </c>
      <c r="DW78" s="4">
        <f>SUM(AQ78:AZ78)*Inicio!$W$8</f>
        <v>0</v>
      </c>
      <c r="DX78" s="4">
        <f>SUM(BA78:BJ78)*Inicio!$W$9</f>
        <v>0</v>
      </c>
      <c r="DY78" s="4">
        <f>SUM(BK78:BT78)*Inicio!$W$10</f>
        <v>0</v>
      </c>
      <c r="DZ78" s="4">
        <f>SUM(BU78:CD78)*Inicio!$W$11</f>
        <v>0</v>
      </c>
      <c r="EA78" s="4">
        <f>SUM(CE78:CN78)*Inicio!$W$12</f>
        <v>0</v>
      </c>
      <c r="EB78" s="4">
        <f>SUM(CO78:CX78)*Inicio!$W$13</f>
        <v>0</v>
      </c>
      <c r="EC78" s="4">
        <f>SUM(CY78:DH78)*Inicio!$W$11</f>
        <v>0</v>
      </c>
      <c r="ED78" s="4">
        <f>SUM(DI78:DR78)*Inicio!$W$12</f>
        <v>0</v>
      </c>
      <c r="EE78" s="4">
        <f t="shared" si="63"/>
        <v>0</v>
      </c>
      <c r="EF78" s="4">
        <f t="shared" ref="EF78:EH104" si="69">SUM(EE75:EE78)</f>
        <v>0</v>
      </c>
      <c r="EG78" s="4">
        <f t="shared" si="64"/>
        <v>0</v>
      </c>
      <c r="EH78" s="4">
        <f t="shared" si="69"/>
        <v>0</v>
      </c>
      <c r="EI78" s="4">
        <f>EE78+S!EE78+E!EE78+O!EE78</f>
        <v>0</v>
      </c>
      <c r="EJ78" s="4">
        <f t="shared" ref="EJ78:EL78" si="70">SUM(EI75:EI78)</f>
        <v>0</v>
      </c>
      <c r="EK78" s="4">
        <f>EG78+S!EG78+E!EG78+O!EG78</f>
        <v>0</v>
      </c>
      <c r="EL78" s="4">
        <f t="shared" si="70"/>
        <v>0</v>
      </c>
    </row>
    <row r="79" spans="2:142" ht="20.25" customHeight="1" x14ac:dyDescent="0.3">
      <c r="B79" s="28" t="s">
        <v>95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4">
        <f>SUM(C79:L79)*Inicio!$W$4</f>
        <v>0</v>
      </c>
      <c r="DT79" s="4">
        <f>SUM(M79:V79)*Inicio!$W$5</f>
        <v>0</v>
      </c>
      <c r="DU79" s="4">
        <f>SUM(W79:AF79)*Inicio!$W$6</f>
        <v>0</v>
      </c>
      <c r="DV79" s="4">
        <f>SUM(AG79:AP79)*Inicio!$W$7</f>
        <v>0</v>
      </c>
      <c r="DW79" s="4">
        <f>SUM(AQ79:AZ79)*Inicio!$W$8</f>
        <v>0</v>
      </c>
      <c r="DX79" s="4">
        <f>SUM(BA79:BJ79)*Inicio!$W$9</f>
        <v>0</v>
      </c>
      <c r="DY79" s="4">
        <f>SUM(BK79:BT79)*Inicio!$W$10</f>
        <v>0</v>
      </c>
      <c r="DZ79" s="4">
        <f>SUM(BU79:CD79)*Inicio!$W$11</f>
        <v>0</v>
      </c>
      <c r="EA79" s="4">
        <f>SUM(CE79:CN79)*Inicio!$W$12</f>
        <v>0</v>
      </c>
      <c r="EB79" s="4">
        <f>SUM(CO79:CX79)*Inicio!$W$13</f>
        <v>0</v>
      </c>
      <c r="EC79" s="4">
        <f>SUM(CY79:DH79)*Inicio!$W$11</f>
        <v>0</v>
      </c>
      <c r="ED79" s="4">
        <f>SUM(DI79:DR79)*Inicio!$W$12</f>
        <v>0</v>
      </c>
      <c r="EE79" s="4">
        <f t="shared" si="63"/>
        <v>0</v>
      </c>
      <c r="EF79" s="4">
        <f t="shared" si="69"/>
        <v>0</v>
      </c>
      <c r="EG79" s="4">
        <f t="shared" si="64"/>
        <v>0</v>
      </c>
      <c r="EH79" s="4">
        <f t="shared" si="69"/>
        <v>0</v>
      </c>
      <c r="EI79" s="4">
        <f>EE79+S!EE79+E!EE79+O!EE79</f>
        <v>0</v>
      </c>
      <c r="EJ79" s="4">
        <f t="shared" ref="EJ79:EL79" si="71">SUM(EI76:EI79)</f>
        <v>0</v>
      </c>
      <c r="EK79" s="4">
        <f>EG79+S!EG79+E!EG79+O!EG79</f>
        <v>0</v>
      </c>
      <c r="EL79" s="4">
        <f t="shared" si="71"/>
        <v>0</v>
      </c>
    </row>
    <row r="80" spans="2:142" ht="20.25" customHeight="1" x14ac:dyDescent="0.3">
      <c r="B80" s="26" t="s">
        <v>96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5">
        <f>SUM(C80:L80)*Inicio!$W$4</f>
        <v>0</v>
      </c>
      <c r="DT80" s="5">
        <f>SUM(M80:V80)*Inicio!$W$5</f>
        <v>0</v>
      </c>
      <c r="DU80" s="5">
        <f>SUM(W80:AF80)*Inicio!$W$6</f>
        <v>0</v>
      </c>
      <c r="DV80" s="5">
        <f>SUM(AG80:AP80)*Inicio!$W$7</f>
        <v>0</v>
      </c>
      <c r="DW80" s="5">
        <f>SUM(AQ80:AZ80)*Inicio!$W$8</f>
        <v>0</v>
      </c>
      <c r="DX80" s="5">
        <f>SUM(BA80:BJ80)*Inicio!$W$9</f>
        <v>0</v>
      </c>
      <c r="DY80" s="5">
        <f>SUM(BK80:BT80)*Inicio!$W$10</f>
        <v>0</v>
      </c>
      <c r="DZ80" s="5">
        <f>SUM(BU80:CD80)*Inicio!$W$11</f>
        <v>0</v>
      </c>
      <c r="EA80" s="5">
        <f>SUM(CE80:CN80)*Inicio!$W$12</f>
        <v>0</v>
      </c>
      <c r="EB80" s="5">
        <f>SUM(CO80:CX80)*Inicio!$W$13</f>
        <v>0</v>
      </c>
      <c r="EC80" s="5">
        <f>SUM(CY80:DH80)*Inicio!$W$11</f>
        <v>0</v>
      </c>
      <c r="ED80" s="5">
        <f>SUM(DI80:DR80)*Inicio!$W$12</f>
        <v>0</v>
      </c>
      <c r="EE80" s="5">
        <f t="shared" si="63"/>
        <v>0</v>
      </c>
      <c r="EF80" s="5">
        <f t="shared" si="69"/>
        <v>0</v>
      </c>
      <c r="EG80" s="5">
        <f t="shared" si="64"/>
        <v>0</v>
      </c>
      <c r="EH80" s="5">
        <f t="shared" si="69"/>
        <v>0</v>
      </c>
      <c r="EI80" s="5">
        <f>EE80+S!EE80+E!EE80+O!EE80</f>
        <v>0</v>
      </c>
      <c r="EJ80" s="5">
        <f t="shared" ref="EJ80:EL80" si="72">SUM(EI77:EI80)</f>
        <v>0</v>
      </c>
      <c r="EK80" s="5">
        <f>EG80+S!EG80+E!EG80+O!EG80</f>
        <v>0</v>
      </c>
      <c r="EL80" s="5">
        <f t="shared" si="72"/>
        <v>0</v>
      </c>
    </row>
    <row r="81" spans="2:142" ht="20.25" customHeight="1" x14ac:dyDescent="0.3">
      <c r="B81" s="27" t="s">
        <v>97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3">
        <f>SUM(C81:L81)*Inicio!$W$4</f>
        <v>0</v>
      </c>
      <c r="DT81" s="3">
        <f>SUM(M81:V81)*Inicio!$W$5</f>
        <v>0</v>
      </c>
      <c r="DU81" s="3">
        <f>SUM(W81:AF81)*Inicio!$W$6</f>
        <v>0</v>
      </c>
      <c r="DV81" s="3">
        <f>SUM(AG81:AP81)*Inicio!$W$7</f>
        <v>0</v>
      </c>
      <c r="DW81" s="3">
        <f>SUM(AQ81:AZ81)*Inicio!$W$8</f>
        <v>0</v>
      </c>
      <c r="DX81" s="3">
        <f>SUM(BA81:BJ81)*Inicio!$W$9</f>
        <v>0</v>
      </c>
      <c r="DY81" s="3">
        <f>SUM(BK81:BT81)*Inicio!$W$10</f>
        <v>0</v>
      </c>
      <c r="DZ81" s="3">
        <f>SUM(BU81:CD81)*Inicio!$W$11</f>
        <v>0</v>
      </c>
      <c r="EA81" s="3">
        <f>SUM(CE81:CN81)*Inicio!$W$12</f>
        <v>0</v>
      </c>
      <c r="EB81" s="3">
        <f>SUM(CO81:CX81)*Inicio!$W$13</f>
        <v>0</v>
      </c>
      <c r="EC81" s="3">
        <f>SUM(CY81:DH81)*Inicio!$W$11</f>
        <v>0</v>
      </c>
      <c r="ED81" s="3">
        <f>SUM(DI81:DR81)*Inicio!$W$12</f>
        <v>0</v>
      </c>
      <c r="EE81" s="3">
        <f t="shared" si="63"/>
        <v>0</v>
      </c>
      <c r="EF81" s="3">
        <f t="shared" si="69"/>
        <v>0</v>
      </c>
      <c r="EG81" s="3">
        <f t="shared" si="64"/>
        <v>0</v>
      </c>
      <c r="EH81" s="3">
        <f t="shared" si="69"/>
        <v>0</v>
      </c>
      <c r="EI81" s="3">
        <f>EE81+S!EE81+E!EE81+O!EE81</f>
        <v>0</v>
      </c>
      <c r="EJ81" s="3">
        <f t="shared" ref="EJ81:EL81" si="73">SUM(EI78:EI81)</f>
        <v>0</v>
      </c>
      <c r="EK81" s="3">
        <f>EG81+S!EG81+E!EG81+O!EG81</f>
        <v>0</v>
      </c>
      <c r="EL81" s="3">
        <f t="shared" si="73"/>
        <v>0</v>
      </c>
    </row>
    <row r="82" spans="2:142" ht="20.25" customHeight="1" x14ac:dyDescent="0.3">
      <c r="B82" s="28" t="s">
        <v>98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4">
        <f>SUM(C82:L82)*Inicio!$W$4</f>
        <v>0</v>
      </c>
      <c r="DT82" s="4">
        <f>SUM(M82:V82)*Inicio!$W$5</f>
        <v>0</v>
      </c>
      <c r="DU82" s="4">
        <f>SUM(W82:AF82)*Inicio!$W$6</f>
        <v>0</v>
      </c>
      <c r="DV82" s="4">
        <f>SUM(AG82:AP82)*Inicio!$W$7</f>
        <v>0</v>
      </c>
      <c r="DW82" s="4">
        <f>SUM(AQ82:AZ82)*Inicio!$W$8</f>
        <v>0</v>
      </c>
      <c r="DX82" s="4">
        <f>SUM(BA82:BJ82)*Inicio!$W$9</f>
        <v>0</v>
      </c>
      <c r="DY82" s="4">
        <f>SUM(BK82:BT82)*Inicio!$W$10</f>
        <v>0</v>
      </c>
      <c r="DZ82" s="4">
        <f>SUM(BU82:CD82)*Inicio!$W$11</f>
        <v>0</v>
      </c>
      <c r="EA82" s="4">
        <f>SUM(CE82:CN82)*Inicio!$W$12</f>
        <v>0</v>
      </c>
      <c r="EB82" s="4">
        <f>SUM(CO82:CX82)*Inicio!$W$13</f>
        <v>0</v>
      </c>
      <c r="EC82" s="4">
        <f>SUM(CY82:DH82)*Inicio!$W$11</f>
        <v>0</v>
      </c>
      <c r="ED82" s="4">
        <f>SUM(DI82:DR82)*Inicio!$W$12</f>
        <v>0</v>
      </c>
      <c r="EE82" s="4">
        <f t="shared" si="63"/>
        <v>0</v>
      </c>
      <c r="EF82" s="4">
        <f t="shared" si="69"/>
        <v>0</v>
      </c>
      <c r="EG82" s="4">
        <f t="shared" si="64"/>
        <v>0</v>
      </c>
      <c r="EH82" s="4">
        <f t="shared" si="69"/>
        <v>0</v>
      </c>
      <c r="EI82" s="4">
        <f>EE82+S!EE82+E!EE82+O!EE82</f>
        <v>0</v>
      </c>
      <c r="EJ82" s="4">
        <f t="shared" ref="EJ82:EL82" si="74">SUM(EI79:EI82)</f>
        <v>0</v>
      </c>
      <c r="EK82" s="4">
        <f>EG82+S!EG82+E!EG82+O!EG82</f>
        <v>0</v>
      </c>
      <c r="EL82" s="4">
        <f t="shared" si="74"/>
        <v>0</v>
      </c>
    </row>
    <row r="83" spans="2:142" ht="20.25" customHeight="1" x14ac:dyDescent="0.3">
      <c r="B83" s="28" t="s">
        <v>99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4">
        <f>SUM(C83:L83)*Inicio!$W$4</f>
        <v>0</v>
      </c>
      <c r="DT83" s="4">
        <f>SUM(M83:V83)*Inicio!$W$5</f>
        <v>0</v>
      </c>
      <c r="DU83" s="4">
        <f>SUM(W83:AF83)*Inicio!$W$6</f>
        <v>0</v>
      </c>
      <c r="DV83" s="4">
        <f>SUM(AG83:AP83)*Inicio!$W$7</f>
        <v>0</v>
      </c>
      <c r="DW83" s="4">
        <f>SUM(AQ83:AZ83)*Inicio!$W$8</f>
        <v>0</v>
      </c>
      <c r="DX83" s="4">
        <f>SUM(BA83:BJ83)*Inicio!$W$9</f>
        <v>0</v>
      </c>
      <c r="DY83" s="4">
        <f>SUM(BK83:BT83)*Inicio!$W$10</f>
        <v>0</v>
      </c>
      <c r="DZ83" s="4">
        <f>SUM(BU83:CD83)*Inicio!$W$11</f>
        <v>0</v>
      </c>
      <c r="EA83" s="4">
        <f>SUM(CE83:CN83)*Inicio!$W$12</f>
        <v>0</v>
      </c>
      <c r="EB83" s="4">
        <f>SUM(CO83:CX83)*Inicio!$W$13</f>
        <v>0</v>
      </c>
      <c r="EC83" s="4">
        <f>SUM(CY83:DH83)*Inicio!$W$11</f>
        <v>0</v>
      </c>
      <c r="ED83" s="4">
        <f>SUM(DI83:DR83)*Inicio!$W$12</f>
        <v>0</v>
      </c>
      <c r="EE83" s="4">
        <f t="shared" si="63"/>
        <v>0</v>
      </c>
      <c r="EF83" s="4">
        <f t="shared" si="69"/>
        <v>0</v>
      </c>
      <c r="EG83" s="4">
        <f t="shared" si="64"/>
        <v>0</v>
      </c>
      <c r="EH83" s="4">
        <f t="shared" si="69"/>
        <v>0</v>
      </c>
      <c r="EI83" s="4">
        <f>EE83+S!EE83+E!EE83+O!EE83</f>
        <v>0</v>
      </c>
      <c r="EJ83" s="4">
        <f t="shared" ref="EJ83:EL83" si="75">SUM(EI80:EI83)</f>
        <v>0</v>
      </c>
      <c r="EK83" s="4">
        <f>EG83+S!EG83+E!EG83+O!EG83</f>
        <v>0</v>
      </c>
      <c r="EL83" s="4">
        <f t="shared" si="75"/>
        <v>0</v>
      </c>
    </row>
    <row r="84" spans="2:142" ht="20.25" customHeight="1" x14ac:dyDescent="0.3">
      <c r="B84" s="26" t="s">
        <v>100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5">
        <f>SUM(C84:L84)*Inicio!$W$4</f>
        <v>0</v>
      </c>
      <c r="DT84" s="5">
        <f>SUM(M84:V84)*Inicio!$W$5</f>
        <v>0</v>
      </c>
      <c r="DU84" s="5">
        <f>SUM(W84:AF84)*Inicio!$W$6</f>
        <v>0</v>
      </c>
      <c r="DV84" s="5">
        <f>SUM(AG84:AP84)*Inicio!$W$7</f>
        <v>0</v>
      </c>
      <c r="DW84" s="5">
        <f>SUM(AQ84:AZ84)*Inicio!$W$8</f>
        <v>0</v>
      </c>
      <c r="DX84" s="5">
        <f>SUM(BA84:BJ84)*Inicio!$W$9</f>
        <v>0</v>
      </c>
      <c r="DY84" s="5">
        <f>SUM(BK84:BT84)*Inicio!$W$10</f>
        <v>0</v>
      </c>
      <c r="DZ84" s="5">
        <f>SUM(BU84:CD84)*Inicio!$W$11</f>
        <v>0</v>
      </c>
      <c r="EA84" s="5">
        <f>SUM(CE84:CN84)*Inicio!$W$12</f>
        <v>0</v>
      </c>
      <c r="EB84" s="5">
        <f>SUM(CO84:CX84)*Inicio!$W$13</f>
        <v>0</v>
      </c>
      <c r="EC84" s="5">
        <f>SUM(CY84:DH84)*Inicio!$W$11</f>
        <v>0</v>
      </c>
      <c r="ED84" s="5">
        <f>SUM(DI84:DR84)*Inicio!$W$12</f>
        <v>0</v>
      </c>
      <c r="EE84" s="5">
        <f t="shared" si="63"/>
        <v>0</v>
      </c>
      <c r="EF84" s="5">
        <f t="shared" si="69"/>
        <v>0</v>
      </c>
      <c r="EG84" s="5">
        <f t="shared" si="64"/>
        <v>0</v>
      </c>
      <c r="EH84" s="5">
        <f t="shared" si="69"/>
        <v>0</v>
      </c>
      <c r="EI84" s="5">
        <f>EE84+S!EE84+E!EE84+O!EE84</f>
        <v>0</v>
      </c>
      <c r="EJ84" s="5">
        <f t="shared" ref="EJ84:EL84" si="76">SUM(EI81:EI84)</f>
        <v>0</v>
      </c>
      <c r="EK84" s="5">
        <f>EG84+S!EG84+E!EG84+O!EG84</f>
        <v>0</v>
      </c>
      <c r="EL84" s="5">
        <f t="shared" si="76"/>
        <v>0</v>
      </c>
    </row>
    <row r="85" spans="2:142" ht="20.25" customHeight="1" x14ac:dyDescent="0.3">
      <c r="B85" s="27" t="s">
        <v>101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3">
        <f>SUM(C85:L85)*Inicio!$W$4</f>
        <v>0</v>
      </c>
      <c r="DT85" s="3">
        <f>SUM(M85:V85)*Inicio!$W$5</f>
        <v>0</v>
      </c>
      <c r="DU85" s="3">
        <f>SUM(W85:AF85)*Inicio!$W$6</f>
        <v>0</v>
      </c>
      <c r="DV85" s="3">
        <f>SUM(AG85:AP85)*Inicio!$W$7</f>
        <v>0</v>
      </c>
      <c r="DW85" s="3">
        <f>SUM(AQ85:AZ85)*Inicio!$W$8</f>
        <v>0</v>
      </c>
      <c r="DX85" s="3">
        <f>SUM(BA85:BJ85)*Inicio!$W$9</f>
        <v>0</v>
      </c>
      <c r="DY85" s="3">
        <f>SUM(BK85:BT85)*Inicio!$W$10</f>
        <v>0</v>
      </c>
      <c r="DZ85" s="3">
        <f>SUM(BU85:CD85)*Inicio!$W$11</f>
        <v>0</v>
      </c>
      <c r="EA85" s="3">
        <f>SUM(CE85:CN85)*Inicio!$W$12</f>
        <v>0</v>
      </c>
      <c r="EB85" s="3">
        <f>SUM(CO85:CX85)*Inicio!$W$13</f>
        <v>0</v>
      </c>
      <c r="EC85" s="3">
        <f>SUM(CY85:DH85)*Inicio!$W$11</f>
        <v>0</v>
      </c>
      <c r="ED85" s="3">
        <f>SUM(DI85:DR85)*Inicio!$W$12</f>
        <v>0</v>
      </c>
      <c r="EE85" s="3">
        <f t="shared" si="63"/>
        <v>0</v>
      </c>
      <c r="EF85" s="3">
        <f t="shared" si="69"/>
        <v>0</v>
      </c>
      <c r="EG85" s="3">
        <f t="shared" si="64"/>
        <v>0</v>
      </c>
      <c r="EH85" s="3">
        <f t="shared" si="69"/>
        <v>0</v>
      </c>
      <c r="EI85" s="3">
        <f>EE85+S!EE85+E!EE85+O!EE85</f>
        <v>0</v>
      </c>
      <c r="EJ85" s="3">
        <f t="shared" ref="EJ85:EL85" si="77">SUM(EI82:EI85)</f>
        <v>0</v>
      </c>
      <c r="EK85" s="3">
        <f>EG85+S!EG85+E!EG85+O!EG85</f>
        <v>0</v>
      </c>
      <c r="EL85" s="3">
        <f t="shared" si="77"/>
        <v>0</v>
      </c>
    </row>
    <row r="86" spans="2:142" ht="20.25" customHeight="1" x14ac:dyDescent="0.3">
      <c r="B86" s="28" t="s">
        <v>102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4">
        <f>SUM(C86:L86)*Inicio!$W$4</f>
        <v>0</v>
      </c>
      <c r="DT86" s="4">
        <f>SUM(M86:V86)*Inicio!$W$5</f>
        <v>0</v>
      </c>
      <c r="DU86" s="4">
        <f>SUM(W86:AF86)*Inicio!$W$6</f>
        <v>0</v>
      </c>
      <c r="DV86" s="4">
        <f>SUM(AG86:AP86)*Inicio!$W$7</f>
        <v>0</v>
      </c>
      <c r="DW86" s="4">
        <f>SUM(AQ86:AZ86)*Inicio!$W$8</f>
        <v>0</v>
      </c>
      <c r="DX86" s="4">
        <f>SUM(BA86:BJ86)*Inicio!$W$9</f>
        <v>0</v>
      </c>
      <c r="DY86" s="4">
        <f>SUM(BK86:BT86)*Inicio!$W$10</f>
        <v>0</v>
      </c>
      <c r="DZ86" s="4">
        <f>SUM(BU86:CD86)*Inicio!$W$11</f>
        <v>0</v>
      </c>
      <c r="EA86" s="4">
        <f>SUM(CE86:CN86)*Inicio!$W$12</f>
        <v>0</v>
      </c>
      <c r="EB86" s="4">
        <f>SUM(CO86:CX86)*Inicio!$W$13</f>
        <v>0</v>
      </c>
      <c r="EC86" s="4">
        <f>SUM(CY86:DH86)*Inicio!$W$11</f>
        <v>0</v>
      </c>
      <c r="ED86" s="4">
        <f>SUM(DI86:DR86)*Inicio!$W$12</f>
        <v>0</v>
      </c>
      <c r="EE86" s="4">
        <f t="shared" si="63"/>
        <v>0</v>
      </c>
      <c r="EF86" s="4">
        <f t="shared" si="69"/>
        <v>0</v>
      </c>
      <c r="EG86" s="4">
        <f t="shared" si="64"/>
        <v>0</v>
      </c>
      <c r="EH86" s="4">
        <f t="shared" si="69"/>
        <v>0</v>
      </c>
      <c r="EI86" s="4">
        <f>EE86+S!EE86+E!EE86+O!EE86</f>
        <v>0</v>
      </c>
      <c r="EJ86" s="4">
        <f t="shared" ref="EJ86:EL86" si="78">SUM(EI83:EI86)</f>
        <v>0</v>
      </c>
      <c r="EK86" s="4">
        <f>EG86+S!EG86+E!EG86+O!EG86</f>
        <v>0</v>
      </c>
      <c r="EL86" s="4">
        <f t="shared" si="78"/>
        <v>0</v>
      </c>
    </row>
    <row r="87" spans="2:142" ht="20.25" customHeight="1" x14ac:dyDescent="0.3">
      <c r="B87" s="28" t="s">
        <v>103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4">
        <f>SUM(C87:L87)*Inicio!$W$4</f>
        <v>0</v>
      </c>
      <c r="DT87" s="4">
        <f>SUM(M87:V87)*Inicio!$W$5</f>
        <v>0</v>
      </c>
      <c r="DU87" s="4">
        <f>SUM(W87:AF87)*Inicio!$W$6</f>
        <v>0</v>
      </c>
      <c r="DV87" s="4">
        <f>SUM(AG87:AP87)*Inicio!$W$7</f>
        <v>0</v>
      </c>
      <c r="DW87" s="4">
        <f>SUM(AQ87:AZ87)*Inicio!$W$8</f>
        <v>0</v>
      </c>
      <c r="DX87" s="4">
        <f>SUM(BA87:BJ87)*Inicio!$W$9</f>
        <v>0</v>
      </c>
      <c r="DY87" s="4">
        <f>SUM(BK87:BT87)*Inicio!$W$10</f>
        <v>0</v>
      </c>
      <c r="DZ87" s="4">
        <f>SUM(BU87:CD87)*Inicio!$W$11</f>
        <v>0</v>
      </c>
      <c r="EA87" s="4">
        <f>SUM(CE87:CN87)*Inicio!$W$12</f>
        <v>0</v>
      </c>
      <c r="EB87" s="4">
        <f>SUM(CO87:CX87)*Inicio!$W$13</f>
        <v>0</v>
      </c>
      <c r="EC87" s="4">
        <f>SUM(CY87:DH87)*Inicio!$W$11</f>
        <v>0</v>
      </c>
      <c r="ED87" s="4">
        <f>SUM(DI87:DR87)*Inicio!$W$12</f>
        <v>0</v>
      </c>
      <c r="EE87" s="4">
        <f t="shared" si="63"/>
        <v>0</v>
      </c>
      <c r="EF87" s="4">
        <f t="shared" si="69"/>
        <v>0</v>
      </c>
      <c r="EG87" s="4">
        <f t="shared" si="64"/>
        <v>0</v>
      </c>
      <c r="EH87" s="4">
        <f t="shared" si="69"/>
        <v>0</v>
      </c>
      <c r="EI87" s="4">
        <f>EE87+S!EE87+E!EE87+O!EE87</f>
        <v>0</v>
      </c>
      <c r="EJ87" s="4">
        <f t="shared" ref="EJ87:EL87" si="79">SUM(EI84:EI87)</f>
        <v>0</v>
      </c>
      <c r="EK87" s="4">
        <f>EG87+S!EG87+E!EG87+O!EG87</f>
        <v>0</v>
      </c>
      <c r="EL87" s="4">
        <f t="shared" si="79"/>
        <v>0</v>
      </c>
    </row>
    <row r="88" spans="2:142" ht="20.25" customHeight="1" x14ac:dyDescent="0.3">
      <c r="B88" s="26" t="s">
        <v>104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5">
        <f>SUM(C88:L88)*Inicio!$W$4</f>
        <v>0</v>
      </c>
      <c r="DT88" s="5">
        <f>SUM(M88:V88)*Inicio!$W$5</f>
        <v>0</v>
      </c>
      <c r="DU88" s="5">
        <f>SUM(W88:AF88)*Inicio!$W$6</f>
        <v>0</v>
      </c>
      <c r="DV88" s="5">
        <f>SUM(AG88:AP88)*Inicio!$W$7</f>
        <v>0</v>
      </c>
      <c r="DW88" s="5">
        <f>SUM(AQ88:AZ88)*Inicio!$W$8</f>
        <v>0</v>
      </c>
      <c r="DX88" s="5">
        <f>SUM(BA88:BJ88)*Inicio!$W$9</f>
        <v>0</v>
      </c>
      <c r="DY88" s="5">
        <f>SUM(BK88:BT88)*Inicio!$W$10</f>
        <v>0</v>
      </c>
      <c r="DZ88" s="5">
        <f>SUM(BU88:CD88)*Inicio!$W$11</f>
        <v>0</v>
      </c>
      <c r="EA88" s="5">
        <f>SUM(CE88:CN88)*Inicio!$W$12</f>
        <v>0</v>
      </c>
      <c r="EB88" s="5">
        <f>SUM(CO88:CX88)*Inicio!$W$13</f>
        <v>0</v>
      </c>
      <c r="EC88" s="5">
        <f>SUM(CY88:DH88)*Inicio!$W$11</f>
        <v>0</v>
      </c>
      <c r="ED88" s="5">
        <f>SUM(DI88:DR88)*Inicio!$W$12</f>
        <v>0</v>
      </c>
      <c r="EE88" s="5">
        <f t="shared" si="63"/>
        <v>0</v>
      </c>
      <c r="EF88" s="5">
        <f t="shared" si="69"/>
        <v>0</v>
      </c>
      <c r="EG88" s="5">
        <f t="shared" si="64"/>
        <v>0</v>
      </c>
      <c r="EH88" s="5">
        <f t="shared" si="69"/>
        <v>0</v>
      </c>
      <c r="EI88" s="5">
        <f>EE88+S!EE88+E!EE88+O!EE88</f>
        <v>0</v>
      </c>
      <c r="EJ88" s="5">
        <f t="shared" ref="EJ88:EL88" si="80">SUM(EI85:EI88)</f>
        <v>0</v>
      </c>
      <c r="EK88" s="5">
        <f>EG88+S!EG88+E!EG88+O!EG88</f>
        <v>0</v>
      </c>
      <c r="EL88" s="5">
        <f t="shared" si="80"/>
        <v>0</v>
      </c>
    </row>
    <row r="89" spans="2:142" ht="20.25" customHeight="1" x14ac:dyDescent="0.3">
      <c r="B89" s="27" t="s">
        <v>105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3">
        <f>SUM(C89:L89)*Inicio!$W$4</f>
        <v>0</v>
      </c>
      <c r="DT89" s="3">
        <f>SUM(M89:V89)*Inicio!$W$5</f>
        <v>0</v>
      </c>
      <c r="DU89" s="3">
        <f>SUM(W89:AF89)*Inicio!$W$6</f>
        <v>0</v>
      </c>
      <c r="DV89" s="3">
        <f>SUM(AG89:AP89)*Inicio!$W$7</f>
        <v>0</v>
      </c>
      <c r="DW89" s="3">
        <f>SUM(AQ89:AZ89)*Inicio!$W$8</f>
        <v>0</v>
      </c>
      <c r="DX89" s="3">
        <f>SUM(BA89:BJ89)*Inicio!$W$9</f>
        <v>0</v>
      </c>
      <c r="DY89" s="3">
        <f>SUM(BK89:BT89)*Inicio!$W$10</f>
        <v>0</v>
      </c>
      <c r="DZ89" s="3">
        <f>SUM(BU89:CD89)*Inicio!$W$11</f>
        <v>0</v>
      </c>
      <c r="EA89" s="3">
        <f>SUM(CE89:CN89)*Inicio!$W$12</f>
        <v>0</v>
      </c>
      <c r="EB89" s="3">
        <f>SUM(CO89:CX89)*Inicio!$W$13</f>
        <v>0</v>
      </c>
      <c r="EC89" s="3">
        <f>SUM(CY89:DH89)*Inicio!$W$11</f>
        <v>0</v>
      </c>
      <c r="ED89" s="3">
        <f>SUM(DI89:DR89)*Inicio!$W$12</f>
        <v>0</v>
      </c>
      <c r="EE89" s="3">
        <f t="shared" si="63"/>
        <v>0</v>
      </c>
      <c r="EF89" s="3">
        <f t="shared" si="69"/>
        <v>0</v>
      </c>
      <c r="EG89" s="3">
        <f t="shared" si="64"/>
        <v>0</v>
      </c>
      <c r="EH89" s="3">
        <f t="shared" si="69"/>
        <v>0</v>
      </c>
      <c r="EI89" s="3">
        <f>EE89+S!EE89+E!EE89+O!EE89</f>
        <v>0</v>
      </c>
      <c r="EJ89" s="3">
        <f t="shared" ref="EJ89:EL89" si="81">SUM(EI86:EI89)</f>
        <v>0</v>
      </c>
      <c r="EK89" s="3">
        <f>EG89+S!EG89+E!EG89+O!EG89</f>
        <v>0</v>
      </c>
      <c r="EL89" s="3">
        <f t="shared" si="81"/>
        <v>0</v>
      </c>
    </row>
    <row r="90" spans="2:142" ht="20.25" customHeight="1" x14ac:dyDescent="0.3">
      <c r="B90" s="28" t="s">
        <v>106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4">
        <f>SUM(C90:L90)*Inicio!$W$4</f>
        <v>0</v>
      </c>
      <c r="DT90" s="4">
        <f>SUM(M90:V90)*Inicio!$W$5</f>
        <v>0</v>
      </c>
      <c r="DU90" s="4">
        <f>SUM(W90:AF90)*Inicio!$W$6</f>
        <v>0</v>
      </c>
      <c r="DV90" s="4">
        <f>SUM(AG90:AP90)*Inicio!$W$7</f>
        <v>0</v>
      </c>
      <c r="DW90" s="4">
        <f>SUM(AQ90:AZ90)*Inicio!$W$8</f>
        <v>0</v>
      </c>
      <c r="DX90" s="4">
        <f>SUM(BA90:BJ90)*Inicio!$W$9</f>
        <v>0</v>
      </c>
      <c r="DY90" s="4">
        <f>SUM(BK90:BT90)*Inicio!$W$10</f>
        <v>0</v>
      </c>
      <c r="DZ90" s="4">
        <f>SUM(BU90:CD90)*Inicio!$W$11</f>
        <v>0</v>
      </c>
      <c r="EA90" s="4">
        <f>SUM(CE90:CN90)*Inicio!$W$12</f>
        <v>0</v>
      </c>
      <c r="EB90" s="4">
        <f>SUM(CO90:CX90)*Inicio!$W$13</f>
        <v>0</v>
      </c>
      <c r="EC90" s="4">
        <f>SUM(CY90:DH90)*Inicio!$W$11</f>
        <v>0</v>
      </c>
      <c r="ED90" s="4">
        <f>SUM(DI90:DR90)*Inicio!$W$12</f>
        <v>0</v>
      </c>
      <c r="EE90" s="4">
        <f t="shared" si="63"/>
        <v>0</v>
      </c>
      <c r="EF90" s="4">
        <f t="shared" si="69"/>
        <v>0</v>
      </c>
      <c r="EG90" s="4">
        <f t="shared" si="64"/>
        <v>0</v>
      </c>
      <c r="EH90" s="4">
        <f t="shared" si="69"/>
        <v>0</v>
      </c>
      <c r="EI90" s="4">
        <f>EE90+S!EE90+E!EE90+O!EE90</f>
        <v>0</v>
      </c>
      <c r="EJ90" s="4">
        <f t="shared" ref="EJ90:EL90" si="82">SUM(EI87:EI90)</f>
        <v>0</v>
      </c>
      <c r="EK90" s="4">
        <f>EG90+S!EG90+E!EG90+O!EG90</f>
        <v>0</v>
      </c>
      <c r="EL90" s="4">
        <f t="shared" si="82"/>
        <v>0</v>
      </c>
    </row>
    <row r="91" spans="2:142" ht="20.25" customHeight="1" x14ac:dyDescent="0.3">
      <c r="B91" s="28" t="s">
        <v>107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4">
        <f>SUM(C91:L91)*Inicio!$W$4</f>
        <v>0</v>
      </c>
      <c r="DT91" s="4">
        <f>SUM(M91:V91)*Inicio!$W$5</f>
        <v>0</v>
      </c>
      <c r="DU91" s="4">
        <f>SUM(W91:AF91)*Inicio!$W$6</f>
        <v>0</v>
      </c>
      <c r="DV91" s="4">
        <f>SUM(AG91:AP91)*Inicio!$W$7</f>
        <v>0</v>
      </c>
      <c r="DW91" s="4">
        <f>SUM(AQ91:AZ91)*Inicio!$W$8</f>
        <v>0</v>
      </c>
      <c r="DX91" s="4">
        <f>SUM(BA91:BJ91)*Inicio!$W$9</f>
        <v>0</v>
      </c>
      <c r="DY91" s="4">
        <f>SUM(BK91:BT91)*Inicio!$W$10</f>
        <v>0</v>
      </c>
      <c r="DZ91" s="4">
        <f>SUM(BU91:CD91)*Inicio!$W$11</f>
        <v>0</v>
      </c>
      <c r="EA91" s="4">
        <f>SUM(CE91:CN91)*Inicio!$W$12</f>
        <v>0</v>
      </c>
      <c r="EB91" s="4">
        <f>SUM(CO91:CX91)*Inicio!$W$13</f>
        <v>0</v>
      </c>
      <c r="EC91" s="4">
        <f>SUM(CY91:DH91)*Inicio!$W$11</f>
        <v>0</v>
      </c>
      <c r="ED91" s="4">
        <f>SUM(DI91:DR91)*Inicio!$W$12</f>
        <v>0</v>
      </c>
      <c r="EE91" s="4">
        <f t="shared" si="63"/>
        <v>0</v>
      </c>
      <c r="EF91" s="4">
        <f t="shared" si="69"/>
        <v>0</v>
      </c>
      <c r="EG91" s="4">
        <f t="shared" si="64"/>
        <v>0</v>
      </c>
      <c r="EH91" s="4">
        <f t="shared" si="69"/>
        <v>0</v>
      </c>
      <c r="EI91" s="4">
        <f>EE91+S!EE91+E!EE91+O!EE91</f>
        <v>0</v>
      </c>
      <c r="EJ91" s="4">
        <f t="shared" ref="EJ91:EL91" si="83">SUM(EI88:EI91)</f>
        <v>0</v>
      </c>
      <c r="EK91" s="4">
        <f>EG91+S!EG91+E!EG91+O!EG91</f>
        <v>0</v>
      </c>
      <c r="EL91" s="4">
        <f t="shared" si="83"/>
        <v>0</v>
      </c>
    </row>
    <row r="92" spans="2:142" ht="20.25" customHeight="1" x14ac:dyDescent="0.3">
      <c r="B92" s="26" t="s">
        <v>108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5">
        <f>SUM(C92:L92)*Inicio!$W$4</f>
        <v>0</v>
      </c>
      <c r="DT92" s="5">
        <f>SUM(M92:V92)*Inicio!$W$5</f>
        <v>0</v>
      </c>
      <c r="DU92" s="5">
        <f>SUM(W92:AF92)*Inicio!$W$6</f>
        <v>0</v>
      </c>
      <c r="DV92" s="5">
        <f>SUM(AG92:AP92)*Inicio!$W$7</f>
        <v>0</v>
      </c>
      <c r="DW92" s="5">
        <f>SUM(AQ92:AZ92)*Inicio!$W$8</f>
        <v>0</v>
      </c>
      <c r="DX92" s="5">
        <f>SUM(BA92:BJ92)*Inicio!$W$9</f>
        <v>0</v>
      </c>
      <c r="DY92" s="5">
        <f>SUM(BK92:BT92)*Inicio!$W$10</f>
        <v>0</v>
      </c>
      <c r="DZ92" s="5">
        <f>SUM(BU92:CD92)*Inicio!$W$11</f>
        <v>0</v>
      </c>
      <c r="EA92" s="5">
        <f>SUM(CE92:CN92)*Inicio!$W$12</f>
        <v>0</v>
      </c>
      <c r="EB92" s="5">
        <f>SUM(CO92:CX92)*Inicio!$W$13</f>
        <v>0</v>
      </c>
      <c r="EC92" s="5">
        <f>SUM(CY92:DH92)*Inicio!$W$11</f>
        <v>0</v>
      </c>
      <c r="ED92" s="5">
        <f>SUM(DI92:DR92)*Inicio!$W$12</f>
        <v>0</v>
      </c>
      <c r="EE92" s="5">
        <f t="shared" si="63"/>
        <v>0</v>
      </c>
      <c r="EF92" s="5">
        <f t="shared" si="69"/>
        <v>0</v>
      </c>
      <c r="EG92" s="5">
        <f t="shared" si="64"/>
        <v>0</v>
      </c>
      <c r="EH92" s="5">
        <f t="shared" si="69"/>
        <v>0</v>
      </c>
      <c r="EI92" s="5">
        <f>EE92+S!EE92+E!EE92+O!EE92</f>
        <v>0</v>
      </c>
      <c r="EJ92" s="5">
        <f t="shared" ref="EJ92:EL92" si="84">SUM(EI89:EI92)</f>
        <v>0</v>
      </c>
      <c r="EK92" s="5">
        <f>EG92+S!EG92+E!EG92+O!EG92</f>
        <v>0</v>
      </c>
      <c r="EL92" s="5">
        <f t="shared" si="84"/>
        <v>0</v>
      </c>
    </row>
    <row r="93" spans="2:142" ht="20.25" customHeight="1" x14ac:dyDescent="0.3">
      <c r="B93" s="27" t="s">
        <v>109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3">
        <f>SUM(C93:L93)*Inicio!$W$4</f>
        <v>0</v>
      </c>
      <c r="DT93" s="3">
        <f>SUM(M93:V93)*Inicio!$W$5</f>
        <v>0</v>
      </c>
      <c r="DU93" s="3">
        <f>SUM(W93:AF93)*Inicio!$W$6</f>
        <v>0</v>
      </c>
      <c r="DV93" s="3">
        <f>SUM(AG93:AP93)*Inicio!$W$7</f>
        <v>0</v>
      </c>
      <c r="DW93" s="3">
        <f>SUM(AQ93:AZ93)*Inicio!$W$8</f>
        <v>0</v>
      </c>
      <c r="DX93" s="3">
        <f>SUM(BA93:BJ93)*Inicio!$W$9</f>
        <v>0</v>
      </c>
      <c r="DY93" s="3">
        <f>SUM(BK93:BT93)*Inicio!$W$10</f>
        <v>0</v>
      </c>
      <c r="DZ93" s="3">
        <f>SUM(BU93:CD93)*Inicio!$W$11</f>
        <v>0</v>
      </c>
      <c r="EA93" s="3">
        <f>SUM(CE93:CN93)*Inicio!$W$12</f>
        <v>0</v>
      </c>
      <c r="EB93" s="3">
        <f>SUM(CO93:CX93)*Inicio!$W$13</f>
        <v>0</v>
      </c>
      <c r="EC93" s="3">
        <f>SUM(CY93:DH93)*Inicio!$W$11</f>
        <v>0</v>
      </c>
      <c r="ED93" s="3">
        <f>SUM(DI93:DR93)*Inicio!$W$12</f>
        <v>0</v>
      </c>
      <c r="EE93" s="3">
        <f t="shared" si="63"/>
        <v>0</v>
      </c>
      <c r="EF93" s="3">
        <f t="shared" si="69"/>
        <v>0</v>
      </c>
      <c r="EG93" s="3">
        <f t="shared" si="64"/>
        <v>0</v>
      </c>
      <c r="EH93" s="3">
        <f t="shared" si="69"/>
        <v>0</v>
      </c>
      <c r="EI93" s="3">
        <f>EE93+S!EE93+E!EE93+O!EE93</f>
        <v>0</v>
      </c>
      <c r="EJ93" s="3">
        <f t="shared" ref="EJ93:EL93" si="85">SUM(EI90:EI93)</f>
        <v>0</v>
      </c>
      <c r="EK93" s="3">
        <f>EG93+S!EG93+E!EG93+O!EG93</f>
        <v>0</v>
      </c>
      <c r="EL93" s="3">
        <f t="shared" si="85"/>
        <v>0</v>
      </c>
    </row>
    <row r="94" spans="2:142" ht="20.25" customHeight="1" x14ac:dyDescent="0.3">
      <c r="B94" s="28" t="s">
        <v>110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4">
        <f>SUM(C94:L94)*Inicio!$W$4</f>
        <v>0</v>
      </c>
      <c r="DT94" s="4">
        <f>SUM(M94:V94)*Inicio!$W$5</f>
        <v>0</v>
      </c>
      <c r="DU94" s="4">
        <f>SUM(W94:AF94)*Inicio!$W$6</f>
        <v>0</v>
      </c>
      <c r="DV94" s="4">
        <f>SUM(AG94:AP94)*Inicio!$W$7</f>
        <v>0</v>
      </c>
      <c r="DW94" s="4">
        <f>SUM(AQ94:AZ94)*Inicio!$W$8</f>
        <v>0</v>
      </c>
      <c r="DX94" s="4">
        <f>SUM(BA94:BJ94)*Inicio!$W$9</f>
        <v>0</v>
      </c>
      <c r="DY94" s="4">
        <f>SUM(BK94:BT94)*Inicio!$W$10</f>
        <v>0</v>
      </c>
      <c r="DZ94" s="4">
        <f>SUM(BU94:CD94)*Inicio!$W$11</f>
        <v>0</v>
      </c>
      <c r="EA94" s="4">
        <f>SUM(CE94:CN94)*Inicio!$W$12</f>
        <v>0</v>
      </c>
      <c r="EB94" s="4">
        <f>SUM(CO94:CX94)*Inicio!$W$13</f>
        <v>0</v>
      </c>
      <c r="EC94" s="4">
        <f>SUM(CY94:DH94)*Inicio!$W$11</f>
        <v>0</v>
      </c>
      <c r="ED94" s="4">
        <f>SUM(DI94:DR94)*Inicio!$W$12</f>
        <v>0</v>
      </c>
      <c r="EE94" s="4">
        <f t="shared" si="63"/>
        <v>0</v>
      </c>
      <c r="EF94" s="4">
        <f t="shared" si="69"/>
        <v>0</v>
      </c>
      <c r="EG94" s="4">
        <f t="shared" si="64"/>
        <v>0</v>
      </c>
      <c r="EH94" s="4">
        <f t="shared" si="69"/>
        <v>0</v>
      </c>
      <c r="EI94" s="4">
        <f>EE94+S!EE94+E!EE94+O!EE94</f>
        <v>0</v>
      </c>
      <c r="EJ94" s="4">
        <f t="shared" ref="EJ94:EL94" si="86">SUM(EI91:EI94)</f>
        <v>0</v>
      </c>
      <c r="EK94" s="4">
        <f>EG94+S!EG94+E!EG94+O!EG94</f>
        <v>0</v>
      </c>
      <c r="EL94" s="4">
        <f t="shared" si="86"/>
        <v>0</v>
      </c>
    </row>
    <row r="95" spans="2:142" ht="20.25" customHeight="1" x14ac:dyDescent="0.3">
      <c r="B95" s="28" t="s">
        <v>111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4">
        <f>SUM(C95:L95)*Inicio!$W$4</f>
        <v>0</v>
      </c>
      <c r="DT95" s="4">
        <f>SUM(M95:V95)*Inicio!$W$5</f>
        <v>0</v>
      </c>
      <c r="DU95" s="4">
        <f>SUM(W95:AF95)*Inicio!$W$6</f>
        <v>0</v>
      </c>
      <c r="DV95" s="4">
        <f>SUM(AG95:AP95)*Inicio!$W$7</f>
        <v>0</v>
      </c>
      <c r="DW95" s="4">
        <f>SUM(AQ95:AZ95)*Inicio!$W$8</f>
        <v>0</v>
      </c>
      <c r="DX95" s="4">
        <f>SUM(BA95:BJ95)*Inicio!$W$9</f>
        <v>0</v>
      </c>
      <c r="DY95" s="4">
        <f>SUM(BK95:BT95)*Inicio!$W$10</f>
        <v>0</v>
      </c>
      <c r="DZ95" s="4">
        <f>SUM(BU95:CD95)*Inicio!$W$11</f>
        <v>0</v>
      </c>
      <c r="EA95" s="4">
        <f>SUM(CE95:CN95)*Inicio!$W$12</f>
        <v>0</v>
      </c>
      <c r="EB95" s="4">
        <f>SUM(CO95:CX95)*Inicio!$W$13</f>
        <v>0</v>
      </c>
      <c r="EC95" s="4">
        <f>SUM(CY95:DH95)*Inicio!$W$11</f>
        <v>0</v>
      </c>
      <c r="ED95" s="4">
        <f>SUM(DI95:DR95)*Inicio!$W$12</f>
        <v>0</v>
      </c>
      <c r="EE95" s="4">
        <f t="shared" si="63"/>
        <v>0</v>
      </c>
      <c r="EF95" s="4">
        <f t="shared" si="69"/>
        <v>0</v>
      </c>
      <c r="EG95" s="4">
        <f t="shared" si="64"/>
        <v>0</v>
      </c>
      <c r="EH95" s="4">
        <f t="shared" si="69"/>
        <v>0</v>
      </c>
      <c r="EI95" s="4">
        <f>EE95+S!EE95+E!EE95+O!EE95</f>
        <v>0</v>
      </c>
      <c r="EJ95" s="4">
        <f t="shared" ref="EJ95:EL95" si="87">SUM(EI92:EI95)</f>
        <v>0</v>
      </c>
      <c r="EK95" s="4">
        <f>EG95+S!EG95+E!EG95+O!EG95</f>
        <v>0</v>
      </c>
      <c r="EL95" s="4">
        <f t="shared" si="87"/>
        <v>0</v>
      </c>
    </row>
    <row r="96" spans="2:142" ht="20.25" customHeight="1" x14ac:dyDescent="0.3">
      <c r="B96" s="26" t="s">
        <v>112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5">
        <f>SUM(C96:L96)*Inicio!$W$4</f>
        <v>0</v>
      </c>
      <c r="DT96" s="5">
        <f>SUM(M96:V96)*Inicio!$W$5</f>
        <v>0</v>
      </c>
      <c r="DU96" s="5">
        <f>SUM(W96:AF96)*Inicio!$W$6</f>
        <v>0</v>
      </c>
      <c r="DV96" s="5">
        <f>SUM(AG96:AP96)*Inicio!$W$7</f>
        <v>0</v>
      </c>
      <c r="DW96" s="5">
        <f>SUM(AQ96:AZ96)*Inicio!$W$8</f>
        <v>0</v>
      </c>
      <c r="DX96" s="5">
        <f>SUM(BA96:BJ96)*Inicio!$W$9</f>
        <v>0</v>
      </c>
      <c r="DY96" s="5">
        <f>SUM(BK96:BT96)*Inicio!$W$10</f>
        <v>0</v>
      </c>
      <c r="DZ96" s="5">
        <f>SUM(BU96:CD96)*Inicio!$W$11</f>
        <v>0</v>
      </c>
      <c r="EA96" s="5">
        <f>SUM(CE96:CN96)*Inicio!$W$12</f>
        <v>0</v>
      </c>
      <c r="EB96" s="5">
        <f>SUM(CO96:CX96)*Inicio!$W$13</f>
        <v>0</v>
      </c>
      <c r="EC96" s="5">
        <f>SUM(CY96:DH96)*Inicio!$W$11</f>
        <v>0</v>
      </c>
      <c r="ED96" s="5">
        <f>SUM(DI96:DR96)*Inicio!$W$12</f>
        <v>0</v>
      </c>
      <c r="EE96" s="5">
        <f t="shared" si="63"/>
        <v>0</v>
      </c>
      <c r="EF96" s="5">
        <f t="shared" si="69"/>
        <v>0</v>
      </c>
      <c r="EG96" s="5">
        <f t="shared" si="64"/>
        <v>0</v>
      </c>
      <c r="EH96" s="5">
        <f t="shared" si="69"/>
        <v>0</v>
      </c>
      <c r="EI96" s="5">
        <f>EE96+S!EE96+E!EE96+O!EE96</f>
        <v>0</v>
      </c>
      <c r="EJ96" s="5">
        <f t="shared" ref="EJ96:EL96" si="88">SUM(EI93:EI96)</f>
        <v>0</v>
      </c>
      <c r="EK96" s="5">
        <f>EG96+S!EG96+E!EG96+O!EG96</f>
        <v>0</v>
      </c>
      <c r="EL96" s="5">
        <f t="shared" si="88"/>
        <v>0</v>
      </c>
    </row>
    <row r="97" spans="2:142" ht="20.25" customHeight="1" x14ac:dyDescent="0.3">
      <c r="B97" s="27" t="s">
        <v>113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3">
        <f>SUM(C97:L97)*Inicio!$W$4</f>
        <v>0</v>
      </c>
      <c r="DT97" s="3">
        <f>SUM(M97:V97)*Inicio!$W$5</f>
        <v>0</v>
      </c>
      <c r="DU97" s="3">
        <f>SUM(W97:AF97)*Inicio!$W$6</f>
        <v>0</v>
      </c>
      <c r="DV97" s="3">
        <f>SUM(AG97:AP97)*Inicio!$W$7</f>
        <v>0</v>
      </c>
      <c r="DW97" s="3">
        <f>SUM(AQ97:AZ97)*Inicio!$W$8</f>
        <v>0</v>
      </c>
      <c r="DX97" s="3">
        <f>SUM(BA97:BJ97)*Inicio!$W$9</f>
        <v>0</v>
      </c>
      <c r="DY97" s="3">
        <f>SUM(BK97:BT97)*Inicio!$W$10</f>
        <v>0</v>
      </c>
      <c r="DZ97" s="3">
        <f>SUM(BU97:CD97)*Inicio!$W$11</f>
        <v>0</v>
      </c>
      <c r="EA97" s="3">
        <f>SUM(CE97:CN97)*Inicio!$W$12</f>
        <v>0</v>
      </c>
      <c r="EB97" s="3">
        <f>SUM(CO97:CX97)*Inicio!$W$13</f>
        <v>0</v>
      </c>
      <c r="EC97" s="3">
        <f>SUM(CY97:DH97)*Inicio!$W$11</f>
        <v>0</v>
      </c>
      <c r="ED97" s="3">
        <f>SUM(DI97:DR97)*Inicio!$W$12</f>
        <v>0</v>
      </c>
      <c r="EE97" s="3">
        <f t="shared" si="63"/>
        <v>0</v>
      </c>
      <c r="EF97" s="3">
        <f t="shared" si="69"/>
        <v>0</v>
      </c>
      <c r="EG97" s="3">
        <f t="shared" si="64"/>
        <v>0</v>
      </c>
      <c r="EH97" s="3">
        <f t="shared" si="69"/>
        <v>0</v>
      </c>
      <c r="EI97" s="3">
        <f>EE97+S!EE97+E!EE97+O!EE97</f>
        <v>0</v>
      </c>
      <c r="EJ97" s="3">
        <f t="shared" ref="EJ97:EL97" si="89">SUM(EI94:EI97)</f>
        <v>0</v>
      </c>
      <c r="EK97" s="3">
        <f>EG97+S!EG97+E!EG97+O!EG97</f>
        <v>0</v>
      </c>
      <c r="EL97" s="3">
        <f t="shared" si="89"/>
        <v>0</v>
      </c>
    </row>
    <row r="98" spans="2:142" ht="20.25" customHeight="1" x14ac:dyDescent="0.3">
      <c r="B98" s="28" t="s">
        <v>114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4">
        <f>SUM(C98:L98)*Inicio!$W$4</f>
        <v>0</v>
      </c>
      <c r="DT98" s="4">
        <f>SUM(M98:V98)*Inicio!$W$5</f>
        <v>0</v>
      </c>
      <c r="DU98" s="4">
        <f>SUM(W98:AF98)*Inicio!$W$6</f>
        <v>0</v>
      </c>
      <c r="DV98" s="4">
        <f>SUM(AG98:AP98)*Inicio!$W$7</f>
        <v>0</v>
      </c>
      <c r="DW98" s="4">
        <f>SUM(AQ98:AZ98)*Inicio!$W$8</f>
        <v>0</v>
      </c>
      <c r="DX98" s="4">
        <f>SUM(BA98:BJ98)*Inicio!$W$9</f>
        <v>0</v>
      </c>
      <c r="DY98" s="4">
        <f>SUM(BK98:BT98)*Inicio!$W$10</f>
        <v>0</v>
      </c>
      <c r="DZ98" s="4">
        <f>SUM(BU98:CD98)*Inicio!$W$11</f>
        <v>0</v>
      </c>
      <c r="EA98" s="4">
        <f>SUM(CE98:CN98)*Inicio!$W$12</f>
        <v>0</v>
      </c>
      <c r="EB98" s="4">
        <f>SUM(CO98:CX98)*Inicio!$W$13</f>
        <v>0</v>
      </c>
      <c r="EC98" s="4">
        <f>SUM(CY98:DH98)*Inicio!$W$11</f>
        <v>0</v>
      </c>
      <c r="ED98" s="4">
        <f>SUM(DI98:DR98)*Inicio!$W$12</f>
        <v>0</v>
      </c>
      <c r="EE98" s="4">
        <f t="shared" si="63"/>
        <v>0</v>
      </c>
      <c r="EF98" s="4">
        <f t="shared" si="69"/>
        <v>0</v>
      </c>
      <c r="EG98" s="4">
        <f t="shared" si="64"/>
        <v>0</v>
      </c>
      <c r="EH98" s="4">
        <f t="shared" si="69"/>
        <v>0</v>
      </c>
      <c r="EI98" s="4">
        <f>EE98+S!EE98+E!EE98+O!EE98</f>
        <v>0</v>
      </c>
      <c r="EJ98" s="4">
        <f t="shared" ref="EJ98:EL98" si="90">SUM(EI95:EI98)</f>
        <v>0</v>
      </c>
      <c r="EK98" s="4">
        <f>EG98+S!EG98+E!EG98+O!EG98</f>
        <v>0</v>
      </c>
      <c r="EL98" s="4">
        <f t="shared" si="90"/>
        <v>0</v>
      </c>
    </row>
    <row r="99" spans="2:142" ht="20.25" customHeight="1" x14ac:dyDescent="0.3">
      <c r="B99" s="28" t="s">
        <v>115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4">
        <f>SUM(C99:L99)*Inicio!$W$4</f>
        <v>0</v>
      </c>
      <c r="DT99" s="4">
        <f>SUM(M99:V99)*Inicio!$W$5</f>
        <v>0</v>
      </c>
      <c r="DU99" s="4">
        <f>SUM(W99:AF99)*Inicio!$W$6</f>
        <v>0</v>
      </c>
      <c r="DV99" s="4">
        <f>SUM(AG99:AP99)*Inicio!$W$7</f>
        <v>0</v>
      </c>
      <c r="DW99" s="4">
        <f>SUM(AQ99:AZ99)*Inicio!$W$8</f>
        <v>0</v>
      </c>
      <c r="DX99" s="4">
        <f>SUM(BA99:BJ99)*Inicio!$W$9</f>
        <v>0</v>
      </c>
      <c r="DY99" s="4">
        <f>SUM(BK99:BT99)*Inicio!$W$10</f>
        <v>0</v>
      </c>
      <c r="DZ99" s="4">
        <f>SUM(BU99:CD99)*Inicio!$W$11</f>
        <v>0</v>
      </c>
      <c r="EA99" s="4">
        <f>SUM(CE99:CN99)*Inicio!$W$12</f>
        <v>0</v>
      </c>
      <c r="EB99" s="4">
        <f>SUM(CO99:CX99)*Inicio!$W$13</f>
        <v>0</v>
      </c>
      <c r="EC99" s="4">
        <f>SUM(CY99:DH99)*Inicio!$W$11</f>
        <v>0</v>
      </c>
      <c r="ED99" s="4">
        <f>SUM(DI99:DR99)*Inicio!$W$12</f>
        <v>0</v>
      </c>
      <c r="EE99" s="4">
        <f t="shared" si="63"/>
        <v>0</v>
      </c>
      <c r="EF99" s="4">
        <f t="shared" si="69"/>
        <v>0</v>
      </c>
      <c r="EG99" s="4">
        <f t="shared" si="64"/>
        <v>0</v>
      </c>
      <c r="EH99" s="4">
        <f t="shared" si="69"/>
        <v>0</v>
      </c>
      <c r="EI99" s="4">
        <f>EE99+S!EE99+E!EE99+O!EE99</f>
        <v>0</v>
      </c>
      <c r="EJ99" s="4">
        <f t="shared" ref="EJ99:EL99" si="91">SUM(EI96:EI99)</f>
        <v>0</v>
      </c>
      <c r="EK99" s="4">
        <f>EG99+S!EG99+E!EG99+O!EG99</f>
        <v>0</v>
      </c>
      <c r="EL99" s="4">
        <f t="shared" si="91"/>
        <v>0</v>
      </c>
    </row>
    <row r="100" spans="2:142" ht="20.25" customHeight="1" x14ac:dyDescent="0.3">
      <c r="B100" s="26" t="s">
        <v>116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5">
        <f>SUM(C100:L100)*Inicio!$W$4</f>
        <v>0</v>
      </c>
      <c r="DT100" s="5">
        <f>SUM(M100:V100)*Inicio!$W$5</f>
        <v>0</v>
      </c>
      <c r="DU100" s="5">
        <f>SUM(W100:AF100)*Inicio!$W$6</f>
        <v>0</v>
      </c>
      <c r="DV100" s="5">
        <f>SUM(AG100:AP100)*Inicio!$W$7</f>
        <v>0</v>
      </c>
      <c r="DW100" s="5">
        <f>SUM(AQ100:AZ100)*Inicio!$W$8</f>
        <v>0</v>
      </c>
      <c r="DX100" s="5">
        <f>SUM(BA100:BJ100)*Inicio!$W$9</f>
        <v>0</v>
      </c>
      <c r="DY100" s="5">
        <f>SUM(BK100:BT100)*Inicio!$W$10</f>
        <v>0</v>
      </c>
      <c r="DZ100" s="5">
        <f>SUM(BU100:CD100)*Inicio!$W$11</f>
        <v>0</v>
      </c>
      <c r="EA100" s="5">
        <f>SUM(CE100:CN100)*Inicio!$W$12</f>
        <v>0</v>
      </c>
      <c r="EB100" s="5">
        <f>SUM(CO100:CX100)*Inicio!$W$13</f>
        <v>0</v>
      </c>
      <c r="EC100" s="5">
        <f>SUM(CY100:DH100)*Inicio!$W$11</f>
        <v>0</v>
      </c>
      <c r="ED100" s="5">
        <f>SUM(DI100:DR100)*Inicio!$W$12</f>
        <v>0</v>
      </c>
      <c r="EE100" s="5">
        <f t="shared" si="63"/>
        <v>0</v>
      </c>
      <c r="EF100" s="5">
        <f t="shared" si="69"/>
        <v>0</v>
      </c>
      <c r="EG100" s="5">
        <f t="shared" si="64"/>
        <v>0</v>
      </c>
      <c r="EH100" s="5">
        <f t="shared" si="69"/>
        <v>0</v>
      </c>
      <c r="EI100" s="5">
        <f>EE100+S!EE100+E!EE100+O!EE100</f>
        <v>0</v>
      </c>
      <c r="EJ100" s="5">
        <f t="shared" ref="EJ100:EL100" si="92">SUM(EI97:EI100)</f>
        <v>0</v>
      </c>
      <c r="EK100" s="5">
        <f>EG100+S!EG100+E!EG100+O!EG100</f>
        <v>0</v>
      </c>
      <c r="EL100" s="5">
        <f t="shared" si="92"/>
        <v>0</v>
      </c>
    </row>
    <row r="101" spans="2:142" ht="20.25" customHeight="1" x14ac:dyDescent="0.3">
      <c r="B101" s="23" t="s">
        <v>117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4">
        <f>SUM(C101:L101)*Inicio!$W$4</f>
        <v>0</v>
      </c>
      <c r="DT101" s="4">
        <f>SUM(M101:V101)*Inicio!$W$5</f>
        <v>0</v>
      </c>
      <c r="DU101" s="4">
        <f>SUM(W101:AF101)*Inicio!$W$6</f>
        <v>0</v>
      </c>
      <c r="DV101" s="4">
        <f>SUM(AG101:AP101)*Inicio!$W$7</f>
        <v>0</v>
      </c>
      <c r="DW101" s="4">
        <f>SUM(AQ101:AZ101)*Inicio!$W$8</f>
        <v>0</v>
      </c>
      <c r="DX101" s="4">
        <f>SUM(BA101:BJ101)*Inicio!$W$9</f>
        <v>0</v>
      </c>
      <c r="DY101" s="4">
        <f>SUM(BK101:BT101)*Inicio!$W$10</f>
        <v>0</v>
      </c>
      <c r="DZ101" s="4">
        <f>SUM(BU101:CD101)*Inicio!$W$11</f>
        <v>0</v>
      </c>
      <c r="EA101" s="4">
        <f>SUM(CE101:CN101)*Inicio!$W$12</f>
        <v>0</v>
      </c>
      <c r="EB101" s="4">
        <f>SUM(CO101:CX101)*Inicio!$W$13</f>
        <v>0</v>
      </c>
      <c r="EC101" s="4">
        <f>SUM(CY101:DH101)*Inicio!$W$11</f>
        <v>0</v>
      </c>
      <c r="ED101" s="4">
        <f>SUM(DI101:DR101)*Inicio!$W$12</f>
        <v>0</v>
      </c>
      <c r="EE101" s="4">
        <f t="shared" si="63"/>
        <v>0</v>
      </c>
      <c r="EF101" s="4">
        <f t="shared" si="69"/>
        <v>0</v>
      </c>
      <c r="EG101" s="4">
        <f t="shared" si="64"/>
        <v>0</v>
      </c>
      <c r="EH101" s="4">
        <f t="shared" si="69"/>
        <v>0</v>
      </c>
      <c r="EI101" s="4">
        <f>EE101+S!EE101+E!EE101+O!EE101</f>
        <v>0</v>
      </c>
      <c r="EJ101" s="4">
        <f t="shared" ref="EJ101:EL101" si="93">SUM(EI98:EI101)</f>
        <v>0</v>
      </c>
      <c r="EK101" s="4">
        <f>EG101+S!EG101+E!EG101+O!EG101</f>
        <v>0</v>
      </c>
      <c r="EL101" s="4">
        <f t="shared" si="93"/>
        <v>0</v>
      </c>
    </row>
    <row r="102" spans="2:142" ht="20.25" customHeight="1" x14ac:dyDescent="0.3">
      <c r="B102" s="24" t="s">
        <v>118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4">
        <f>SUM(C102:L102)*Inicio!$W$4</f>
        <v>0</v>
      </c>
      <c r="DT102" s="4">
        <f>SUM(M102:V102)*Inicio!$W$5</f>
        <v>0</v>
      </c>
      <c r="DU102" s="4">
        <f>SUM(W102:AF102)*Inicio!$W$6</f>
        <v>0</v>
      </c>
      <c r="DV102" s="4">
        <f>SUM(AG102:AP102)*Inicio!$W$7</f>
        <v>0</v>
      </c>
      <c r="DW102" s="4">
        <f>SUM(AQ102:AZ102)*Inicio!$W$8</f>
        <v>0</v>
      </c>
      <c r="DX102" s="4">
        <f>SUM(BA102:BJ102)*Inicio!$W$9</f>
        <v>0</v>
      </c>
      <c r="DY102" s="4">
        <f>SUM(BK102:BT102)*Inicio!$W$10</f>
        <v>0</v>
      </c>
      <c r="DZ102" s="4">
        <f>SUM(BU102:CD102)*Inicio!$W$11</f>
        <v>0</v>
      </c>
      <c r="EA102" s="4">
        <f>SUM(CE102:CN102)*Inicio!$W$12</f>
        <v>0</v>
      </c>
      <c r="EB102" s="4">
        <f>SUM(CO102:CX102)*Inicio!$W$13</f>
        <v>0</v>
      </c>
      <c r="EC102" s="4">
        <f>SUM(CY102:DH102)*Inicio!$W$11</f>
        <v>0</v>
      </c>
      <c r="ED102" s="4">
        <f>SUM(DI102:DR102)*Inicio!$W$12</f>
        <v>0</v>
      </c>
      <c r="EE102" s="4">
        <f t="shared" si="63"/>
        <v>0</v>
      </c>
      <c r="EF102" s="4">
        <f t="shared" si="69"/>
        <v>0</v>
      </c>
      <c r="EG102" s="4">
        <f t="shared" si="64"/>
        <v>0</v>
      </c>
      <c r="EH102" s="4">
        <f t="shared" si="69"/>
        <v>0</v>
      </c>
      <c r="EI102" s="4">
        <f>EE102+S!EE102+E!EE102+O!EE102</f>
        <v>0</v>
      </c>
      <c r="EJ102" s="4">
        <f t="shared" ref="EJ102:EL102" si="94">SUM(EI99:EI102)</f>
        <v>0</v>
      </c>
      <c r="EK102" s="4">
        <f>EG102+S!EG102+E!EG102+O!EG102</f>
        <v>0</v>
      </c>
      <c r="EL102" s="4">
        <f t="shared" si="94"/>
        <v>0</v>
      </c>
    </row>
    <row r="103" spans="2:142" ht="20.25" customHeight="1" x14ac:dyDescent="0.3">
      <c r="B103" s="24" t="s">
        <v>119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4">
        <f>SUM(C103:L103)*Inicio!$W$4</f>
        <v>0</v>
      </c>
      <c r="DT103" s="4">
        <f>SUM(M103:V103)*Inicio!$W$5</f>
        <v>0</v>
      </c>
      <c r="DU103" s="4">
        <f>SUM(W103:AF103)*Inicio!$W$6</f>
        <v>0</v>
      </c>
      <c r="DV103" s="4">
        <f>SUM(AG103:AP103)*Inicio!$W$7</f>
        <v>0</v>
      </c>
      <c r="DW103" s="4">
        <f>SUM(AQ103:AZ103)*Inicio!$W$8</f>
        <v>0</v>
      </c>
      <c r="DX103" s="4">
        <f>SUM(BA103:BJ103)*Inicio!$W$9</f>
        <v>0</v>
      </c>
      <c r="DY103" s="4">
        <f>SUM(BK103:BT103)*Inicio!$W$10</f>
        <v>0</v>
      </c>
      <c r="DZ103" s="4">
        <f>SUM(BU103:CD103)*Inicio!$W$11</f>
        <v>0</v>
      </c>
      <c r="EA103" s="4">
        <f>SUM(CE103:CN103)*Inicio!$W$12</f>
        <v>0</v>
      </c>
      <c r="EB103" s="4">
        <f>SUM(CO103:CX103)*Inicio!$W$13</f>
        <v>0</v>
      </c>
      <c r="EC103" s="4">
        <f>SUM(CY103:DH103)*Inicio!$W$11</f>
        <v>0</v>
      </c>
      <c r="ED103" s="4">
        <f>SUM(DI103:DR103)*Inicio!$W$12</f>
        <v>0</v>
      </c>
      <c r="EE103" s="4">
        <f t="shared" si="63"/>
        <v>0</v>
      </c>
      <c r="EF103" s="4">
        <f t="shared" si="69"/>
        <v>0</v>
      </c>
      <c r="EG103" s="4">
        <f t="shared" si="64"/>
        <v>0</v>
      </c>
      <c r="EH103" s="4">
        <f t="shared" si="69"/>
        <v>0</v>
      </c>
      <c r="EI103" s="4">
        <f>EE103+S!EE103+E!EE103+O!EE103</f>
        <v>0</v>
      </c>
      <c r="EJ103" s="4">
        <f t="shared" ref="EJ103:EL103" si="95">SUM(EI100:EI103)</f>
        <v>0</v>
      </c>
      <c r="EK103" s="4">
        <f>EG103+S!EG103+E!EG103+O!EG103</f>
        <v>0</v>
      </c>
      <c r="EL103" s="4">
        <f t="shared" si="95"/>
        <v>0</v>
      </c>
    </row>
    <row r="104" spans="2:142" ht="20.25" customHeight="1" x14ac:dyDescent="0.3">
      <c r="B104" s="25" t="s">
        <v>120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5">
        <f>SUM(C104:L104)*Inicio!$W$4</f>
        <v>0</v>
      </c>
      <c r="DT104" s="5">
        <f>SUM(M104:V104)*Inicio!$W$5</f>
        <v>0</v>
      </c>
      <c r="DU104" s="5">
        <f>SUM(W104:AF104)*Inicio!$W$6</f>
        <v>0</v>
      </c>
      <c r="DV104" s="5">
        <f>SUM(AG104:AP104)*Inicio!$W$7</f>
        <v>0</v>
      </c>
      <c r="DW104" s="5">
        <f>SUM(AQ104:AZ104)*Inicio!$W$8</f>
        <v>0</v>
      </c>
      <c r="DX104" s="5">
        <f>SUM(BA104:BJ104)*Inicio!$W$9</f>
        <v>0</v>
      </c>
      <c r="DY104" s="5">
        <f>SUM(BK104:BT104)*Inicio!$W$10</f>
        <v>0</v>
      </c>
      <c r="DZ104" s="5">
        <f>SUM(BU104:CD104)*Inicio!$W$11</f>
        <v>0</v>
      </c>
      <c r="EA104" s="5">
        <f>SUM(CE104:CN104)*Inicio!$W$12</f>
        <v>0</v>
      </c>
      <c r="EB104" s="5">
        <f>SUM(CO104:CX104)*Inicio!$W$13</f>
        <v>0</v>
      </c>
      <c r="EC104" s="5">
        <f>SUM(CY104:DH104)*Inicio!$W$11</f>
        <v>0</v>
      </c>
      <c r="ED104" s="5">
        <f>SUM(DI104:DR104)*Inicio!$W$12</f>
        <v>0</v>
      </c>
      <c r="EE104" s="5">
        <f t="shared" si="63"/>
        <v>0</v>
      </c>
      <c r="EF104" s="5">
        <f t="shared" si="69"/>
        <v>0</v>
      </c>
      <c r="EG104" s="5">
        <f t="shared" si="64"/>
        <v>0</v>
      </c>
      <c r="EH104" s="5">
        <f t="shared" si="69"/>
        <v>0</v>
      </c>
      <c r="EI104" s="5">
        <f>EE104+S!EE104+E!EE104+O!EE104</f>
        <v>0</v>
      </c>
      <c r="EJ104" s="5">
        <f t="shared" ref="EJ104:EL104" si="96">SUM(EI101:EI104)</f>
        <v>0</v>
      </c>
      <c r="EK104" s="5">
        <f>EG104+S!EG104+E!EG104+O!EG104</f>
        <v>0</v>
      </c>
      <c r="EL104" s="5">
        <f t="shared" si="96"/>
        <v>0</v>
      </c>
    </row>
    <row r="105" spans="2:142" ht="20.25" customHeight="1" x14ac:dyDescent="0.3">
      <c r="B105" s="6" t="s">
        <v>121</v>
      </c>
      <c r="C105" s="7">
        <f>SUM(C9:C32)</f>
        <v>0</v>
      </c>
      <c r="D105" s="7">
        <f t="shared" ref="D105:BO105" si="97">SUM(D9:D32)</f>
        <v>0</v>
      </c>
      <c r="E105" s="7">
        <f t="shared" si="97"/>
        <v>0</v>
      </c>
      <c r="F105" s="7">
        <f t="shared" si="97"/>
        <v>0</v>
      </c>
      <c r="G105" s="7">
        <f t="shared" si="97"/>
        <v>0</v>
      </c>
      <c r="H105" s="7">
        <f t="shared" si="97"/>
        <v>0</v>
      </c>
      <c r="I105" s="7">
        <f t="shared" si="97"/>
        <v>0</v>
      </c>
      <c r="J105" s="7">
        <f t="shared" si="97"/>
        <v>0</v>
      </c>
      <c r="K105" s="7">
        <f t="shared" si="97"/>
        <v>0</v>
      </c>
      <c r="L105" s="7">
        <f t="shared" si="97"/>
        <v>0</v>
      </c>
      <c r="M105" s="7">
        <f t="shared" si="97"/>
        <v>0</v>
      </c>
      <c r="N105" s="7">
        <f t="shared" si="97"/>
        <v>0</v>
      </c>
      <c r="O105" s="7">
        <f t="shared" si="97"/>
        <v>0</v>
      </c>
      <c r="P105" s="7">
        <f t="shared" si="97"/>
        <v>0</v>
      </c>
      <c r="Q105" s="7">
        <f t="shared" si="97"/>
        <v>0</v>
      </c>
      <c r="R105" s="7">
        <f t="shared" si="97"/>
        <v>0</v>
      </c>
      <c r="S105" s="7">
        <f t="shared" si="97"/>
        <v>0</v>
      </c>
      <c r="T105" s="7">
        <f t="shared" si="97"/>
        <v>0</v>
      </c>
      <c r="U105" s="7">
        <f t="shared" si="97"/>
        <v>0</v>
      </c>
      <c r="V105" s="7">
        <f t="shared" si="97"/>
        <v>0</v>
      </c>
      <c r="W105" s="7">
        <f t="shared" si="97"/>
        <v>0</v>
      </c>
      <c r="X105" s="7">
        <f t="shared" si="97"/>
        <v>0</v>
      </c>
      <c r="Y105" s="7">
        <f t="shared" si="97"/>
        <v>0</v>
      </c>
      <c r="Z105" s="7">
        <f t="shared" si="97"/>
        <v>0</v>
      </c>
      <c r="AA105" s="7">
        <f t="shared" si="97"/>
        <v>0</v>
      </c>
      <c r="AB105" s="7">
        <f t="shared" si="97"/>
        <v>0</v>
      </c>
      <c r="AC105" s="7">
        <f t="shared" si="97"/>
        <v>0</v>
      </c>
      <c r="AD105" s="7">
        <f t="shared" si="97"/>
        <v>0</v>
      </c>
      <c r="AE105" s="7">
        <f t="shared" si="97"/>
        <v>0</v>
      </c>
      <c r="AF105" s="7">
        <f t="shared" si="97"/>
        <v>0</v>
      </c>
      <c r="AG105" s="7">
        <f t="shared" si="97"/>
        <v>0</v>
      </c>
      <c r="AH105" s="7">
        <f t="shared" si="97"/>
        <v>0</v>
      </c>
      <c r="AI105" s="7">
        <f t="shared" si="97"/>
        <v>0</v>
      </c>
      <c r="AJ105" s="7">
        <f t="shared" si="97"/>
        <v>0</v>
      </c>
      <c r="AK105" s="7">
        <f t="shared" si="97"/>
        <v>0</v>
      </c>
      <c r="AL105" s="7">
        <f t="shared" si="97"/>
        <v>0</v>
      </c>
      <c r="AM105" s="7">
        <f t="shared" si="97"/>
        <v>0</v>
      </c>
      <c r="AN105" s="7">
        <f t="shared" si="97"/>
        <v>0</v>
      </c>
      <c r="AO105" s="7">
        <f t="shared" si="97"/>
        <v>0</v>
      </c>
      <c r="AP105" s="7">
        <f t="shared" si="97"/>
        <v>0</v>
      </c>
      <c r="AQ105" s="7">
        <f t="shared" si="97"/>
        <v>0</v>
      </c>
      <c r="AR105" s="7">
        <f t="shared" si="97"/>
        <v>0</v>
      </c>
      <c r="AS105" s="7">
        <f t="shared" si="97"/>
        <v>0</v>
      </c>
      <c r="AT105" s="7">
        <f t="shared" si="97"/>
        <v>0</v>
      </c>
      <c r="AU105" s="7">
        <f t="shared" si="97"/>
        <v>0</v>
      </c>
      <c r="AV105" s="7">
        <f t="shared" si="97"/>
        <v>0</v>
      </c>
      <c r="AW105" s="7">
        <f t="shared" si="97"/>
        <v>0</v>
      </c>
      <c r="AX105" s="7">
        <f t="shared" si="97"/>
        <v>0</v>
      </c>
      <c r="AY105" s="7">
        <f t="shared" si="97"/>
        <v>0</v>
      </c>
      <c r="AZ105" s="7">
        <f t="shared" si="97"/>
        <v>0</v>
      </c>
      <c r="BA105" s="7">
        <f t="shared" si="97"/>
        <v>0</v>
      </c>
      <c r="BB105" s="7">
        <f t="shared" si="97"/>
        <v>0</v>
      </c>
      <c r="BC105" s="7">
        <f t="shared" si="97"/>
        <v>0</v>
      </c>
      <c r="BD105" s="7">
        <f t="shared" si="97"/>
        <v>0</v>
      </c>
      <c r="BE105" s="7">
        <f t="shared" si="97"/>
        <v>0</v>
      </c>
      <c r="BF105" s="7">
        <f t="shared" si="97"/>
        <v>0</v>
      </c>
      <c r="BG105" s="7">
        <f t="shared" si="97"/>
        <v>0</v>
      </c>
      <c r="BH105" s="7">
        <f t="shared" si="97"/>
        <v>0</v>
      </c>
      <c r="BI105" s="7">
        <f t="shared" si="97"/>
        <v>0</v>
      </c>
      <c r="BJ105" s="7">
        <f t="shared" si="97"/>
        <v>0</v>
      </c>
      <c r="BK105" s="7">
        <f t="shared" si="97"/>
        <v>0</v>
      </c>
      <c r="BL105" s="7">
        <f t="shared" si="97"/>
        <v>0</v>
      </c>
      <c r="BM105" s="7">
        <f t="shared" si="97"/>
        <v>0</v>
      </c>
      <c r="BN105" s="7">
        <f t="shared" si="97"/>
        <v>0</v>
      </c>
      <c r="BO105" s="7">
        <f t="shared" si="97"/>
        <v>0</v>
      </c>
      <c r="BP105" s="7">
        <f t="shared" ref="BP105:CX105" si="98">SUM(BP9:BP32)</f>
        <v>0</v>
      </c>
      <c r="BQ105" s="7">
        <f t="shared" si="98"/>
        <v>0</v>
      </c>
      <c r="BR105" s="7">
        <f t="shared" si="98"/>
        <v>0</v>
      </c>
      <c r="BS105" s="7">
        <f t="shared" si="98"/>
        <v>0</v>
      </c>
      <c r="BT105" s="7">
        <f t="shared" si="98"/>
        <v>0</v>
      </c>
      <c r="BU105" s="7">
        <f t="shared" si="98"/>
        <v>0</v>
      </c>
      <c r="BV105" s="7">
        <f t="shared" si="98"/>
        <v>0</v>
      </c>
      <c r="BW105" s="7">
        <f t="shared" si="98"/>
        <v>0</v>
      </c>
      <c r="BX105" s="7">
        <f t="shared" si="98"/>
        <v>0</v>
      </c>
      <c r="BY105" s="7">
        <f t="shared" si="98"/>
        <v>0</v>
      </c>
      <c r="BZ105" s="7">
        <f t="shared" si="98"/>
        <v>0</v>
      </c>
      <c r="CA105" s="7">
        <f t="shared" si="98"/>
        <v>0</v>
      </c>
      <c r="CB105" s="7">
        <f t="shared" si="98"/>
        <v>0</v>
      </c>
      <c r="CC105" s="7">
        <f t="shared" si="98"/>
        <v>0</v>
      </c>
      <c r="CD105" s="7">
        <f t="shared" si="98"/>
        <v>0</v>
      </c>
      <c r="CE105" s="7">
        <f t="shared" si="98"/>
        <v>0</v>
      </c>
      <c r="CF105" s="7">
        <f t="shared" si="98"/>
        <v>0</v>
      </c>
      <c r="CG105" s="7">
        <f t="shared" si="98"/>
        <v>0</v>
      </c>
      <c r="CH105" s="7">
        <f t="shared" si="98"/>
        <v>0</v>
      </c>
      <c r="CI105" s="7">
        <f t="shared" si="98"/>
        <v>0</v>
      </c>
      <c r="CJ105" s="7">
        <f t="shared" si="98"/>
        <v>0</v>
      </c>
      <c r="CK105" s="7">
        <f t="shared" si="98"/>
        <v>0</v>
      </c>
      <c r="CL105" s="7">
        <f t="shared" si="98"/>
        <v>0</v>
      </c>
      <c r="CM105" s="7">
        <f t="shared" si="98"/>
        <v>0</v>
      </c>
      <c r="CN105" s="7">
        <f t="shared" si="98"/>
        <v>0</v>
      </c>
      <c r="CO105" s="7">
        <f t="shared" si="98"/>
        <v>0</v>
      </c>
      <c r="CP105" s="7">
        <f t="shared" si="98"/>
        <v>0</v>
      </c>
      <c r="CQ105" s="7">
        <f t="shared" si="98"/>
        <v>0</v>
      </c>
      <c r="CR105" s="7">
        <f t="shared" si="98"/>
        <v>0</v>
      </c>
      <c r="CS105" s="7">
        <f t="shared" si="98"/>
        <v>0</v>
      </c>
      <c r="CT105" s="7">
        <f t="shared" si="98"/>
        <v>0</v>
      </c>
      <c r="CU105" s="7">
        <f t="shared" si="98"/>
        <v>0</v>
      </c>
      <c r="CV105" s="7">
        <f t="shared" si="98"/>
        <v>0</v>
      </c>
      <c r="CW105" s="7">
        <f t="shared" si="98"/>
        <v>0</v>
      </c>
      <c r="CX105" s="7">
        <f t="shared" si="98"/>
        <v>0</v>
      </c>
      <c r="CY105" s="7">
        <f t="shared" ref="CY105:DH105" si="99">SUM(CY9:CY32)</f>
        <v>0</v>
      </c>
      <c r="CZ105" s="7">
        <f t="shared" si="99"/>
        <v>0</v>
      </c>
      <c r="DA105" s="7">
        <f t="shared" si="99"/>
        <v>0</v>
      </c>
      <c r="DB105" s="7">
        <f t="shared" si="99"/>
        <v>0</v>
      </c>
      <c r="DC105" s="7">
        <f t="shared" si="99"/>
        <v>0</v>
      </c>
      <c r="DD105" s="7">
        <f t="shared" si="99"/>
        <v>0</v>
      </c>
      <c r="DE105" s="7">
        <f t="shared" si="99"/>
        <v>0</v>
      </c>
      <c r="DF105" s="7">
        <f t="shared" si="99"/>
        <v>0</v>
      </c>
      <c r="DG105" s="7">
        <f t="shared" si="99"/>
        <v>0</v>
      </c>
      <c r="DH105" s="7">
        <f t="shared" si="99"/>
        <v>0</v>
      </c>
      <c r="DI105" s="7">
        <f t="shared" ref="DI105:DR105" si="100">SUM(DI9:DI32)</f>
        <v>0</v>
      </c>
      <c r="DJ105" s="7">
        <f t="shared" si="100"/>
        <v>0</v>
      </c>
      <c r="DK105" s="7">
        <f t="shared" si="100"/>
        <v>0</v>
      </c>
      <c r="DL105" s="7">
        <f t="shared" si="100"/>
        <v>0</v>
      </c>
      <c r="DM105" s="7">
        <f t="shared" si="100"/>
        <v>0</v>
      </c>
      <c r="DN105" s="7">
        <f t="shared" si="100"/>
        <v>0</v>
      </c>
      <c r="DO105" s="7">
        <f t="shared" si="100"/>
        <v>0</v>
      </c>
      <c r="DP105" s="7">
        <f t="shared" si="100"/>
        <v>0</v>
      </c>
      <c r="DQ105" s="7">
        <f t="shared" si="100"/>
        <v>0</v>
      </c>
      <c r="DR105" s="7">
        <f t="shared" si="100"/>
        <v>0</v>
      </c>
      <c r="DS105" s="8"/>
      <c r="DT105" s="9"/>
      <c r="DU105" s="9"/>
      <c r="DV105" s="9"/>
      <c r="DW105" s="9"/>
      <c r="DX105" s="9"/>
      <c r="DY105" s="9"/>
      <c r="DZ105" s="9"/>
      <c r="EA105" s="9"/>
      <c r="EB105" s="9"/>
      <c r="EC105" s="86"/>
      <c r="ED105" s="86"/>
      <c r="EE105" s="10"/>
      <c r="EF105" s="10"/>
      <c r="EG105" s="10"/>
      <c r="EH105" s="2"/>
      <c r="EI105" s="2"/>
      <c r="EJ105" s="10"/>
      <c r="EK105" s="12"/>
      <c r="EL105" s="10"/>
    </row>
    <row r="106" spans="2:142" ht="20.25" customHeight="1" x14ac:dyDescent="0.3">
      <c r="B106" s="6" t="s">
        <v>122</v>
      </c>
      <c r="C106" s="7">
        <f>SUM(C33:C56)</f>
        <v>0</v>
      </c>
      <c r="D106" s="7">
        <f t="shared" ref="D106:BO106" si="101">SUM(D33:D56)</f>
        <v>0</v>
      </c>
      <c r="E106" s="7">
        <f t="shared" si="101"/>
        <v>0</v>
      </c>
      <c r="F106" s="7">
        <f t="shared" si="101"/>
        <v>0</v>
      </c>
      <c r="G106" s="7">
        <f t="shared" si="101"/>
        <v>0</v>
      </c>
      <c r="H106" s="7">
        <f t="shared" si="101"/>
        <v>0</v>
      </c>
      <c r="I106" s="7">
        <f t="shared" si="101"/>
        <v>0</v>
      </c>
      <c r="J106" s="7">
        <f t="shared" si="101"/>
        <v>0</v>
      </c>
      <c r="K106" s="7">
        <f t="shared" si="101"/>
        <v>0</v>
      </c>
      <c r="L106" s="7">
        <f t="shared" si="101"/>
        <v>0</v>
      </c>
      <c r="M106" s="7">
        <f t="shared" si="101"/>
        <v>0</v>
      </c>
      <c r="N106" s="7">
        <f t="shared" si="101"/>
        <v>0</v>
      </c>
      <c r="O106" s="7">
        <f t="shared" si="101"/>
        <v>0</v>
      </c>
      <c r="P106" s="7">
        <f t="shared" si="101"/>
        <v>0</v>
      </c>
      <c r="Q106" s="7">
        <f t="shared" si="101"/>
        <v>0</v>
      </c>
      <c r="R106" s="7">
        <f t="shared" si="101"/>
        <v>0</v>
      </c>
      <c r="S106" s="7">
        <f t="shared" si="101"/>
        <v>0</v>
      </c>
      <c r="T106" s="7">
        <f t="shared" si="101"/>
        <v>0</v>
      </c>
      <c r="U106" s="7">
        <f t="shared" si="101"/>
        <v>0</v>
      </c>
      <c r="V106" s="7">
        <f t="shared" si="101"/>
        <v>0</v>
      </c>
      <c r="W106" s="7">
        <f t="shared" si="101"/>
        <v>0</v>
      </c>
      <c r="X106" s="7">
        <f t="shared" si="101"/>
        <v>0</v>
      </c>
      <c r="Y106" s="7">
        <f t="shared" si="101"/>
        <v>0</v>
      </c>
      <c r="Z106" s="7">
        <f t="shared" si="101"/>
        <v>0</v>
      </c>
      <c r="AA106" s="7">
        <f t="shared" si="101"/>
        <v>0</v>
      </c>
      <c r="AB106" s="7">
        <f t="shared" si="101"/>
        <v>0</v>
      </c>
      <c r="AC106" s="7">
        <f t="shared" si="101"/>
        <v>0</v>
      </c>
      <c r="AD106" s="7">
        <f t="shared" si="101"/>
        <v>0</v>
      </c>
      <c r="AE106" s="7">
        <f t="shared" si="101"/>
        <v>0</v>
      </c>
      <c r="AF106" s="7">
        <f t="shared" si="101"/>
        <v>0</v>
      </c>
      <c r="AG106" s="7">
        <f t="shared" si="101"/>
        <v>0</v>
      </c>
      <c r="AH106" s="7">
        <f t="shared" si="101"/>
        <v>0</v>
      </c>
      <c r="AI106" s="7">
        <f t="shared" si="101"/>
        <v>0</v>
      </c>
      <c r="AJ106" s="7">
        <f t="shared" si="101"/>
        <v>0</v>
      </c>
      <c r="AK106" s="7">
        <f t="shared" si="101"/>
        <v>0</v>
      </c>
      <c r="AL106" s="7">
        <f t="shared" si="101"/>
        <v>0</v>
      </c>
      <c r="AM106" s="7">
        <f t="shared" si="101"/>
        <v>0</v>
      </c>
      <c r="AN106" s="7">
        <f t="shared" si="101"/>
        <v>0</v>
      </c>
      <c r="AO106" s="7">
        <f t="shared" si="101"/>
        <v>0</v>
      </c>
      <c r="AP106" s="7">
        <f t="shared" si="101"/>
        <v>0</v>
      </c>
      <c r="AQ106" s="7">
        <f t="shared" si="101"/>
        <v>0</v>
      </c>
      <c r="AR106" s="7">
        <f t="shared" si="101"/>
        <v>0</v>
      </c>
      <c r="AS106" s="7">
        <f t="shared" si="101"/>
        <v>0</v>
      </c>
      <c r="AT106" s="7">
        <f t="shared" si="101"/>
        <v>0</v>
      </c>
      <c r="AU106" s="7">
        <f t="shared" si="101"/>
        <v>0</v>
      </c>
      <c r="AV106" s="7">
        <f t="shared" si="101"/>
        <v>0</v>
      </c>
      <c r="AW106" s="7">
        <f t="shared" si="101"/>
        <v>0</v>
      </c>
      <c r="AX106" s="7">
        <f t="shared" si="101"/>
        <v>0</v>
      </c>
      <c r="AY106" s="7">
        <f t="shared" si="101"/>
        <v>0</v>
      </c>
      <c r="AZ106" s="7">
        <f t="shared" si="101"/>
        <v>0</v>
      </c>
      <c r="BA106" s="7">
        <f t="shared" si="101"/>
        <v>0</v>
      </c>
      <c r="BB106" s="7">
        <f t="shared" si="101"/>
        <v>0</v>
      </c>
      <c r="BC106" s="7">
        <f t="shared" si="101"/>
        <v>0</v>
      </c>
      <c r="BD106" s="7">
        <f t="shared" si="101"/>
        <v>0</v>
      </c>
      <c r="BE106" s="7">
        <f t="shared" si="101"/>
        <v>0</v>
      </c>
      <c r="BF106" s="7">
        <f t="shared" si="101"/>
        <v>0</v>
      </c>
      <c r="BG106" s="7">
        <f t="shared" si="101"/>
        <v>0</v>
      </c>
      <c r="BH106" s="7">
        <f t="shared" si="101"/>
        <v>0</v>
      </c>
      <c r="BI106" s="7">
        <f t="shared" si="101"/>
        <v>0</v>
      </c>
      <c r="BJ106" s="7">
        <f t="shared" si="101"/>
        <v>0</v>
      </c>
      <c r="BK106" s="7">
        <f t="shared" si="101"/>
        <v>0</v>
      </c>
      <c r="BL106" s="7">
        <f t="shared" si="101"/>
        <v>0</v>
      </c>
      <c r="BM106" s="7">
        <f t="shared" si="101"/>
        <v>0</v>
      </c>
      <c r="BN106" s="7">
        <f t="shared" si="101"/>
        <v>0</v>
      </c>
      <c r="BO106" s="7">
        <f t="shared" si="101"/>
        <v>0</v>
      </c>
      <c r="BP106" s="7">
        <f t="shared" ref="BP106:CX106" si="102">SUM(BP33:BP56)</f>
        <v>0</v>
      </c>
      <c r="BQ106" s="7">
        <f t="shared" si="102"/>
        <v>0</v>
      </c>
      <c r="BR106" s="7">
        <f t="shared" si="102"/>
        <v>0</v>
      </c>
      <c r="BS106" s="7">
        <f t="shared" si="102"/>
        <v>0</v>
      </c>
      <c r="BT106" s="7">
        <f t="shared" si="102"/>
        <v>0</v>
      </c>
      <c r="BU106" s="7">
        <f t="shared" si="102"/>
        <v>0</v>
      </c>
      <c r="BV106" s="7">
        <f t="shared" si="102"/>
        <v>0</v>
      </c>
      <c r="BW106" s="7">
        <f t="shared" si="102"/>
        <v>0</v>
      </c>
      <c r="BX106" s="7">
        <f t="shared" si="102"/>
        <v>0</v>
      </c>
      <c r="BY106" s="7">
        <f t="shared" si="102"/>
        <v>0</v>
      </c>
      <c r="BZ106" s="7">
        <f t="shared" si="102"/>
        <v>0</v>
      </c>
      <c r="CA106" s="7">
        <f t="shared" si="102"/>
        <v>0</v>
      </c>
      <c r="CB106" s="7">
        <f t="shared" si="102"/>
        <v>0</v>
      </c>
      <c r="CC106" s="7">
        <f t="shared" si="102"/>
        <v>0</v>
      </c>
      <c r="CD106" s="7">
        <f t="shared" si="102"/>
        <v>0</v>
      </c>
      <c r="CE106" s="7">
        <f t="shared" si="102"/>
        <v>0</v>
      </c>
      <c r="CF106" s="7">
        <f t="shared" si="102"/>
        <v>0</v>
      </c>
      <c r="CG106" s="7">
        <f t="shared" si="102"/>
        <v>0</v>
      </c>
      <c r="CH106" s="7">
        <f t="shared" si="102"/>
        <v>0</v>
      </c>
      <c r="CI106" s="7">
        <f t="shared" si="102"/>
        <v>0</v>
      </c>
      <c r="CJ106" s="7">
        <f t="shared" si="102"/>
        <v>0</v>
      </c>
      <c r="CK106" s="7">
        <f t="shared" si="102"/>
        <v>0</v>
      </c>
      <c r="CL106" s="7">
        <f t="shared" si="102"/>
        <v>0</v>
      </c>
      <c r="CM106" s="7">
        <f t="shared" si="102"/>
        <v>0</v>
      </c>
      <c r="CN106" s="7">
        <f t="shared" si="102"/>
        <v>0</v>
      </c>
      <c r="CO106" s="7">
        <f t="shared" si="102"/>
        <v>0</v>
      </c>
      <c r="CP106" s="7">
        <f t="shared" si="102"/>
        <v>0</v>
      </c>
      <c r="CQ106" s="7">
        <f t="shared" si="102"/>
        <v>0</v>
      </c>
      <c r="CR106" s="7">
        <f t="shared" si="102"/>
        <v>0</v>
      </c>
      <c r="CS106" s="7">
        <f t="shared" si="102"/>
        <v>0</v>
      </c>
      <c r="CT106" s="7">
        <f t="shared" si="102"/>
        <v>0</v>
      </c>
      <c r="CU106" s="7">
        <f t="shared" si="102"/>
        <v>0</v>
      </c>
      <c r="CV106" s="7">
        <f t="shared" si="102"/>
        <v>0</v>
      </c>
      <c r="CW106" s="7">
        <f t="shared" si="102"/>
        <v>0</v>
      </c>
      <c r="CX106" s="7">
        <f t="shared" si="102"/>
        <v>0</v>
      </c>
      <c r="CY106" s="7">
        <f t="shared" ref="CY106:DH106" si="103">SUM(CY33:CY56)</f>
        <v>0</v>
      </c>
      <c r="CZ106" s="7">
        <f t="shared" si="103"/>
        <v>0</v>
      </c>
      <c r="DA106" s="7">
        <f t="shared" si="103"/>
        <v>0</v>
      </c>
      <c r="DB106" s="7">
        <f t="shared" si="103"/>
        <v>0</v>
      </c>
      <c r="DC106" s="7">
        <f t="shared" si="103"/>
        <v>0</v>
      </c>
      <c r="DD106" s="7">
        <f t="shared" si="103"/>
        <v>0</v>
      </c>
      <c r="DE106" s="7">
        <f t="shared" si="103"/>
        <v>0</v>
      </c>
      <c r="DF106" s="7">
        <f t="shared" si="103"/>
        <v>0</v>
      </c>
      <c r="DG106" s="7">
        <f t="shared" si="103"/>
        <v>0</v>
      </c>
      <c r="DH106" s="7">
        <f t="shared" si="103"/>
        <v>0</v>
      </c>
      <c r="DI106" s="7">
        <f t="shared" ref="DI106:DR106" si="104">SUM(DI33:DI56)</f>
        <v>0</v>
      </c>
      <c r="DJ106" s="7">
        <f t="shared" si="104"/>
        <v>0</v>
      </c>
      <c r="DK106" s="7">
        <f t="shared" si="104"/>
        <v>0</v>
      </c>
      <c r="DL106" s="7">
        <f t="shared" si="104"/>
        <v>0</v>
      </c>
      <c r="DM106" s="7">
        <f t="shared" si="104"/>
        <v>0</v>
      </c>
      <c r="DN106" s="7">
        <f t="shared" si="104"/>
        <v>0</v>
      </c>
      <c r="DO106" s="7">
        <f t="shared" si="104"/>
        <v>0</v>
      </c>
      <c r="DP106" s="7">
        <f t="shared" si="104"/>
        <v>0</v>
      </c>
      <c r="DQ106" s="7">
        <f t="shared" si="104"/>
        <v>0</v>
      </c>
      <c r="DR106" s="7">
        <f t="shared" si="104"/>
        <v>0</v>
      </c>
      <c r="DS106" s="11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0"/>
      <c r="EF106" s="10"/>
      <c r="EG106" s="10"/>
      <c r="EH106" s="2"/>
      <c r="EI106" s="2"/>
      <c r="EJ106" s="10"/>
      <c r="EK106" s="12"/>
      <c r="EL106" s="10"/>
    </row>
    <row r="107" spans="2:142" ht="20.25" customHeight="1" x14ac:dyDescent="0.3">
      <c r="B107" s="6" t="s">
        <v>123</v>
      </c>
      <c r="C107" s="7">
        <f>SUM(C57:C80)</f>
        <v>0</v>
      </c>
      <c r="D107" s="7">
        <f t="shared" ref="D107:BO107" si="105">SUM(D57:D80)</f>
        <v>0</v>
      </c>
      <c r="E107" s="7">
        <f t="shared" si="105"/>
        <v>0</v>
      </c>
      <c r="F107" s="7">
        <f t="shared" si="105"/>
        <v>0</v>
      </c>
      <c r="G107" s="7">
        <f t="shared" si="105"/>
        <v>0</v>
      </c>
      <c r="H107" s="7">
        <f t="shared" si="105"/>
        <v>0</v>
      </c>
      <c r="I107" s="7">
        <f t="shared" si="105"/>
        <v>0</v>
      </c>
      <c r="J107" s="7">
        <f t="shared" si="105"/>
        <v>0</v>
      </c>
      <c r="K107" s="7">
        <f t="shared" si="105"/>
        <v>0</v>
      </c>
      <c r="L107" s="7">
        <f t="shared" si="105"/>
        <v>0</v>
      </c>
      <c r="M107" s="7">
        <f t="shared" si="105"/>
        <v>0</v>
      </c>
      <c r="N107" s="7">
        <f t="shared" si="105"/>
        <v>0</v>
      </c>
      <c r="O107" s="7">
        <f t="shared" si="105"/>
        <v>0</v>
      </c>
      <c r="P107" s="7">
        <f t="shared" si="105"/>
        <v>0</v>
      </c>
      <c r="Q107" s="7">
        <f t="shared" si="105"/>
        <v>0</v>
      </c>
      <c r="R107" s="7">
        <f t="shared" si="105"/>
        <v>0</v>
      </c>
      <c r="S107" s="7">
        <f t="shared" si="105"/>
        <v>0</v>
      </c>
      <c r="T107" s="7">
        <f t="shared" si="105"/>
        <v>0</v>
      </c>
      <c r="U107" s="7">
        <f t="shared" si="105"/>
        <v>0</v>
      </c>
      <c r="V107" s="7">
        <f t="shared" si="105"/>
        <v>0</v>
      </c>
      <c r="W107" s="7">
        <f t="shared" si="105"/>
        <v>0</v>
      </c>
      <c r="X107" s="7">
        <f t="shared" si="105"/>
        <v>0</v>
      </c>
      <c r="Y107" s="7">
        <f t="shared" si="105"/>
        <v>0</v>
      </c>
      <c r="Z107" s="7">
        <f t="shared" si="105"/>
        <v>0</v>
      </c>
      <c r="AA107" s="7">
        <f t="shared" si="105"/>
        <v>0</v>
      </c>
      <c r="AB107" s="7">
        <f t="shared" si="105"/>
        <v>0</v>
      </c>
      <c r="AC107" s="7">
        <f t="shared" si="105"/>
        <v>0</v>
      </c>
      <c r="AD107" s="7">
        <f t="shared" si="105"/>
        <v>0</v>
      </c>
      <c r="AE107" s="7">
        <f t="shared" si="105"/>
        <v>0</v>
      </c>
      <c r="AF107" s="7">
        <f t="shared" si="105"/>
        <v>0</v>
      </c>
      <c r="AG107" s="7">
        <f t="shared" si="105"/>
        <v>0</v>
      </c>
      <c r="AH107" s="7">
        <f t="shared" si="105"/>
        <v>0</v>
      </c>
      <c r="AI107" s="7">
        <f t="shared" si="105"/>
        <v>0</v>
      </c>
      <c r="AJ107" s="7">
        <f t="shared" si="105"/>
        <v>0</v>
      </c>
      <c r="AK107" s="7">
        <f t="shared" si="105"/>
        <v>0</v>
      </c>
      <c r="AL107" s="7">
        <f t="shared" si="105"/>
        <v>0</v>
      </c>
      <c r="AM107" s="7">
        <f t="shared" si="105"/>
        <v>0</v>
      </c>
      <c r="AN107" s="7">
        <f t="shared" si="105"/>
        <v>0</v>
      </c>
      <c r="AO107" s="7">
        <f t="shared" si="105"/>
        <v>0</v>
      </c>
      <c r="AP107" s="7">
        <f t="shared" si="105"/>
        <v>0</v>
      </c>
      <c r="AQ107" s="7">
        <f t="shared" si="105"/>
        <v>0</v>
      </c>
      <c r="AR107" s="7">
        <f t="shared" si="105"/>
        <v>0</v>
      </c>
      <c r="AS107" s="7">
        <f t="shared" si="105"/>
        <v>0</v>
      </c>
      <c r="AT107" s="7">
        <f t="shared" si="105"/>
        <v>0</v>
      </c>
      <c r="AU107" s="7">
        <f t="shared" si="105"/>
        <v>0</v>
      </c>
      <c r="AV107" s="7">
        <f t="shared" si="105"/>
        <v>0</v>
      </c>
      <c r="AW107" s="7">
        <f t="shared" si="105"/>
        <v>0</v>
      </c>
      <c r="AX107" s="7">
        <f t="shared" si="105"/>
        <v>0</v>
      </c>
      <c r="AY107" s="7">
        <f t="shared" si="105"/>
        <v>0</v>
      </c>
      <c r="AZ107" s="7">
        <f t="shared" si="105"/>
        <v>0</v>
      </c>
      <c r="BA107" s="7">
        <f t="shared" si="105"/>
        <v>0</v>
      </c>
      <c r="BB107" s="7">
        <f t="shared" si="105"/>
        <v>0</v>
      </c>
      <c r="BC107" s="7">
        <f t="shared" si="105"/>
        <v>0</v>
      </c>
      <c r="BD107" s="7">
        <f t="shared" si="105"/>
        <v>0</v>
      </c>
      <c r="BE107" s="7">
        <f t="shared" si="105"/>
        <v>0</v>
      </c>
      <c r="BF107" s="7">
        <f t="shared" si="105"/>
        <v>0</v>
      </c>
      <c r="BG107" s="7">
        <f t="shared" si="105"/>
        <v>0</v>
      </c>
      <c r="BH107" s="7">
        <f t="shared" si="105"/>
        <v>0</v>
      </c>
      <c r="BI107" s="7">
        <f t="shared" si="105"/>
        <v>0</v>
      </c>
      <c r="BJ107" s="7">
        <f t="shared" si="105"/>
        <v>0</v>
      </c>
      <c r="BK107" s="7">
        <f t="shared" si="105"/>
        <v>0</v>
      </c>
      <c r="BL107" s="7">
        <f t="shared" si="105"/>
        <v>0</v>
      </c>
      <c r="BM107" s="7">
        <f t="shared" si="105"/>
        <v>0</v>
      </c>
      <c r="BN107" s="7">
        <f t="shared" si="105"/>
        <v>0</v>
      </c>
      <c r="BO107" s="7">
        <f t="shared" si="105"/>
        <v>0</v>
      </c>
      <c r="BP107" s="7">
        <f t="shared" ref="BP107:CX107" si="106">SUM(BP57:BP80)</f>
        <v>0</v>
      </c>
      <c r="BQ107" s="7">
        <f t="shared" si="106"/>
        <v>0</v>
      </c>
      <c r="BR107" s="7">
        <f t="shared" si="106"/>
        <v>0</v>
      </c>
      <c r="BS107" s="7">
        <f t="shared" si="106"/>
        <v>0</v>
      </c>
      <c r="BT107" s="7">
        <f t="shared" si="106"/>
        <v>0</v>
      </c>
      <c r="BU107" s="7">
        <f t="shared" si="106"/>
        <v>0</v>
      </c>
      <c r="BV107" s="7">
        <f t="shared" si="106"/>
        <v>0</v>
      </c>
      <c r="BW107" s="7">
        <f t="shared" si="106"/>
        <v>0</v>
      </c>
      <c r="BX107" s="7">
        <f t="shared" si="106"/>
        <v>0</v>
      </c>
      <c r="BY107" s="7">
        <f t="shared" si="106"/>
        <v>0</v>
      </c>
      <c r="BZ107" s="7">
        <f t="shared" si="106"/>
        <v>0</v>
      </c>
      <c r="CA107" s="7">
        <f t="shared" si="106"/>
        <v>0</v>
      </c>
      <c r="CB107" s="7">
        <f t="shared" si="106"/>
        <v>0</v>
      </c>
      <c r="CC107" s="7">
        <f t="shared" si="106"/>
        <v>0</v>
      </c>
      <c r="CD107" s="7">
        <f t="shared" si="106"/>
        <v>0</v>
      </c>
      <c r="CE107" s="7">
        <f t="shared" si="106"/>
        <v>0</v>
      </c>
      <c r="CF107" s="7">
        <f t="shared" si="106"/>
        <v>0</v>
      </c>
      <c r="CG107" s="7">
        <f t="shared" si="106"/>
        <v>0</v>
      </c>
      <c r="CH107" s="7">
        <f t="shared" si="106"/>
        <v>0</v>
      </c>
      <c r="CI107" s="7">
        <f t="shared" si="106"/>
        <v>0</v>
      </c>
      <c r="CJ107" s="7">
        <f t="shared" si="106"/>
        <v>0</v>
      </c>
      <c r="CK107" s="7">
        <f t="shared" si="106"/>
        <v>0</v>
      </c>
      <c r="CL107" s="7">
        <f t="shared" si="106"/>
        <v>0</v>
      </c>
      <c r="CM107" s="7">
        <f t="shared" si="106"/>
        <v>0</v>
      </c>
      <c r="CN107" s="7">
        <f t="shared" si="106"/>
        <v>0</v>
      </c>
      <c r="CO107" s="7">
        <f t="shared" si="106"/>
        <v>0</v>
      </c>
      <c r="CP107" s="7">
        <f t="shared" si="106"/>
        <v>0</v>
      </c>
      <c r="CQ107" s="7">
        <f t="shared" si="106"/>
        <v>0</v>
      </c>
      <c r="CR107" s="7">
        <f t="shared" si="106"/>
        <v>0</v>
      </c>
      <c r="CS107" s="7">
        <f t="shared" si="106"/>
        <v>0</v>
      </c>
      <c r="CT107" s="7">
        <f t="shared" si="106"/>
        <v>0</v>
      </c>
      <c r="CU107" s="7">
        <f t="shared" si="106"/>
        <v>0</v>
      </c>
      <c r="CV107" s="7">
        <f t="shared" si="106"/>
        <v>0</v>
      </c>
      <c r="CW107" s="7">
        <f t="shared" si="106"/>
        <v>0</v>
      </c>
      <c r="CX107" s="7">
        <f t="shared" si="106"/>
        <v>0</v>
      </c>
      <c r="CY107" s="7">
        <f t="shared" ref="CY107:DH107" si="107">SUM(CY57:CY80)</f>
        <v>0</v>
      </c>
      <c r="CZ107" s="7">
        <f t="shared" si="107"/>
        <v>0</v>
      </c>
      <c r="DA107" s="7">
        <f t="shared" si="107"/>
        <v>0</v>
      </c>
      <c r="DB107" s="7">
        <f t="shared" si="107"/>
        <v>0</v>
      </c>
      <c r="DC107" s="7">
        <f t="shared" si="107"/>
        <v>0</v>
      </c>
      <c r="DD107" s="7">
        <f t="shared" si="107"/>
        <v>0</v>
      </c>
      <c r="DE107" s="7">
        <f t="shared" si="107"/>
        <v>0</v>
      </c>
      <c r="DF107" s="7">
        <f t="shared" si="107"/>
        <v>0</v>
      </c>
      <c r="DG107" s="7">
        <f t="shared" si="107"/>
        <v>0</v>
      </c>
      <c r="DH107" s="7">
        <f t="shared" si="107"/>
        <v>0</v>
      </c>
      <c r="DI107" s="7">
        <f t="shared" ref="DI107:DR107" si="108">SUM(DI57:DI80)</f>
        <v>0</v>
      </c>
      <c r="DJ107" s="7">
        <f t="shared" si="108"/>
        <v>0</v>
      </c>
      <c r="DK107" s="7">
        <f t="shared" si="108"/>
        <v>0</v>
      </c>
      <c r="DL107" s="7">
        <f t="shared" si="108"/>
        <v>0</v>
      </c>
      <c r="DM107" s="7">
        <f t="shared" si="108"/>
        <v>0</v>
      </c>
      <c r="DN107" s="7">
        <f t="shared" si="108"/>
        <v>0</v>
      </c>
      <c r="DO107" s="7">
        <f t="shared" si="108"/>
        <v>0</v>
      </c>
      <c r="DP107" s="7">
        <f t="shared" si="108"/>
        <v>0</v>
      </c>
      <c r="DQ107" s="7">
        <f t="shared" si="108"/>
        <v>0</v>
      </c>
      <c r="DR107" s="7">
        <f t="shared" si="108"/>
        <v>0</v>
      </c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0"/>
      <c r="EF107" s="10"/>
      <c r="EG107" s="10"/>
      <c r="EH107" s="2"/>
      <c r="EI107" s="2"/>
      <c r="EJ107" s="10"/>
      <c r="EK107" s="12"/>
      <c r="EL107" s="10"/>
    </row>
    <row r="108" spans="2:142" ht="20.25" customHeight="1" x14ac:dyDescent="0.3">
      <c r="B108" s="6" t="s">
        <v>124</v>
      </c>
      <c r="C108" s="7">
        <f>SUM(C81:C104)</f>
        <v>0</v>
      </c>
      <c r="D108" s="7">
        <f t="shared" ref="D108:BO108" si="109">SUM(D81:D104)</f>
        <v>0</v>
      </c>
      <c r="E108" s="7">
        <f t="shared" si="109"/>
        <v>0</v>
      </c>
      <c r="F108" s="7">
        <f t="shared" si="109"/>
        <v>0</v>
      </c>
      <c r="G108" s="7">
        <f t="shared" si="109"/>
        <v>0</v>
      </c>
      <c r="H108" s="7">
        <f t="shared" si="109"/>
        <v>0</v>
      </c>
      <c r="I108" s="7">
        <f t="shared" si="109"/>
        <v>0</v>
      </c>
      <c r="J108" s="7">
        <f t="shared" si="109"/>
        <v>0</v>
      </c>
      <c r="K108" s="7">
        <f t="shared" si="109"/>
        <v>0</v>
      </c>
      <c r="L108" s="7">
        <f t="shared" si="109"/>
        <v>0</v>
      </c>
      <c r="M108" s="7">
        <f t="shared" si="109"/>
        <v>0</v>
      </c>
      <c r="N108" s="7">
        <f t="shared" si="109"/>
        <v>0</v>
      </c>
      <c r="O108" s="7">
        <f t="shared" si="109"/>
        <v>0</v>
      </c>
      <c r="P108" s="7">
        <f t="shared" si="109"/>
        <v>0</v>
      </c>
      <c r="Q108" s="7">
        <f t="shared" si="109"/>
        <v>0</v>
      </c>
      <c r="R108" s="7">
        <f t="shared" si="109"/>
        <v>0</v>
      </c>
      <c r="S108" s="7">
        <f t="shared" si="109"/>
        <v>0</v>
      </c>
      <c r="T108" s="7">
        <f t="shared" si="109"/>
        <v>0</v>
      </c>
      <c r="U108" s="7">
        <f t="shared" si="109"/>
        <v>0</v>
      </c>
      <c r="V108" s="7">
        <f t="shared" si="109"/>
        <v>0</v>
      </c>
      <c r="W108" s="7">
        <f t="shared" si="109"/>
        <v>0</v>
      </c>
      <c r="X108" s="7">
        <f t="shared" si="109"/>
        <v>0</v>
      </c>
      <c r="Y108" s="7">
        <f t="shared" si="109"/>
        <v>0</v>
      </c>
      <c r="Z108" s="7">
        <f t="shared" si="109"/>
        <v>0</v>
      </c>
      <c r="AA108" s="7">
        <f t="shared" si="109"/>
        <v>0</v>
      </c>
      <c r="AB108" s="7">
        <f t="shared" si="109"/>
        <v>0</v>
      </c>
      <c r="AC108" s="7">
        <f t="shared" si="109"/>
        <v>0</v>
      </c>
      <c r="AD108" s="7">
        <f t="shared" si="109"/>
        <v>0</v>
      </c>
      <c r="AE108" s="7">
        <f t="shared" si="109"/>
        <v>0</v>
      </c>
      <c r="AF108" s="7">
        <f t="shared" si="109"/>
        <v>0</v>
      </c>
      <c r="AG108" s="7">
        <f t="shared" si="109"/>
        <v>0</v>
      </c>
      <c r="AH108" s="7">
        <f t="shared" si="109"/>
        <v>0</v>
      </c>
      <c r="AI108" s="7">
        <f t="shared" si="109"/>
        <v>0</v>
      </c>
      <c r="AJ108" s="7">
        <f t="shared" si="109"/>
        <v>0</v>
      </c>
      <c r="AK108" s="7">
        <f t="shared" si="109"/>
        <v>0</v>
      </c>
      <c r="AL108" s="7">
        <f t="shared" si="109"/>
        <v>0</v>
      </c>
      <c r="AM108" s="7">
        <f t="shared" si="109"/>
        <v>0</v>
      </c>
      <c r="AN108" s="7">
        <f t="shared" si="109"/>
        <v>0</v>
      </c>
      <c r="AO108" s="7">
        <f t="shared" si="109"/>
        <v>0</v>
      </c>
      <c r="AP108" s="7">
        <f t="shared" si="109"/>
        <v>0</v>
      </c>
      <c r="AQ108" s="7">
        <f t="shared" si="109"/>
        <v>0</v>
      </c>
      <c r="AR108" s="7">
        <f t="shared" si="109"/>
        <v>0</v>
      </c>
      <c r="AS108" s="7">
        <f t="shared" si="109"/>
        <v>0</v>
      </c>
      <c r="AT108" s="7">
        <f t="shared" si="109"/>
        <v>0</v>
      </c>
      <c r="AU108" s="7">
        <f t="shared" si="109"/>
        <v>0</v>
      </c>
      <c r="AV108" s="7">
        <f t="shared" si="109"/>
        <v>0</v>
      </c>
      <c r="AW108" s="7">
        <f t="shared" si="109"/>
        <v>0</v>
      </c>
      <c r="AX108" s="7">
        <f t="shared" si="109"/>
        <v>0</v>
      </c>
      <c r="AY108" s="7">
        <f t="shared" si="109"/>
        <v>0</v>
      </c>
      <c r="AZ108" s="7">
        <f t="shared" si="109"/>
        <v>0</v>
      </c>
      <c r="BA108" s="7">
        <f t="shared" si="109"/>
        <v>0</v>
      </c>
      <c r="BB108" s="7">
        <f t="shared" si="109"/>
        <v>0</v>
      </c>
      <c r="BC108" s="7">
        <f t="shared" si="109"/>
        <v>0</v>
      </c>
      <c r="BD108" s="7">
        <f t="shared" si="109"/>
        <v>0</v>
      </c>
      <c r="BE108" s="7">
        <f t="shared" si="109"/>
        <v>0</v>
      </c>
      <c r="BF108" s="7">
        <f t="shared" si="109"/>
        <v>0</v>
      </c>
      <c r="BG108" s="7">
        <f t="shared" si="109"/>
        <v>0</v>
      </c>
      <c r="BH108" s="7">
        <f t="shared" si="109"/>
        <v>0</v>
      </c>
      <c r="BI108" s="7">
        <f t="shared" si="109"/>
        <v>0</v>
      </c>
      <c r="BJ108" s="7">
        <f t="shared" si="109"/>
        <v>0</v>
      </c>
      <c r="BK108" s="7">
        <f t="shared" si="109"/>
        <v>0</v>
      </c>
      <c r="BL108" s="7">
        <f t="shared" si="109"/>
        <v>0</v>
      </c>
      <c r="BM108" s="7">
        <f t="shared" si="109"/>
        <v>0</v>
      </c>
      <c r="BN108" s="7">
        <f t="shared" si="109"/>
        <v>0</v>
      </c>
      <c r="BO108" s="7">
        <f t="shared" si="109"/>
        <v>0</v>
      </c>
      <c r="BP108" s="7">
        <f t="shared" ref="BP108:CX108" si="110">SUM(BP81:BP104)</f>
        <v>0</v>
      </c>
      <c r="BQ108" s="7">
        <f t="shared" si="110"/>
        <v>0</v>
      </c>
      <c r="BR108" s="7">
        <f t="shared" si="110"/>
        <v>0</v>
      </c>
      <c r="BS108" s="7">
        <f t="shared" si="110"/>
        <v>0</v>
      </c>
      <c r="BT108" s="7">
        <f t="shared" si="110"/>
        <v>0</v>
      </c>
      <c r="BU108" s="7">
        <f t="shared" si="110"/>
        <v>0</v>
      </c>
      <c r="BV108" s="7">
        <f t="shared" si="110"/>
        <v>0</v>
      </c>
      <c r="BW108" s="7">
        <f t="shared" si="110"/>
        <v>0</v>
      </c>
      <c r="BX108" s="7">
        <f t="shared" si="110"/>
        <v>0</v>
      </c>
      <c r="BY108" s="7">
        <f t="shared" si="110"/>
        <v>0</v>
      </c>
      <c r="BZ108" s="7">
        <f t="shared" si="110"/>
        <v>0</v>
      </c>
      <c r="CA108" s="7">
        <f t="shared" si="110"/>
        <v>0</v>
      </c>
      <c r="CB108" s="7">
        <f t="shared" si="110"/>
        <v>0</v>
      </c>
      <c r="CC108" s="7">
        <f t="shared" si="110"/>
        <v>0</v>
      </c>
      <c r="CD108" s="7">
        <f t="shared" si="110"/>
        <v>0</v>
      </c>
      <c r="CE108" s="7">
        <f t="shared" si="110"/>
        <v>0</v>
      </c>
      <c r="CF108" s="7">
        <f t="shared" si="110"/>
        <v>0</v>
      </c>
      <c r="CG108" s="7">
        <f t="shared" si="110"/>
        <v>0</v>
      </c>
      <c r="CH108" s="7">
        <f t="shared" si="110"/>
        <v>0</v>
      </c>
      <c r="CI108" s="7">
        <f t="shared" si="110"/>
        <v>0</v>
      </c>
      <c r="CJ108" s="7">
        <f t="shared" si="110"/>
        <v>0</v>
      </c>
      <c r="CK108" s="7">
        <f t="shared" si="110"/>
        <v>0</v>
      </c>
      <c r="CL108" s="7">
        <f t="shared" si="110"/>
        <v>0</v>
      </c>
      <c r="CM108" s="7">
        <f t="shared" si="110"/>
        <v>0</v>
      </c>
      <c r="CN108" s="7">
        <f t="shared" si="110"/>
        <v>0</v>
      </c>
      <c r="CO108" s="7">
        <f t="shared" si="110"/>
        <v>0</v>
      </c>
      <c r="CP108" s="7">
        <f t="shared" si="110"/>
        <v>0</v>
      </c>
      <c r="CQ108" s="7">
        <f t="shared" si="110"/>
        <v>0</v>
      </c>
      <c r="CR108" s="7">
        <f t="shared" si="110"/>
        <v>0</v>
      </c>
      <c r="CS108" s="7">
        <f t="shared" si="110"/>
        <v>0</v>
      </c>
      <c r="CT108" s="7">
        <f t="shared" si="110"/>
        <v>0</v>
      </c>
      <c r="CU108" s="7">
        <f t="shared" si="110"/>
        <v>0</v>
      </c>
      <c r="CV108" s="7">
        <f t="shared" si="110"/>
        <v>0</v>
      </c>
      <c r="CW108" s="7">
        <f t="shared" si="110"/>
        <v>0</v>
      </c>
      <c r="CX108" s="7">
        <f t="shared" si="110"/>
        <v>0</v>
      </c>
      <c r="CY108" s="7">
        <f t="shared" ref="CY108:DH108" si="111">SUM(CY81:CY104)</f>
        <v>0</v>
      </c>
      <c r="CZ108" s="7">
        <f t="shared" si="111"/>
        <v>0</v>
      </c>
      <c r="DA108" s="7">
        <f t="shared" si="111"/>
        <v>0</v>
      </c>
      <c r="DB108" s="7">
        <f t="shared" si="111"/>
        <v>0</v>
      </c>
      <c r="DC108" s="7">
        <f t="shared" si="111"/>
        <v>0</v>
      </c>
      <c r="DD108" s="7">
        <f t="shared" si="111"/>
        <v>0</v>
      </c>
      <c r="DE108" s="7">
        <f t="shared" si="111"/>
        <v>0</v>
      </c>
      <c r="DF108" s="7">
        <f t="shared" si="111"/>
        <v>0</v>
      </c>
      <c r="DG108" s="7">
        <f t="shared" si="111"/>
        <v>0</v>
      </c>
      <c r="DH108" s="7">
        <f t="shared" si="111"/>
        <v>0</v>
      </c>
      <c r="DI108" s="7">
        <f t="shared" ref="DI108:DR108" si="112">SUM(DI81:DI104)</f>
        <v>0</v>
      </c>
      <c r="DJ108" s="7">
        <f t="shared" si="112"/>
        <v>0</v>
      </c>
      <c r="DK108" s="7">
        <f t="shared" si="112"/>
        <v>0</v>
      </c>
      <c r="DL108" s="7">
        <f t="shared" si="112"/>
        <v>0</v>
      </c>
      <c r="DM108" s="7">
        <f t="shared" si="112"/>
        <v>0</v>
      </c>
      <c r="DN108" s="7">
        <f t="shared" si="112"/>
        <v>0</v>
      </c>
      <c r="DO108" s="7">
        <f t="shared" si="112"/>
        <v>0</v>
      </c>
      <c r="DP108" s="7">
        <f t="shared" si="112"/>
        <v>0</v>
      </c>
      <c r="DQ108" s="7">
        <f t="shared" si="112"/>
        <v>0</v>
      </c>
      <c r="DR108" s="7">
        <f t="shared" si="112"/>
        <v>0</v>
      </c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0"/>
      <c r="EF108" s="10"/>
      <c r="EG108" s="10"/>
      <c r="EH108" s="2"/>
      <c r="EI108" s="2"/>
      <c r="EJ108" s="10"/>
      <c r="EK108" s="12"/>
      <c r="EL108" s="10"/>
    </row>
  </sheetData>
  <mergeCells count="30">
    <mergeCell ref="B6:EL6"/>
    <mergeCell ref="H5:K5"/>
    <mergeCell ref="AG7:AP7"/>
    <mergeCell ref="AQ7:AZ7"/>
    <mergeCell ref="CY7:DH7"/>
    <mergeCell ref="DI7:DR7"/>
    <mergeCell ref="DS7:ED7"/>
    <mergeCell ref="EI7:EL7"/>
    <mergeCell ref="EE7:EE8"/>
    <mergeCell ref="B7:B8"/>
    <mergeCell ref="C7:L7"/>
    <mergeCell ref="EG7:EG8"/>
    <mergeCell ref="W7:AF7"/>
    <mergeCell ref="BA7:BJ7"/>
    <mergeCell ref="BK7:BT7"/>
    <mergeCell ref="BU7:CD7"/>
    <mergeCell ref="B2:EL2"/>
    <mergeCell ref="B3:C3"/>
    <mergeCell ref="B4:C4"/>
    <mergeCell ref="B5:C5"/>
    <mergeCell ref="D3:K3"/>
    <mergeCell ref="D4:K4"/>
    <mergeCell ref="L3:EL5"/>
    <mergeCell ref="F5:G5"/>
    <mergeCell ref="D5:E5"/>
    <mergeCell ref="CE7:CN7"/>
    <mergeCell ref="CO7:CX7"/>
    <mergeCell ref="M7:V7"/>
    <mergeCell ref="EH7:EH8"/>
    <mergeCell ref="EF7:EF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EH109"/>
  <sheetViews>
    <sheetView zoomScale="70" zoomScaleNormal="70" workbookViewId="0"/>
  </sheetViews>
  <sheetFormatPr baseColWidth="10" defaultColWidth="9.140625" defaultRowHeight="15" x14ac:dyDescent="0.25"/>
  <cols>
    <col min="1" max="1" width="13.5703125" bestFit="1" customWidth="1"/>
    <col min="2" max="2" width="17" bestFit="1" customWidth="1"/>
    <col min="3" max="102" width="13.5703125" style="1" bestFit="1" customWidth="1"/>
    <col min="103" max="122" width="13.5703125" style="84" customWidth="1"/>
    <col min="123" max="132" width="13.5703125" style="1" bestFit="1" customWidth="1"/>
    <col min="133" max="134" width="13.5703125" style="84" customWidth="1"/>
    <col min="135" max="137" width="13.5703125" style="2" bestFit="1" customWidth="1"/>
    <col min="138" max="138" width="13.5703125" style="1" bestFit="1" customWidth="1"/>
  </cols>
  <sheetData>
    <row r="1" spans="2:138" ht="18.75" customHeight="1" x14ac:dyDescent="0.25"/>
    <row r="2" spans="2:138" ht="30" customHeight="1" x14ac:dyDescent="0.4">
      <c r="B2" s="198" t="s">
        <v>22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99"/>
      <c r="BT2" s="1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  <c r="CS2" s="199"/>
      <c r="CT2" s="199"/>
      <c r="CU2" s="199"/>
      <c r="CV2" s="199"/>
      <c r="CW2" s="199"/>
      <c r="CX2" s="199"/>
      <c r="CY2" s="199"/>
      <c r="CZ2" s="199"/>
      <c r="DA2" s="199"/>
      <c r="DB2" s="199"/>
      <c r="DC2" s="199"/>
      <c r="DD2" s="199"/>
      <c r="DE2" s="199"/>
      <c r="DF2" s="199"/>
      <c r="DG2" s="199"/>
      <c r="DH2" s="199"/>
      <c r="DI2" s="199"/>
      <c r="DJ2" s="199"/>
      <c r="DK2" s="199"/>
      <c r="DL2" s="199"/>
      <c r="DM2" s="199"/>
      <c r="DN2" s="199"/>
      <c r="DO2" s="199"/>
      <c r="DP2" s="199"/>
      <c r="DQ2" s="199"/>
      <c r="DR2" s="199"/>
      <c r="DS2" s="199"/>
      <c r="DT2" s="199"/>
      <c r="DU2" s="199"/>
      <c r="DV2" s="199"/>
      <c r="DW2" s="199"/>
      <c r="DX2" s="199"/>
      <c r="DY2" s="199"/>
      <c r="DZ2" s="199"/>
      <c r="EA2" s="199"/>
      <c r="EB2" s="199"/>
      <c r="EC2" s="199"/>
      <c r="ED2" s="199"/>
      <c r="EE2" s="199"/>
      <c r="EF2" s="199"/>
      <c r="EG2" s="199"/>
      <c r="EH2" s="200"/>
    </row>
    <row r="3" spans="2:138" ht="20.25" customHeight="1" x14ac:dyDescent="0.3">
      <c r="B3" s="201" t="s">
        <v>125</v>
      </c>
      <c r="C3" s="202"/>
      <c r="D3" s="203" t="str">
        <f>Inicio!G5</f>
        <v/>
      </c>
      <c r="E3" s="203"/>
      <c r="F3" s="203"/>
      <c r="G3" s="203"/>
      <c r="H3" s="203"/>
      <c r="I3" s="203"/>
      <c r="J3" s="203"/>
      <c r="K3" s="203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5"/>
      <c r="DM3" s="205"/>
      <c r="DN3" s="205"/>
      <c r="DO3" s="205"/>
      <c r="DP3" s="205"/>
      <c r="DQ3" s="205"/>
      <c r="DR3" s="205"/>
      <c r="DS3" s="205"/>
      <c r="DT3" s="205"/>
      <c r="DU3" s="205"/>
      <c r="DV3" s="205"/>
      <c r="DW3" s="205"/>
      <c r="DX3" s="205"/>
      <c r="DY3" s="205"/>
      <c r="DZ3" s="205"/>
      <c r="EA3" s="205"/>
      <c r="EB3" s="205"/>
      <c r="EC3" s="205"/>
      <c r="ED3" s="205"/>
      <c r="EE3" s="205"/>
      <c r="EF3" s="205"/>
      <c r="EG3" s="205"/>
      <c r="EH3" s="206"/>
    </row>
    <row r="4" spans="2:138" ht="20.25" customHeight="1" x14ac:dyDescent="0.3">
      <c r="B4" s="201" t="s">
        <v>126</v>
      </c>
      <c r="C4" s="202"/>
      <c r="D4" s="204">
        <f>Inicio!G6</f>
        <v>45658</v>
      </c>
      <c r="E4" s="204"/>
      <c r="F4" s="204"/>
      <c r="G4" s="204"/>
      <c r="H4" s="204"/>
      <c r="I4" s="204"/>
      <c r="J4" s="204"/>
      <c r="K4" s="204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6"/>
    </row>
    <row r="5" spans="2:138" ht="20.25" customHeight="1" x14ac:dyDescent="0.3">
      <c r="B5" s="201" t="s">
        <v>127</v>
      </c>
      <c r="C5" s="202"/>
      <c r="D5" s="207" t="str">
        <f>Inicio!G8</f>
        <v>MIÉRCOLES</v>
      </c>
      <c r="E5" s="207"/>
      <c r="F5" s="202" t="s">
        <v>128</v>
      </c>
      <c r="G5" s="202"/>
      <c r="H5" s="207" t="str">
        <f>Inicio!G9</f>
        <v/>
      </c>
      <c r="I5" s="207"/>
      <c r="J5" s="207"/>
      <c r="K5" s="207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6"/>
    </row>
    <row r="6" spans="2:138" ht="20.25" customHeight="1" x14ac:dyDescent="0.3">
      <c r="B6" s="208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209"/>
      <c r="DJ6" s="209"/>
      <c r="DK6" s="209"/>
      <c r="DL6" s="209"/>
      <c r="DM6" s="209"/>
      <c r="DN6" s="209"/>
      <c r="DO6" s="209"/>
      <c r="DP6" s="209"/>
      <c r="DQ6" s="209"/>
      <c r="DR6" s="209"/>
      <c r="DS6" s="209"/>
      <c r="DT6" s="209"/>
      <c r="DU6" s="209"/>
      <c r="DV6" s="209"/>
      <c r="DW6" s="209"/>
      <c r="DX6" s="209"/>
      <c r="DY6" s="209"/>
      <c r="DZ6" s="209"/>
      <c r="EA6" s="209"/>
      <c r="EB6" s="209"/>
      <c r="EC6" s="209"/>
      <c r="ED6" s="209"/>
      <c r="EE6" s="209"/>
      <c r="EF6" s="209"/>
      <c r="EG6" s="209"/>
      <c r="EH6" s="210"/>
    </row>
    <row r="7" spans="2:138" ht="22.5" customHeight="1" x14ac:dyDescent="0.35">
      <c r="B7" s="217" t="s">
        <v>23</v>
      </c>
      <c r="C7" s="193" t="str">
        <f>Inicio!V4</f>
        <v>Auto</v>
      </c>
      <c r="D7" s="194"/>
      <c r="E7" s="194"/>
      <c r="F7" s="194"/>
      <c r="G7" s="194"/>
      <c r="H7" s="194"/>
      <c r="I7" s="194"/>
      <c r="J7" s="194"/>
      <c r="K7" s="194"/>
      <c r="L7" s="195"/>
      <c r="M7" s="193" t="str">
        <f>Inicio!V5</f>
        <v>Moto</v>
      </c>
      <c r="N7" s="194"/>
      <c r="O7" s="194"/>
      <c r="P7" s="194"/>
      <c r="Q7" s="194"/>
      <c r="R7" s="194"/>
      <c r="S7" s="194"/>
      <c r="T7" s="194"/>
      <c r="U7" s="194"/>
      <c r="V7" s="195"/>
      <c r="W7" s="193" t="str">
        <f>Inicio!V6</f>
        <v>Bus</v>
      </c>
      <c r="X7" s="194"/>
      <c r="Y7" s="194"/>
      <c r="Z7" s="194"/>
      <c r="AA7" s="194"/>
      <c r="AB7" s="194"/>
      <c r="AC7" s="194"/>
      <c r="AD7" s="194"/>
      <c r="AE7" s="194"/>
      <c r="AF7" s="195"/>
      <c r="AG7" s="220" t="str">
        <f>Inicio!V7</f>
        <v>Camion</v>
      </c>
      <c r="AH7" s="221"/>
      <c r="AI7" s="221"/>
      <c r="AJ7" s="221"/>
      <c r="AK7" s="221"/>
      <c r="AL7" s="221"/>
      <c r="AM7" s="221"/>
      <c r="AN7" s="221"/>
      <c r="AO7" s="221"/>
      <c r="AP7" s="222"/>
      <c r="AQ7" s="220" t="str">
        <f>Inicio!V8</f>
        <v>Bicicleta</v>
      </c>
      <c r="AR7" s="221"/>
      <c r="AS7" s="221"/>
      <c r="AT7" s="221"/>
      <c r="AU7" s="221"/>
      <c r="AV7" s="221"/>
      <c r="AW7" s="221"/>
      <c r="AX7" s="221"/>
      <c r="AY7" s="221"/>
      <c r="AZ7" s="222"/>
      <c r="BA7" s="220" t="str">
        <f>Inicio!V9</f>
        <v>Taxi</v>
      </c>
      <c r="BB7" s="221"/>
      <c r="BC7" s="221"/>
      <c r="BD7" s="221"/>
      <c r="BE7" s="221"/>
      <c r="BF7" s="221"/>
      <c r="BG7" s="221"/>
      <c r="BH7" s="221"/>
      <c r="BI7" s="221"/>
      <c r="BJ7" s="222"/>
      <c r="BK7" s="220" t="str">
        <f>Inicio!V10</f>
        <v>Van</v>
      </c>
      <c r="BL7" s="221"/>
      <c r="BM7" s="221"/>
      <c r="BN7" s="221"/>
      <c r="BO7" s="221"/>
      <c r="BP7" s="221"/>
      <c r="BQ7" s="221"/>
      <c r="BR7" s="221"/>
      <c r="BS7" s="221"/>
      <c r="BT7" s="222"/>
      <c r="BU7" s="220" t="str">
        <f>Inicio!V11</f>
        <v>Combi</v>
      </c>
      <c r="BV7" s="221"/>
      <c r="BW7" s="221"/>
      <c r="BX7" s="221"/>
      <c r="BY7" s="221"/>
      <c r="BZ7" s="221"/>
      <c r="CA7" s="221"/>
      <c r="CB7" s="221"/>
      <c r="CC7" s="221"/>
      <c r="CD7" s="222"/>
      <c r="CE7" s="220" t="str">
        <f>Inicio!V12</f>
        <v>Microbus</v>
      </c>
      <c r="CF7" s="221"/>
      <c r="CG7" s="221"/>
      <c r="CH7" s="221"/>
      <c r="CI7" s="221"/>
      <c r="CJ7" s="221"/>
      <c r="CK7" s="221"/>
      <c r="CL7" s="221"/>
      <c r="CM7" s="221"/>
      <c r="CN7" s="222"/>
      <c r="CO7" s="220" t="str">
        <f>Inicio!V13</f>
        <v>Mototaxi</v>
      </c>
      <c r="CP7" s="221"/>
      <c r="CQ7" s="221"/>
      <c r="CR7" s="221"/>
      <c r="CS7" s="221"/>
      <c r="CT7" s="221"/>
      <c r="CU7" s="221"/>
      <c r="CV7" s="221"/>
      <c r="CW7" s="221"/>
      <c r="CX7" s="222"/>
      <c r="CY7" s="220" t="str">
        <f>Inicio!V14</f>
        <v>Semi-trailer</v>
      </c>
      <c r="CZ7" s="221"/>
      <c r="DA7" s="221"/>
      <c r="DB7" s="221"/>
      <c r="DC7" s="221"/>
      <c r="DD7" s="221"/>
      <c r="DE7" s="221"/>
      <c r="DF7" s="221"/>
      <c r="DG7" s="221"/>
      <c r="DH7" s="222"/>
      <c r="DI7" s="220" t="str">
        <f>Inicio!V15</f>
        <v>Otros</v>
      </c>
      <c r="DJ7" s="221"/>
      <c r="DK7" s="221"/>
      <c r="DL7" s="221"/>
      <c r="DM7" s="221"/>
      <c r="DN7" s="221"/>
      <c r="DO7" s="221"/>
      <c r="DP7" s="221"/>
      <c r="DQ7" s="221"/>
      <c r="DR7" s="222"/>
      <c r="DS7" s="211" t="s">
        <v>24</v>
      </c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3"/>
      <c r="EE7" s="196" t="s">
        <v>136</v>
      </c>
      <c r="EF7" s="196" t="s">
        <v>135</v>
      </c>
      <c r="EG7" s="196" t="s">
        <v>137</v>
      </c>
      <c r="EH7" s="196" t="s">
        <v>138</v>
      </c>
    </row>
    <row r="8" spans="2:138" ht="20.25" customHeight="1" x14ac:dyDescent="0.35">
      <c r="B8" s="219"/>
      <c r="C8" s="14" t="str">
        <f>IF(Inicio!$M12 = 0,"",Inicio!$M12)</f>
        <v/>
      </c>
      <c r="D8" s="14" t="str">
        <f>IF(Inicio!$M13 = 0,"",Inicio!$M13)</f>
        <v/>
      </c>
      <c r="E8" s="14" t="str">
        <f>IF(Inicio!$M14 = 0,"",Inicio!$M14)</f>
        <v/>
      </c>
      <c r="F8" s="14" t="str">
        <f>IF(Inicio!$M15 = 0,"",Inicio!$M15)</f>
        <v/>
      </c>
      <c r="G8" s="14" t="str">
        <f>IF(Inicio!$M16 = 0,"",Inicio!$M16)</f>
        <v/>
      </c>
      <c r="H8" s="14" t="str">
        <f>IF(Inicio!$M17 = 0,"",Inicio!$M17)</f>
        <v/>
      </c>
      <c r="I8" s="14" t="str">
        <f>IF(Inicio!$M18 = 0,"",Inicio!$M18)</f>
        <v/>
      </c>
      <c r="J8" s="14" t="str">
        <f>IF(Inicio!$M19 = 0,"",Inicio!$M19)</f>
        <v/>
      </c>
      <c r="K8" s="14" t="str">
        <f>IF(Inicio!$M20 = 0,"",Inicio!$M20)</f>
        <v/>
      </c>
      <c r="L8" s="14" t="str">
        <f>IF(Inicio!$M21 = 0,"",Inicio!$M21)</f>
        <v/>
      </c>
      <c r="M8" s="14" t="str">
        <f>IF(Inicio!$M12 = 0,"",Inicio!$M12)</f>
        <v/>
      </c>
      <c r="N8" s="14" t="str">
        <f>IF(Inicio!$M13 = 0,"",Inicio!$M13)</f>
        <v/>
      </c>
      <c r="O8" s="14" t="str">
        <f>IF(Inicio!$M14 = 0,"",Inicio!$M14)</f>
        <v/>
      </c>
      <c r="P8" s="14" t="str">
        <f>IF(Inicio!$M15 = 0,"",Inicio!$M15)</f>
        <v/>
      </c>
      <c r="Q8" s="14" t="str">
        <f>IF(Inicio!$M16 = 0,"",Inicio!$M16)</f>
        <v/>
      </c>
      <c r="R8" s="14" t="str">
        <f>IF(Inicio!$M17 = 0,"",Inicio!$M17)</f>
        <v/>
      </c>
      <c r="S8" s="14" t="str">
        <f>IF(Inicio!$M18 = 0,"",Inicio!$M18)</f>
        <v/>
      </c>
      <c r="T8" s="14" t="str">
        <f>IF(Inicio!$M19 = 0,"",Inicio!$M19)</f>
        <v/>
      </c>
      <c r="U8" s="14" t="str">
        <f>IF(Inicio!$M20 = 0,"",Inicio!$M20)</f>
        <v/>
      </c>
      <c r="V8" s="14" t="str">
        <f>IF(Inicio!$M21 = 0,"",Inicio!$M21)</f>
        <v/>
      </c>
      <c r="W8" s="14" t="str">
        <f>IF(Inicio!$M12 = 0,"",Inicio!$M12)</f>
        <v/>
      </c>
      <c r="X8" s="14" t="str">
        <f>IF(Inicio!$M13 = 0,"",Inicio!$M13)</f>
        <v/>
      </c>
      <c r="Y8" s="14" t="str">
        <f>IF(Inicio!$M14 = 0,"",Inicio!$M14)</f>
        <v/>
      </c>
      <c r="Z8" s="14" t="str">
        <f>IF(Inicio!$M15 = 0,"",Inicio!$M15)</f>
        <v/>
      </c>
      <c r="AA8" s="14" t="str">
        <f>IF(Inicio!$M16 = 0,"",Inicio!$M16)</f>
        <v/>
      </c>
      <c r="AB8" s="14" t="str">
        <f>IF(Inicio!$M17 = 0,"",Inicio!$M17)</f>
        <v/>
      </c>
      <c r="AC8" s="14" t="str">
        <f>IF(Inicio!$M18 = 0,"",Inicio!$M18)</f>
        <v/>
      </c>
      <c r="AD8" s="14" t="str">
        <f>IF(Inicio!$M19 = 0,"",Inicio!$M19)</f>
        <v/>
      </c>
      <c r="AE8" s="14" t="str">
        <f>IF(Inicio!$M20 = 0,"",Inicio!$M20)</f>
        <v/>
      </c>
      <c r="AF8" s="14" t="str">
        <f>IF(Inicio!$M21 = 0,"",Inicio!$M21)</f>
        <v/>
      </c>
      <c r="AG8" s="14" t="str">
        <f>IF(Inicio!$M12 = 0,"",Inicio!$M12)</f>
        <v/>
      </c>
      <c r="AH8" s="14" t="str">
        <f>IF(Inicio!$M13 = 0,"",Inicio!$M13)</f>
        <v/>
      </c>
      <c r="AI8" s="14" t="str">
        <f>IF(Inicio!$M14 = 0,"",Inicio!$M14)</f>
        <v/>
      </c>
      <c r="AJ8" s="14" t="str">
        <f>IF(Inicio!$M15 = 0,"",Inicio!$M15)</f>
        <v/>
      </c>
      <c r="AK8" s="14" t="str">
        <f>IF(Inicio!$M16 = 0,"",Inicio!$M16)</f>
        <v/>
      </c>
      <c r="AL8" s="14" t="str">
        <f>IF(Inicio!$M17 = 0,"",Inicio!$M17)</f>
        <v/>
      </c>
      <c r="AM8" s="14" t="str">
        <f>IF(Inicio!$M18 = 0,"",Inicio!$M18)</f>
        <v/>
      </c>
      <c r="AN8" s="14" t="str">
        <f>IF(Inicio!$M19 = 0,"",Inicio!$M19)</f>
        <v/>
      </c>
      <c r="AO8" s="14" t="str">
        <f>IF(Inicio!$M20 = 0,"",Inicio!$M20)</f>
        <v/>
      </c>
      <c r="AP8" s="14" t="str">
        <f>IF(Inicio!$M21 = 0,"",Inicio!$M21)</f>
        <v/>
      </c>
      <c r="AQ8" s="14" t="str">
        <f>IF(Inicio!$M12 = 0,"",Inicio!$M12)</f>
        <v/>
      </c>
      <c r="AR8" s="14" t="str">
        <f>IF(Inicio!$M13 = 0,"",Inicio!$M13)</f>
        <v/>
      </c>
      <c r="AS8" s="14" t="str">
        <f>IF(Inicio!$M14 = 0,"",Inicio!$M14)</f>
        <v/>
      </c>
      <c r="AT8" s="14" t="str">
        <f>IF(Inicio!$M15 = 0,"",Inicio!$M15)</f>
        <v/>
      </c>
      <c r="AU8" s="14" t="str">
        <f>IF(Inicio!$M16 = 0,"",Inicio!$M16)</f>
        <v/>
      </c>
      <c r="AV8" s="14" t="str">
        <f>IF(Inicio!$M17 = 0,"",Inicio!$M17)</f>
        <v/>
      </c>
      <c r="AW8" s="14" t="str">
        <f>IF(Inicio!$M18 = 0,"",Inicio!$M18)</f>
        <v/>
      </c>
      <c r="AX8" s="14" t="str">
        <f>IF(Inicio!$M19 = 0,"",Inicio!$M19)</f>
        <v/>
      </c>
      <c r="AY8" s="14" t="str">
        <f>IF(Inicio!$M20 = 0,"",Inicio!$M20)</f>
        <v/>
      </c>
      <c r="AZ8" s="14" t="str">
        <f>IF(Inicio!$M21 = 0,"",Inicio!$M21)</f>
        <v/>
      </c>
      <c r="BA8" s="14" t="str">
        <f>IF(Inicio!$M12 = 0,"",Inicio!$M12)</f>
        <v/>
      </c>
      <c r="BB8" s="14" t="str">
        <f>IF(Inicio!$M13 = 0,"",Inicio!$M13)</f>
        <v/>
      </c>
      <c r="BC8" s="14" t="str">
        <f>IF(Inicio!$M14 = 0,"",Inicio!$M14)</f>
        <v/>
      </c>
      <c r="BD8" s="14" t="str">
        <f>IF(Inicio!$M15 = 0,"",Inicio!$M15)</f>
        <v/>
      </c>
      <c r="BE8" s="14" t="str">
        <f>IF(Inicio!$M16 = 0,"",Inicio!$M16)</f>
        <v/>
      </c>
      <c r="BF8" s="14" t="str">
        <f>IF(Inicio!$M17 = 0,"",Inicio!$M17)</f>
        <v/>
      </c>
      <c r="BG8" s="14" t="str">
        <f>IF(Inicio!$M18 = 0,"",Inicio!$M18)</f>
        <v/>
      </c>
      <c r="BH8" s="14" t="str">
        <f>IF(Inicio!$M19 = 0,"",Inicio!$M19)</f>
        <v/>
      </c>
      <c r="BI8" s="14" t="str">
        <f>IF(Inicio!$M20 = 0,"",Inicio!$M20)</f>
        <v/>
      </c>
      <c r="BJ8" s="14" t="str">
        <f>IF(Inicio!$M21 = 0,"",Inicio!$M21)</f>
        <v/>
      </c>
      <c r="BK8" s="14" t="str">
        <f>IF(Inicio!$M12 = 0,"",Inicio!$M12)</f>
        <v/>
      </c>
      <c r="BL8" s="14" t="str">
        <f>IF(Inicio!$M13 = 0,"",Inicio!$M13)</f>
        <v/>
      </c>
      <c r="BM8" s="14" t="str">
        <f>IF(Inicio!$M14 = 0,"",Inicio!$M14)</f>
        <v/>
      </c>
      <c r="BN8" s="14" t="str">
        <f>IF(Inicio!$M15 = 0,"",Inicio!$M15)</f>
        <v/>
      </c>
      <c r="BO8" s="14" t="str">
        <f>IF(Inicio!$M16 = 0,"",Inicio!$M16)</f>
        <v/>
      </c>
      <c r="BP8" s="14" t="str">
        <f>IF(Inicio!$M17 = 0,"",Inicio!$M17)</f>
        <v/>
      </c>
      <c r="BQ8" s="14" t="str">
        <f>IF(Inicio!$M18 = 0,"",Inicio!$M18)</f>
        <v/>
      </c>
      <c r="BR8" s="14" t="str">
        <f>IF(Inicio!$M19 = 0,"",Inicio!$M19)</f>
        <v/>
      </c>
      <c r="BS8" s="14" t="str">
        <f>IF(Inicio!$M20 = 0,"",Inicio!$M20)</f>
        <v/>
      </c>
      <c r="BT8" s="14" t="str">
        <f>IF(Inicio!$M21 = 0,"",Inicio!$M21)</f>
        <v/>
      </c>
      <c r="BU8" s="14" t="str">
        <f>IF(Inicio!$M12 = 0,"",Inicio!$M12)</f>
        <v/>
      </c>
      <c r="BV8" s="14" t="str">
        <f>IF(Inicio!$M13 = 0,"",Inicio!$M13)</f>
        <v/>
      </c>
      <c r="BW8" s="14" t="str">
        <f>IF(Inicio!$M14 = 0,"",Inicio!$M14)</f>
        <v/>
      </c>
      <c r="BX8" s="14" t="str">
        <f>IF(Inicio!$M15 = 0,"",Inicio!$M15)</f>
        <v/>
      </c>
      <c r="BY8" s="14" t="str">
        <f>IF(Inicio!$M16 = 0,"",Inicio!$M16)</f>
        <v/>
      </c>
      <c r="BZ8" s="14" t="str">
        <f>IF(Inicio!$M17 = 0,"",Inicio!$M17)</f>
        <v/>
      </c>
      <c r="CA8" s="14" t="str">
        <f>IF(Inicio!$M18 = 0,"",Inicio!$M18)</f>
        <v/>
      </c>
      <c r="CB8" s="14" t="str">
        <f>IF(Inicio!$M19 = 0,"",Inicio!$M19)</f>
        <v/>
      </c>
      <c r="CC8" s="14" t="str">
        <f>IF(Inicio!$M20 = 0,"",Inicio!$M20)</f>
        <v/>
      </c>
      <c r="CD8" s="14" t="str">
        <f>IF(Inicio!$M21 = 0,"",Inicio!$M21)</f>
        <v/>
      </c>
      <c r="CE8" s="14" t="str">
        <f>IF(Inicio!$M12 = 0,"",Inicio!$M12)</f>
        <v/>
      </c>
      <c r="CF8" s="14" t="str">
        <f>IF(Inicio!$M13 = 0,"",Inicio!$M13)</f>
        <v/>
      </c>
      <c r="CG8" s="14" t="str">
        <f>IF(Inicio!$M14 = 0,"",Inicio!$M14)</f>
        <v/>
      </c>
      <c r="CH8" s="14" t="str">
        <f>IF(Inicio!$M15 = 0,"",Inicio!$M15)</f>
        <v/>
      </c>
      <c r="CI8" s="14" t="str">
        <f>IF(Inicio!$M16 = 0,"",Inicio!$M16)</f>
        <v/>
      </c>
      <c r="CJ8" s="14" t="str">
        <f>IF(Inicio!$M17 = 0,"",Inicio!$M17)</f>
        <v/>
      </c>
      <c r="CK8" s="14" t="str">
        <f>IF(Inicio!$M18 = 0,"",Inicio!$M18)</f>
        <v/>
      </c>
      <c r="CL8" s="14" t="str">
        <f>IF(Inicio!$M19 = 0,"",Inicio!$M19)</f>
        <v/>
      </c>
      <c r="CM8" s="14" t="str">
        <f>IF(Inicio!$M20 = 0,"",Inicio!$M20)</f>
        <v/>
      </c>
      <c r="CN8" s="14" t="str">
        <f>IF(Inicio!$M21 = 0,"",Inicio!$M21)</f>
        <v/>
      </c>
      <c r="CO8" s="14" t="str">
        <f>IF(Inicio!$M12 = 0,"",Inicio!$M12)</f>
        <v/>
      </c>
      <c r="CP8" s="14" t="str">
        <f>IF(Inicio!$M13 = 0,"",Inicio!$M13)</f>
        <v/>
      </c>
      <c r="CQ8" s="14" t="str">
        <f>IF(Inicio!$M14 = 0,"",Inicio!$M14)</f>
        <v/>
      </c>
      <c r="CR8" s="14" t="str">
        <f>IF(Inicio!$M15 = 0,"",Inicio!$M15)</f>
        <v/>
      </c>
      <c r="CS8" s="14" t="str">
        <f>IF(Inicio!$M16 = 0,"",Inicio!$M16)</f>
        <v/>
      </c>
      <c r="CT8" s="14" t="str">
        <f>IF(Inicio!$M17 = 0,"",Inicio!$M17)</f>
        <v/>
      </c>
      <c r="CU8" s="14" t="str">
        <f>IF(Inicio!$M18 = 0,"",Inicio!$M18)</f>
        <v/>
      </c>
      <c r="CV8" s="14" t="str">
        <f>IF(Inicio!$M19 = 0,"",Inicio!$M19)</f>
        <v/>
      </c>
      <c r="CW8" s="14" t="str">
        <f>IF(Inicio!$M20 = 0,"",Inicio!$M20)</f>
        <v/>
      </c>
      <c r="CX8" s="14" t="str">
        <f>IF(Inicio!$M21 = 0,"",Inicio!$M21)</f>
        <v/>
      </c>
      <c r="CY8" s="14" t="str">
        <f>IF(Inicio!$M12 = 0,"",Inicio!$M12)</f>
        <v/>
      </c>
      <c r="CZ8" s="14" t="str">
        <f>IF(Inicio!$M13 = 0,"",Inicio!$M13)</f>
        <v/>
      </c>
      <c r="DA8" s="14" t="str">
        <f>IF(Inicio!$M14 = 0,"",Inicio!$M14)</f>
        <v/>
      </c>
      <c r="DB8" s="14" t="str">
        <f>IF(Inicio!$M15 = 0,"",Inicio!$M15)</f>
        <v/>
      </c>
      <c r="DC8" s="14" t="str">
        <f>IF(Inicio!$M16 = 0,"",Inicio!$M16)</f>
        <v/>
      </c>
      <c r="DD8" s="14" t="str">
        <f>IF(Inicio!$M17 = 0,"",Inicio!$M17)</f>
        <v/>
      </c>
      <c r="DE8" s="14" t="str">
        <f>IF(Inicio!$M18 = 0,"",Inicio!$M18)</f>
        <v/>
      </c>
      <c r="DF8" s="14" t="str">
        <f>IF(Inicio!$M19 = 0,"",Inicio!$M19)</f>
        <v/>
      </c>
      <c r="DG8" s="14" t="str">
        <f>IF(Inicio!$M20 = 0,"",Inicio!$M20)</f>
        <v/>
      </c>
      <c r="DH8" s="14" t="str">
        <f>IF(Inicio!$M21 = 0,"",Inicio!$M21)</f>
        <v/>
      </c>
      <c r="DI8" s="14" t="str">
        <f>IF(Inicio!$M12 = 0,"",Inicio!$M12)</f>
        <v/>
      </c>
      <c r="DJ8" s="14" t="str">
        <f>IF(Inicio!$M13 = 0,"",Inicio!$M13)</f>
        <v/>
      </c>
      <c r="DK8" s="14" t="str">
        <f>IF(Inicio!$M14 = 0,"",Inicio!$M14)</f>
        <v/>
      </c>
      <c r="DL8" s="14" t="str">
        <f>IF(Inicio!$M15 = 0,"",Inicio!$M15)</f>
        <v/>
      </c>
      <c r="DM8" s="14" t="str">
        <f>IF(Inicio!$M16 = 0,"",Inicio!$M16)</f>
        <v/>
      </c>
      <c r="DN8" s="14" t="str">
        <f>IF(Inicio!$M17 = 0,"",Inicio!$M17)</f>
        <v/>
      </c>
      <c r="DO8" s="14" t="str">
        <f>IF(Inicio!$M18 = 0,"",Inicio!$M18)</f>
        <v/>
      </c>
      <c r="DP8" s="14" t="str">
        <f>IF(Inicio!$M19 = 0,"",Inicio!$M19)</f>
        <v/>
      </c>
      <c r="DQ8" s="14" t="str">
        <f>IF(Inicio!$M20 = 0,"",Inicio!$M20)</f>
        <v/>
      </c>
      <c r="DR8" s="14" t="str">
        <f>IF(Inicio!$M21 = 0,"",Inicio!$M21)</f>
        <v/>
      </c>
      <c r="DS8" s="52" t="str">
        <f>C7</f>
        <v>Auto</v>
      </c>
      <c r="DT8" s="52" t="str">
        <f>M7</f>
        <v>Moto</v>
      </c>
      <c r="DU8" s="52" t="str">
        <f>W7</f>
        <v>Bus</v>
      </c>
      <c r="DV8" s="52" t="str">
        <f>AG7</f>
        <v>Camion</v>
      </c>
      <c r="DW8" s="52" t="str">
        <f>AQ7</f>
        <v>Bicicleta</v>
      </c>
      <c r="DX8" s="52" t="str">
        <f>BA7</f>
        <v>Taxi</v>
      </c>
      <c r="DY8" s="52" t="str">
        <f>BK7</f>
        <v>Van</v>
      </c>
      <c r="DZ8" s="52" t="str">
        <f>BU7</f>
        <v>Combi</v>
      </c>
      <c r="EA8" s="52" t="str">
        <f>CE7</f>
        <v>Microbus</v>
      </c>
      <c r="EB8" s="52" t="str">
        <f>CO7</f>
        <v>Mototaxi</v>
      </c>
      <c r="EC8" s="52" t="str">
        <f>CY7</f>
        <v>Semi-trailer</v>
      </c>
      <c r="ED8" s="52" t="str">
        <f>DI7</f>
        <v>Otros</v>
      </c>
      <c r="EE8" s="197"/>
      <c r="EF8" s="197"/>
      <c r="EG8" s="197"/>
      <c r="EH8" s="197"/>
    </row>
    <row r="9" spans="2:138" ht="20.25" customHeight="1" x14ac:dyDescent="0.3">
      <c r="B9" s="23" t="s">
        <v>25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3">
        <f>SUM(C9:L9)*Inicio!$W$4</f>
        <v>0</v>
      </c>
      <c r="DT9" s="3">
        <f>SUM(M9:V9)*Inicio!$W$5</f>
        <v>0</v>
      </c>
      <c r="DU9" s="3">
        <f>SUM(W9:AF9)*Inicio!$W$6</f>
        <v>0</v>
      </c>
      <c r="DV9" s="3">
        <f>SUM(AG9:AP9)*Inicio!$W$7</f>
        <v>0</v>
      </c>
      <c r="DW9" s="3">
        <f>SUM(AQ9:AZ9)*Inicio!$W$8</f>
        <v>0</v>
      </c>
      <c r="DX9" s="3">
        <f>SUM(BA9:BJ9)*Inicio!$W$9</f>
        <v>0</v>
      </c>
      <c r="DY9" s="3">
        <f>SUM(BK9:BT9)*Inicio!$W$10</f>
        <v>0</v>
      </c>
      <c r="DZ9" s="3">
        <f>SUM(BU9:CD9)*Inicio!$W$11</f>
        <v>0</v>
      </c>
      <c r="EA9" s="3">
        <f>SUM(CE9:CN9)*Inicio!$W$12</f>
        <v>0</v>
      </c>
      <c r="EB9" s="3">
        <f>SUM(CO9:CX9)*Inicio!$W$13</f>
        <v>0</v>
      </c>
      <c r="EC9" s="3">
        <f>SUM(CY9:DH9)*Inicio!$W$11</f>
        <v>0</v>
      </c>
      <c r="ED9" s="3">
        <f>SUM(DI9:DR9)*Inicio!$W$12</f>
        <v>0</v>
      </c>
      <c r="EE9" s="3">
        <f>SUM(C9:DR9)</f>
        <v>0</v>
      </c>
      <c r="EF9" s="3">
        <f>EE9</f>
        <v>0</v>
      </c>
      <c r="EG9" s="3">
        <f>SUM(DS9:ED9)</f>
        <v>0</v>
      </c>
      <c r="EH9" s="3">
        <f>EG9</f>
        <v>0</v>
      </c>
    </row>
    <row r="10" spans="2:138" ht="20.25" customHeight="1" x14ac:dyDescent="0.3">
      <c r="B10" s="24" t="s">
        <v>26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4">
        <f>SUM(C10:L10)*Inicio!$W$4</f>
        <v>0</v>
      </c>
      <c r="DT10" s="4">
        <f>SUM(M10:V10)*Inicio!$W$5</f>
        <v>0</v>
      </c>
      <c r="DU10" s="4">
        <f>SUM(W10:AF10)*Inicio!$W$6</f>
        <v>0</v>
      </c>
      <c r="DV10" s="4">
        <f>SUM(AG10:AP10)*Inicio!$W$7</f>
        <v>0</v>
      </c>
      <c r="DW10" s="4">
        <f>SUM(AQ10:AZ10)*Inicio!$W$8</f>
        <v>0</v>
      </c>
      <c r="DX10" s="4">
        <f>SUM(BA10:BJ10)*Inicio!$W$9</f>
        <v>0</v>
      </c>
      <c r="DY10" s="4">
        <f>SUM(BK10:BT10)*Inicio!$W$10</f>
        <v>0</v>
      </c>
      <c r="DZ10" s="4">
        <f>SUM(BU10:CD10)*Inicio!$W$11</f>
        <v>0</v>
      </c>
      <c r="EA10" s="4">
        <f>SUM(CE10:CN10)*Inicio!$W$12</f>
        <v>0</v>
      </c>
      <c r="EB10" s="4">
        <f>SUM(CO10:CX10)*Inicio!$W$13</f>
        <v>0</v>
      </c>
      <c r="EC10" s="4">
        <f>SUM(CY10:DH10)*Inicio!$W$11</f>
        <v>0</v>
      </c>
      <c r="ED10" s="4">
        <f>SUM(DI10:DR10)*Inicio!$W$12</f>
        <v>0</v>
      </c>
      <c r="EE10" s="4">
        <f t="shared" ref="EE10:EE73" si="0">SUM(C10:DR10)</f>
        <v>0</v>
      </c>
      <c r="EF10" s="4">
        <f>SUM(EE9:EE10)</f>
        <v>0</v>
      </c>
      <c r="EG10" s="4">
        <f t="shared" ref="EG10:EG73" si="1">SUM(DS10:ED10)</f>
        <v>0</v>
      </c>
      <c r="EH10" s="4">
        <f>SUM(EG9:EG10)</f>
        <v>0</v>
      </c>
    </row>
    <row r="11" spans="2:138" ht="20.25" customHeight="1" x14ac:dyDescent="0.3">
      <c r="B11" s="24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4">
        <f>SUM(C11:L11)*Inicio!$W$4</f>
        <v>0</v>
      </c>
      <c r="DT11" s="4">
        <f>SUM(M11:V11)*Inicio!$W$5</f>
        <v>0</v>
      </c>
      <c r="DU11" s="4">
        <f>SUM(W11:AF11)*Inicio!$W$6</f>
        <v>0</v>
      </c>
      <c r="DV11" s="4">
        <f>SUM(AG11:AP11)*Inicio!$W$7</f>
        <v>0</v>
      </c>
      <c r="DW11" s="4">
        <f>SUM(AQ11:AZ11)*Inicio!$W$8</f>
        <v>0</v>
      </c>
      <c r="DX11" s="4">
        <f>SUM(BA11:BJ11)*Inicio!$W$9</f>
        <v>0</v>
      </c>
      <c r="DY11" s="4">
        <f>SUM(BK11:BT11)*Inicio!$W$10</f>
        <v>0</v>
      </c>
      <c r="DZ11" s="4">
        <f>SUM(BU11:CD11)*Inicio!$W$11</f>
        <v>0</v>
      </c>
      <c r="EA11" s="4">
        <f>SUM(CE11:CN11)*Inicio!$W$12</f>
        <v>0</v>
      </c>
      <c r="EB11" s="4">
        <f>SUM(CO11:CX11)*Inicio!$W$13</f>
        <v>0</v>
      </c>
      <c r="EC11" s="4">
        <f>SUM(CY11:DH11)*Inicio!$W$11</f>
        <v>0</v>
      </c>
      <c r="ED11" s="4">
        <f>SUM(DI11:DR11)*Inicio!$W$12</f>
        <v>0</v>
      </c>
      <c r="EE11" s="4">
        <f t="shared" si="0"/>
        <v>0</v>
      </c>
      <c r="EF11" s="4">
        <f>SUM(EE9:EE11)</f>
        <v>0</v>
      </c>
      <c r="EG11" s="4">
        <f t="shared" si="1"/>
        <v>0</v>
      </c>
      <c r="EH11" s="4">
        <f>SUM(EG9:EG11)</f>
        <v>0</v>
      </c>
    </row>
    <row r="12" spans="2:138" ht="20.25" customHeight="1" x14ac:dyDescent="0.3">
      <c r="B12" s="25" t="s">
        <v>28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5">
        <f>SUM(C12:L12)*Inicio!$W$4</f>
        <v>0</v>
      </c>
      <c r="DT12" s="5">
        <f>SUM(M12:V12)*Inicio!$W$5</f>
        <v>0</v>
      </c>
      <c r="DU12" s="5">
        <f>SUM(W12:AF12)*Inicio!$W$6</f>
        <v>0</v>
      </c>
      <c r="DV12" s="5">
        <f>SUM(AG12:AP12)*Inicio!$W$7</f>
        <v>0</v>
      </c>
      <c r="DW12" s="5">
        <f>SUM(AQ12:AZ12)*Inicio!$W$8</f>
        <v>0</v>
      </c>
      <c r="DX12" s="5">
        <f>SUM(BA12:BJ12)*Inicio!$W$9</f>
        <v>0</v>
      </c>
      <c r="DY12" s="5">
        <f>SUM(BK12:BT12)*Inicio!$W$10</f>
        <v>0</v>
      </c>
      <c r="DZ12" s="5">
        <f>SUM(BU12:CD12)*Inicio!$W$11</f>
        <v>0</v>
      </c>
      <c r="EA12" s="5">
        <f>SUM(CE12:CN12)*Inicio!$W$12</f>
        <v>0</v>
      </c>
      <c r="EB12" s="5">
        <f>SUM(CO12:CX12)*Inicio!$W$13</f>
        <v>0</v>
      </c>
      <c r="EC12" s="85">
        <f>SUM(CY12:DH12)*Inicio!$W$11</f>
        <v>0</v>
      </c>
      <c r="ED12" s="85">
        <f>SUM(DI12:DR12)*Inicio!$W$12</f>
        <v>0</v>
      </c>
      <c r="EE12" s="4">
        <f t="shared" si="0"/>
        <v>0</v>
      </c>
      <c r="EF12" s="5">
        <f>SUM(EE9:EE12)</f>
        <v>0</v>
      </c>
      <c r="EG12" s="5">
        <f t="shared" si="1"/>
        <v>0</v>
      </c>
      <c r="EH12" s="5">
        <f>SUM(EG9:EG12)</f>
        <v>0</v>
      </c>
    </row>
    <row r="13" spans="2:138" ht="20.25" customHeight="1" x14ac:dyDescent="0.3">
      <c r="B13" s="23" t="s">
        <v>29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3">
        <f>SUM(C13:L13)*Inicio!$W$4</f>
        <v>0</v>
      </c>
      <c r="DT13" s="3">
        <f>SUM(M13:V13)*Inicio!$W$5</f>
        <v>0</v>
      </c>
      <c r="DU13" s="3">
        <f>SUM(W13:AF13)*Inicio!$W$6</f>
        <v>0</v>
      </c>
      <c r="DV13" s="3">
        <f>SUM(AG13:AP13)*Inicio!$W$7</f>
        <v>0</v>
      </c>
      <c r="DW13" s="3">
        <f>SUM(AQ13:AZ13)*Inicio!$W$8</f>
        <v>0</v>
      </c>
      <c r="DX13" s="3">
        <f>SUM(BA13:BJ13)*Inicio!$W$9</f>
        <v>0</v>
      </c>
      <c r="DY13" s="3">
        <f>SUM(BK13:BT13)*Inicio!$W$10</f>
        <v>0</v>
      </c>
      <c r="DZ13" s="3">
        <f>SUM(BU13:CD13)*Inicio!$W$11</f>
        <v>0</v>
      </c>
      <c r="EA13" s="3">
        <f>SUM(CE13:CN13)*Inicio!$W$12</f>
        <v>0</v>
      </c>
      <c r="EB13" s="3">
        <f>SUM(CO13:CX13)*Inicio!$W$13</f>
        <v>0</v>
      </c>
      <c r="EC13" s="3">
        <f>SUM(CY13:DH13)*Inicio!$W$11</f>
        <v>0</v>
      </c>
      <c r="ED13" s="3">
        <f>SUM(DI13:DR13)*Inicio!$W$12</f>
        <v>0</v>
      </c>
      <c r="EE13" s="3">
        <f t="shared" si="0"/>
        <v>0</v>
      </c>
      <c r="EF13" s="3">
        <f>SUM(EE10:EE13)</f>
        <v>0</v>
      </c>
      <c r="EG13" s="3">
        <f t="shared" si="1"/>
        <v>0</v>
      </c>
      <c r="EH13" s="3">
        <f>SUM(EG10:EG13)</f>
        <v>0</v>
      </c>
    </row>
    <row r="14" spans="2:138" ht="20.25" customHeight="1" x14ac:dyDescent="0.3">
      <c r="B14" s="24" t="s">
        <v>30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4">
        <f>SUM(C14:L14)*Inicio!$W$4</f>
        <v>0</v>
      </c>
      <c r="DT14" s="4">
        <f>SUM(M14:V14)*Inicio!$W$5</f>
        <v>0</v>
      </c>
      <c r="DU14" s="4">
        <f>SUM(W14:AF14)*Inicio!$W$6</f>
        <v>0</v>
      </c>
      <c r="DV14" s="4">
        <f>SUM(AG14:AP14)*Inicio!$W$7</f>
        <v>0</v>
      </c>
      <c r="DW14" s="4">
        <f>SUM(AQ14:AZ14)*Inicio!$W$8</f>
        <v>0</v>
      </c>
      <c r="DX14" s="4">
        <f>SUM(BA14:BJ14)*Inicio!$W$9</f>
        <v>0</v>
      </c>
      <c r="DY14" s="4">
        <f>SUM(BK14:BT14)*Inicio!$W$10</f>
        <v>0</v>
      </c>
      <c r="DZ14" s="4">
        <f>SUM(BU14:CD14)*Inicio!$W$11</f>
        <v>0</v>
      </c>
      <c r="EA14" s="4">
        <f>SUM(CE14:CN14)*Inicio!$W$12</f>
        <v>0</v>
      </c>
      <c r="EB14" s="4">
        <f>SUM(CO14:CX14)*Inicio!$W$13</f>
        <v>0</v>
      </c>
      <c r="EC14" s="4">
        <f>SUM(CY14:DH14)*Inicio!$W$11</f>
        <v>0</v>
      </c>
      <c r="ED14" s="4">
        <f>SUM(DI14:DR14)*Inicio!$W$12</f>
        <v>0</v>
      </c>
      <c r="EE14" s="4">
        <f t="shared" si="0"/>
        <v>0</v>
      </c>
      <c r="EF14" s="4">
        <f t="shared" ref="EF14:EH29" si="2">SUM(EE11:EE14)</f>
        <v>0</v>
      </c>
      <c r="EG14" s="4">
        <f t="shared" si="1"/>
        <v>0</v>
      </c>
      <c r="EH14" s="4">
        <f t="shared" si="2"/>
        <v>0</v>
      </c>
    </row>
    <row r="15" spans="2:138" ht="20.25" customHeight="1" x14ac:dyDescent="0.3">
      <c r="B15" s="24" t="s">
        <v>31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4">
        <f>SUM(C15:L15)*Inicio!$W$4</f>
        <v>0</v>
      </c>
      <c r="DT15" s="4">
        <f>SUM(M15:V15)*Inicio!$W$5</f>
        <v>0</v>
      </c>
      <c r="DU15" s="4">
        <f>SUM(W15:AF15)*Inicio!$W$6</f>
        <v>0</v>
      </c>
      <c r="DV15" s="4">
        <f>SUM(AG15:AP15)*Inicio!$W$7</f>
        <v>0</v>
      </c>
      <c r="DW15" s="4">
        <f>SUM(AQ15:AZ15)*Inicio!$W$8</f>
        <v>0</v>
      </c>
      <c r="DX15" s="4">
        <f>SUM(BA15:BJ15)*Inicio!$W$9</f>
        <v>0</v>
      </c>
      <c r="DY15" s="4">
        <f>SUM(BK15:BT15)*Inicio!$W$10</f>
        <v>0</v>
      </c>
      <c r="DZ15" s="4">
        <f>SUM(BU15:CD15)*Inicio!$W$11</f>
        <v>0</v>
      </c>
      <c r="EA15" s="4">
        <f>SUM(CE15:CN15)*Inicio!$W$12</f>
        <v>0</v>
      </c>
      <c r="EB15" s="4">
        <f>SUM(CO15:CX15)*Inicio!$W$13</f>
        <v>0</v>
      </c>
      <c r="EC15" s="4">
        <f>SUM(CY15:DH15)*Inicio!$W$11</f>
        <v>0</v>
      </c>
      <c r="ED15" s="4">
        <f>SUM(DI15:DR15)*Inicio!$W$12</f>
        <v>0</v>
      </c>
      <c r="EE15" s="4">
        <f t="shared" si="0"/>
        <v>0</v>
      </c>
      <c r="EF15" s="4">
        <f t="shared" si="2"/>
        <v>0</v>
      </c>
      <c r="EG15" s="4">
        <f t="shared" si="1"/>
        <v>0</v>
      </c>
      <c r="EH15" s="4">
        <f t="shared" si="2"/>
        <v>0</v>
      </c>
    </row>
    <row r="16" spans="2:138" ht="20.25" customHeight="1" x14ac:dyDescent="0.3">
      <c r="B16" s="25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5">
        <f>SUM(C16:L16)*Inicio!$W$4</f>
        <v>0</v>
      </c>
      <c r="DT16" s="5">
        <f>SUM(M16:V16)*Inicio!$W$5</f>
        <v>0</v>
      </c>
      <c r="DU16" s="5">
        <f>SUM(W16:AF16)*Inicio!$W$6</f>
        <v>0</v>
      </c>
      <c r="DV16" s="5">
        <f>SUM(AG16:AP16)*Inicio!$W$7</f>
        <v>0</v>
      </c>
      <c r="DW16" s="5">
        <f>SUM(AQ16:AZ16)*Inicio!$W$8</f>
        <v>0</v>
      </c>
      <c r="DX16" s="5">
        <f>SUM(BA16:BJ16)*Inicio!$W$9</f>
        <v>0</v>
      </c>
      <c r="DY16" s="5">
        <f>SUM(BK16:BT16)*Inicio!$W$10</f>
        <v>0</v>
      </c>
      <c r="DZ16" s="5">
        <f>SUM(BU16:CD16)*Inicio!$W$11</f>
        <v>0</v>
      </c>
      <c r="EA16" s="5">
        <f>SUM(CE16:CN16)*Inicio!$W$12</f>
        <v>0</v>
      </c>
      <c r="EB16" s="5">
        <f>SUM(CO16:CX16)*Inicio!$W$13</f>
        <v>0</v>
      </c>
      <c r="EC16" s="5">
        <f>SUM(CY16:DH16)*Inicio!$W$11</f>
        <v>0</v>
      </c>
      <c r="ED16" s="5">
        <f>SUM(DI16:DR16)*Inicio!$W$12</f>
        <v>0</v>
      </c>
      <c r="EE16" s="5">
        <f t="shared" si="0"/>
        <v>0</v>
      </c>
      <c r="EF16" s="5">
        <f t="shared" si="2"/>
        <v>0</v>
      </c>
      <c r="EG16" s="5">
        <f t="shared" si="1"/>
        <v>0</v>
      </c>
      <c r="EH16" s="5">
        <f t="shared" si="2"/>
        <v>0</v>
      </c>
    </row>
    <row r="17" spans="2:138" ht="20.25" customHeight="1" x14ac:dyDescent="0.3">
      <c r="B17" s="23" t="s">
        <v>33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3">
        <f>SUM(C17:L17)*Inicio!$W$4</f>
        <v>0</v>
      </c>
      <c r="DT17" s="3">
        <f>SUM(M17:V17)*Inicio!$W$5</f>
        <v>0</v>
      </c>
      <c r="DU17" s="3">
        <f>SUM(W17:AF17)*Inicio!$W$6</f>
        <v>0</v>
      </c>
      <c r="DV17" s="3">
        <f>SUM(AG17:AP17)*Inicio!$W$7</f>
        <v>0</v>
      </c>
      <c r="DW17" s="3">
        <f>SUM(AQ17:AZ17)*Inicio!$W$8</f>
        <v>0</v>
      </c>
      <c r="DX17" s="3">
        <f>SUM(BA17:BJ17)*Inicio!$W$9</f>
        <v>0</v>
      </c>
      <c r="DY17" s="3">
        <f>SUM(BK17:BT17)*Inicio!$W$10</f>
        <v>0</v>
      </c>
      <c r="DZ17" s="3">
        <f>SUM(BU17:CD17)*Inicio!$W$11</f>
        <v>0</v>
      </c>
      <c r="EA17" s="3">
        <f>SUM(CE17:CN17)*Inicio!$W$12</f>
        <v>0</v>
      </c>
      <c r="EB17" s="3">
        <f>SUM(CO17:CX17)*Inicio!$W$13</f>
        <v>0</v>
      </c>
      <c r="EC17" s="3">
        <f>SUM(CY17:DH17)*Inicio!$W$11</f>
        <v>0</v>
      </c>
      <c r="ED17" s="3">
        <f>SUM(DI17:DR17)*Inicio!$W$12</f>
        <v>0</v>
      </c>
      <c r="EE17" s="3">
        <f t="shared" si="0"/>
        <v>0</v>
      </c>
      <c r="EF17" s="3">
        <f t="shared" si="2"/>
        <v>0</v>
      </c>
      <c r="EG17" s="3">
        <f t="shared" si="1"/>
        <v>0</v>
      </c>
      <c r="EH17" s="3">
        <f t="shared" si="2"/>
        <v>0</v>
      </c>
    </row>
    <row r="18" spans="2:138" ht="20.25" customHeight="1" x14ac:dyDescent="0.3">
      <c r="B18" s="24" t="s">
        <v>34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4">
        <f>SUM(C18:L18)*Inicio!$W$4</f>
        <v>0</v>
      </c>
      <c r="DT18" s="4">
        <f>SUM(M18:V18)*Inicio!$W$5</f>
        <v>0</v>
      </c>
      <c r="DU18" s="4">
        <f>SUM(W18:AF18)*Inicio!$W$6</f>
        <v>0</v>
      </c>
      <c r="DV18" s="4">
        <f>SUM(AG18:AP18)*Inicio!$W$7</f>
        <v>0</v>
      </c>
      <c r="DW18" s="4">
        <f>SUM(AQ18:AZ18)*Inicio!$W$8</f>
        <v>0</v>
      </c>
      <c r="DX18" s="4">
        <f>SUM(BA18:BJ18)*Inicio!$W$9</f>
        <v>0</v>
      </c>
      <c r="DY18" s="4">
        <f>SUM(BK18:BT18)*Inicio!$W$10</f>
        <v>0</v>
      </c>
      <c r="DZ18" s="4">
        <f>SUM(BU18:CD18)*Inicio!$W$11</f>
        <v>0</v>
      </c>
      <c r="EA18" s="4">
        <f>SUM(CE18:CN18)*Inicio!$W$12</f>
        <v>0</v>
      </c>
      <c r="EB18" s="4">
        <f>SUM(CO18:CX18)*Inicio!$W$13</f>
        <v>0</v>
      </c>
      <c r="EC18" s="4">
        <f>SUM(CY18:DH18)*Inicio!$W$11</f>
        <v>0</v>
      </c>
      <c r="ED18" s="4">
        <f>SUM(DI18:DR18)*Inicio!$W$12</f>
        <v>0</v>
      </c>
      <c r="EE18" s="4">
        <f t="shared" si="0"/>
        <v>0</v>
      </c>
      <c r="EF18" s="4">
        <f t="shared" si="2"/>
        <v>0</v>
      </c>
      <c r="EG18" s="4">
        <f t="shared" si="1"/>
        <v>0</v>
      </c>
      <c r="EH18" s="4">
        <f t="shared" si="2"/>
        <v>0</v>
      </c>
    </row>
    <row r="19" spans="2:138" ht="20.25" customHeight="1" x14ac:dyDescent="0.3">
      <c r="B19" s="24" t="s">
        <v>35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4">
        <f>SUM(C19:L19)*Inicio!$W$4</f>
        <v>0</v>
      </c>
      <c r="DT19" s="4">
        <f>SUM(M19:V19)*Inicio!$W$5</f>
        <v>0</v>
      </c>
      <c r="DU19" s="4">
        <f>SUM(W19:AF19)*Inicio!$W$6</f>
        <v>0</v>
      </c>
      <c r="DV19" s="4">
        <f>SUM(AG19:AP19)*Inicio!$W$7</f>
        <v>0</v>
      </c>
      <c r="DW19" s="4">
        <f>SUM(AQ19:AZ19)*Inicio!$W$8</f>
        <v>0</v>
      </c>
      <c r="DX19" s="4">
        <f>SUM(BA19:BJ19)*Inicio!$W$9</f>
        <v>0</v>
      </c>
      <c r="DY19" s="4">
        <f>SUM(BK19:BT19)*Inicio!$W$10</f>
        <v>0</v>
      </c>
      <c r="DZ19" s="4">
        <f>SUM(BU19:CD19)*Inicio!$W$11</f>
        <v>0</v>
      </c>
      <c r="EA19" s="4">
        <f>SUM(CE19:CN19)*Inicio!$W$12</f>
        <v>0</v>
      </c>
      <c r="EB19" s="4">
        <f>SUM(CO19:CX19)*Inicio!$W$13</f>
        <v>0</v>
      </c>
      <c r="EC19" s="4">
        <f>SUM(CY19:DH19)*Inicio!$W$11</f>
        <v>0</v>
      </c>
      <c r="ED19" s="4">
        <f>SUM(DI19:DR19)*Inicio!$W$12</f>
        <v>0</v>
      </c>
      <c r="EE19" s="4">
        <f t="shared" si="0"/>
        <v>0</v>
      </c>
      <c r="EF19" s="4">
        <f t="shared" si="2"/>
        <v>0</v>
      </c>
      <c r="EG19" s="4">
        <f t="shared" si="1"/>
        <v>0</v>
      </c>
      <c r="EH19" s="4">
        <f t="shared" si="2"/>
        <v>0</v>
      </c>
    </row>
    <row r="20" spans="2:138" ht="20.25" customHeight="1" x14ac:dyDescent="0.3">
      <c r="B20" s="25" t="s">
        <v>36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5">
        <f>SUM(C20:L20)*Inicio!$W$4</f>
        <v>0</v>
      </c>
      <c r="DT20" s="5">
        <f>SUM(M20:V20)*Inicio!$W$5</f>
        <v>0</v>
      </c>
      <c r="DU20" s="5">
        <f>SUM(W20:AF20)*Inicio!$W$6</f>
        <v>0</v>
      </c>
      <c r="DV20" s="5">
        <f>SUM(AG20:AP20)*Inicio!$W$7</f>
        <v>0</v>
      </c>
      <c r="DW20" s="5">
        <f>SUM(AQ20:AZ20)*Inicio!$W$8</f>
        <v>0</v>
      </c>
      <c r="DX20" s="5">
        <f>SUM(BA20:BJ20)*Inicio!$W$9</f>
        <v>0</v>
      </c>
      <c r="DY20" s="5">
        <f>SUM(BK20:BT20)*Inicio!$W$10</f>
        <v>0</v>
      </c>
      <c r="DZ20" s="5">
        <f>SUM(BU20:CD20)*Inicio!$W$11</f>
        <v>0</v>
      </c>
      <c r="EA20" s="5">
        <f>SUM(CE20:CN20)*Inicio!$W$12</f>
        <v>0</v>
      </c>
      <c r="EB20" s="5">
        <f>SUM(CO20:CX20)*Inicio!$W$13</f>
        <v>0</v>
      </c>
      <c r="EC20" s="5">
        <f>SUM(CY20:DH20)*Inicio!$W$11</f>
        <v>0</v>
      </c>
      <c r="ED20" s="5">
        <f>SUM(DI20:DR20)*Inicio!$W$12</f>
        <v>0</v>
      </c>
      <c r="EE20" s="5">
        <f t="shared" si="0"/>
        <v>0</v>
      </c>
      <c r="EF20" s="5">
        <f t="shared" si="2"/>
        <v>0</v>
      </c>
      <c r="EG20" s="5">
        <f t="shared" si="1"/>
        <v>0</v>
      </c>
      <c r="EH20" s="5">
        <f t="shared" si="2"/>
        <v>0</v>
      </c>
    </row>
    <row r="21" spans="2:138" ht="20.25" customHeight="1" x14ac:dyDescent="0.3">
      <c r="B21" s="23" t="s">
        <v>37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3">
        <f>SUM(C21:L21)*Inicio!$W$4</f>
        <v>0</v>
      </c>
      <c r="DT21" s="3">
        <f>SUM(M21:V21)*Inicio!$W$5</f>
        <v>0</v>
      </c>
      <c r="DU21" s="3">
        <f>SUM(W21:AF21)*Inicio!$W$6</f>
        <v>0</v>
      </c>
      <c r="DV21" s="3">
        <f>SUM(AG21:AP21)*Inicio!$W$7</f>
        <v>0</v>
      </c>
      <c r="DW21" s="3">
        <f>SUM(AQ21:AZ21)*Inicio!$W$8</f>
        <v>0</v>
      </c>
      <c r="DX21" s="3">
        <f>SUM(BA21:BJ21)*Inicio!$W$9</f>
        <v>0</v>
      </c>
      <c r="DY21" s="3">
        <f>SUM(BK21:BT21)*Inicio!$W$10</f>
        <v>0</v>
      </c>
      <c r="DZ21" s="3">
        <f>SUM(BU21:CD21)*Inicio!$W$11</f>
        <v>0</v>
      </c>
      <c r="EA21" s="3">
        <f>SUM(CE21:CN21)*Inicio!$W$12</f>
        <v>0</v>
      </c>
      <c r="EB21" s="3">
        <f>SUM(CO21:CX21)*Inicio!$W$13</f>
        <v>0</v>
      </c>
      <c r="EC21" s="3">
        <f>SUM(CY21:DH21)*Inicio!$W$11</f>
        <v>0</v>
      </c>
      <c r="ED21" s="3">
        <f>SUM(DI21:DR21)*Inicio!$W$12</f>
        <v>0</v>
      </c>
      <c r="EE21" s="3">
        <f t="shared" si="0"/>
        <v>0</v>
      </c>
      <c r="EF21" s="3">
        <f t="shared" si="2"/>
        <v>0</v>
      </c>
      <c r="EG21" s="3">
        <f t="shared" si="1"/>
        <v>0</v>
      </c>
      <c r="EH21" s="3">
        <f t="shared" si="2"/>
        <v>0</v>
      </c>
    </row>
    <row r="22" spans="2:138" ht="20.25" customHeight="1" x14ac:dyDescent="0.3">
      <c r="B22" s="24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4">
        <f>SUM(C22:L22)*Inicio!$W$4</f>
        <v>0</v>
      </c>
      <c r="DT22" s="4">
        <f>SUM(M22:V22)*Inicio!$W$5</f>
        <v>0</v>
      </c>
      <c r="DU22" s="4">
        <f>SUM(W22:AF22)*Inicio!$W$6</f>
        <v>0</v>
      </c>
      <c r="DV22" s="4">
        <f>SUM(AG22:AP22)*Inicio!$W$7</f>
        <v>0</v>
      </c>
      <c r="DW22" s="4">
        <f>SUM(AQ22:AZ22)*Inicio!$W$8</f>
        <v>0</v>
      </c>
      <c r="DX22" s="4">
        <f>SUM(BA22:BJ22)*Inicio!$W$9</f>
        <v>0</v>
      </c>
      <c r="DY22" s="4">
        <f>SUM(BK22:BT22)*Inicio!$W$10</f>
        <v>0</v>
      </c>
      <c r="DZ22" s="4">
        <f>SUM(BU22:CD22)*Inicio!$W$11</f>
        <v>0</v>
      </c>
      <c r="EA22" s="4">
        <f>SUM(CE22:CN22)*Inicio!$W$12</f>
        <v>0</v>
      </c>
      <c r="EB22" s="4">
        <f>SUM(CO22:CX22)*Inicio!$W$13</f>
        <v>0</v>
      </c>
      <c r="EC22" s="4">
        <f>SUM(CY22:DH22)*Inicio!$W$11</f>
        <v>0</v>
      </c>
      <c r="ED22" s="4">
        <f>SUM(DI22:DR22)*Inicio!$W$12</f>
        <v>0</v>
      </c>
      <c r="EE22" s="4">
        <f t="shared" si="0"/>
        <v>0</v>
      </c>
      <c r="EF22" s="4">
        <f t="shared" si="2"/>
        <v>0</v>
      </c>
      <c r="EG22" s="4">
        <f t="shared" si="1"/>
        <v>0</v>
      </c>
      <c r="EH22" s="4">
        <f t="shared" si="2"/>
        <v>0</v>
      </c>
    </row>
    <row r="23" spans="2:138" ht="20.25" customHeight="1" x14ac:dyDescent="0.3">
      <c r="B23" s="24" t="s">
        <v>39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4">
        <f>SUM(C23:L23)*Inicio!$W$4</f>
        <v>0</v>
      </c>
      <c r="DT23" s="4">
        <f>SUM(M23:V23)*Inicio!$W$5</f>
        <v>0</v>
      </c>
      <c r="DU23" s="4">
        <f>SUM(W23:AF23)*Inicio!$W$6</f>
        <v>0</v>
      </c>
      <c r="DV23" s="4">
        <f>SUM(AG23:AP23)*Inicio!$W$7</f>
        <v>0</v>
      </c>
      <c r="DW23" s="4">
        <f>SUM(AQ23:AZ23)*Inicio!$W$8</f>
        <v>0</v>
      </c>
      <c r="DX23" s="4">
        <f>SUM(BA23:BJ23)*Inicio!$W$9</f>
        <v>0</v>
      </c>
      <c r="DY23" s="4">
        <f>SUM(BK23:BT23)*Inicio!$W$10</f>
        <v>0</v>
      </c>
      <c r="DZ23" s="4">
        <f>SUM(BU23:CD23)*Inicio!$W$11</f>
        <v>0</v>
      </c>
      <c r="EA23" s="4">
        <f>SUM(CE23:CN23)*Inicio!$W$12</f>
        <v>0</v>
      </c>
      <c r="EB23" s="4">
        <f>SUM(CO23:CX23)*Inicio!$W$13</f>
        <v>0</v>
      </c>
      <c r="EC23" s="4">
        <f>SUM(CY23:DH23)*Inicio!$W$11</f>
        <v>0</v>
      </c>
      <c r="ED23" s="4">
        <f>SUM(DI23:DR23)*Inicio!$W$12</f>
        <v>0</v>
      </c>
      <c r="EE23" s="4">
        <f t="shared" si="0"/>
        <v>0</v>
      </c>
      <c r="EF23" s="4">
        <f t="shared" si="2"/>
        <v>0</v>
      </c>
      <c r="EG23" s="4">
        <f t="shared" si="1"/>
        <v>0</v>
      </c>
      <c r="EH23" s="4">
        <f t="shared" si="2"/>
        <v>0</v>
      </c>
    </row>
    <row r="24" spans="2:138" ht="20.25" customHeight="1" x14ac:dyDescent="0.3">
      <c r="B24" s="25" t="s">
        <v>40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5">
        <f>SUM(C24:L24)*Inicio!$W$4</f>
        <v>0</v>
      </c>
      <c r="DT24" s="5">
        <f>SUM(M24:V24)*Inicio!$W$5</f>
        <v>0</v>
      </c>
      <c r="DU24" s="5">
        <f>SUM(W24:AF24)*Inicio!$W$6</f>
        <v>0</v>
      </c>
      <c r="DV24" s="5">
        <f>SUM(AG24:AP24)*Inicio!$W$7</f>
        <v>0</v>
      </c>
      <c r="DW24" s="5">
        <f>SUM(AQ24:AZ24)*Inicio!$W$8</f>
        <v>0</v>
      </c>
      <c r="DX24" s="5">
        <f>SUM(BA24:BJ24)*Inicio!$W$9</f>
        <v>0</v>
      </c>
      <c r="DY24" s="5">
        <f>SUM(BK24:BT24)*Inicio!$W$10</f>
        <v>0</v>
      </c>
      <c r="DZ24" s="5">
        <f>SUM(BU24:CD24)*Inicio!$W$11</f>
        <v>0</v>
      </c>
      <c r="EA24" s="5">
        <f>SUM(CE24:CN24)*Inicio!$W$12</f>
        <v>0</v>
      </c>
      <c r="EB24" s="5">
        <f>SUM(CO24:CX24)*Inicio!$W$13</f>
        <v>0</v>
      </c>
      <c r="EC24" s="5">
        <f>SUM(CY24:DH24)*Inicio!$W$11</f>
        <v>0</v>
      </c>
      <c r="ED24" s="5">
        <f>SUM(DI24:DR24)*Inicio!$W$12</f>
        <v>0</v>
      </c>
      <c r="EE24" s="5">
        <f t="shared" si="0"/>
        <v>0</v>
      </c>
      <c r="EF24" s="5">
        <f t="shared" si="2"/>
        <v>0</v>
      </c>
      <c r="EG24" s="5">
        <f t="shared" si="1"/>
        <v>0</v>
      </c>
      <c r="EH24" s="5">
        <f t="shared" si="2"/>
        <v>0</v>
      </c>
    </row>
    <row r="25" spans="2:138" ht="20.25" customHeight="1" x14ac:dyDescent="0.3">
      <c r="B25" s="23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3">
        <f>SUM(C25:L25)*Inicio!$W$4</f>
        <v>0</v>
      </c>
      <c r="DT25" s="3">
        <f>SUM(M25:V25)*Inicio!$W$5</f>
        <v>0</v>
      </c>
      <c r="DU25" s="3">
        <f>SUM(W25:AF25)*Inicio!$W$6</f>
        <v>0</v>
      </c>
      <c r="DV25" s="3">
        <f>SUM(AG25:AP25)*Inicio!$W$7</f>
        <v>0</v>
      </c>
      <c r="DW25" s="3">
        <f>SUM(AQ25:AZ25)*Inicio!$W$8</f>
        <v>0</v>
      </c>
      <c r="DX25" s="3">
        <f>SUM(BA25:BJ25)*Inicio!$W$9</f>
        <v>0</v>
      </c>
      <c r="DY25" s="3">
        <f>SUM(BK25:BT25)*Inicio!$W$10</f>
        <v>0</v>
      </c>
      <c r="DZ25" s="3">
        <f>SUM(BU25:CD25)*Inicio!$W$11</f>
        <v>0</v>
      </c>
      <c r="EA25" s="3">
        <f>SUM(CE25:CN25)*Inicio!$W$12</f>
        <v>0</v>
      </c>
      <c r="EB25" s="3">
        <f>SUM(CO25:CX25)*Inicio!$W$13</f>
        <v>0</v>
      </c>
      <c r="EC25" s="3">
        <f>SUM(CY25:DH25)*Inicio!$W$11</f>
        <v>0</v>
      </c>
      <c r="ED25" s="3">
        <f>SUM(DI25:DR25)*Inicio!$W$12</f>
        <v>0</v>
      </c>
      <c r="EE25" s="3">
        <f t="shared" si="0"/>
        <v>0</v>
      </c>
      <c r="EF25" s="3">
        <f t="shared" si="2"/>
        <v>0</v>
      </c>
      <c r="EG25" s="3">
        <f t="shared" si="1"/>
        <v>0</v>
      </c>
      <c r="EH25" s="3">
        <f t="shared" si="2"/>
        <v>0</v>
      </c>
    </row>
    <row r="26" spans="2:138" ht="20.25" customHeight="1" x14ac:dyDescent="0.3">
      <c r="B26" s="24" t="s">
        <v>42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4">
        <f>SUM(C26:L26)*Inicio!$W$4</f>
        <v>0</v>
      </c>
      <c r="DT26" s="4">
        <f>SUM(M26:V26)*Inicio!$W$5</f>
        <v>0</v>
      </c>
      <c r="DU26" s="4">
        <f>SUM(W26:AF26)*Inicio!$W$6</f>
        <v>0</v>
      </c>
      <c r="DV26" s="4">
        <f>SUM(AG26:AP26)*Inicio!$W$7</f>
        <v>0</v>
      </c>
      <c r="DW26" s="4">
        <f>SUM(AQ26:AZ26)*Inicio!$W$8</f>
        <v>0</v>
      </c>
      <c r="DX26" s="4">
        <f>SUM(BA26:BJ26)*Inicio!$W$9</f>
        <v>0</v>
      </c>
      <c r="DY26" s="4">
        <f>SUM(BK26:BT26)*Inicio!$W$10</f>
        <v>0</v>
      </c>
      <c r="DZ26" s="4">
        <f>SUM(BU26:CD26)*Inicio!$W$11</f>
        <v>0</v>
      </c>
      <c r="EA26" s="4">
        <f>SUM(CE26:CN26)*Inicio!$W$12</f>
        <v>0</v>
      </c>
      <c r="EB26" s="4">
        <f>SUM(CO26:CX26)*Inicio!$W$13</f>
        <v>0</v>
      </c>
      <c r="EC26" s="4">
        <f>SUM(CY26:DH26)*Inicio!$W$11</f>
        <v>0</v>
      </c>
      <c r="ED26" s="4">
        <f>SUM(DI26:DR26)*Inicio!$W$12</f>
        <v>0</v>
      </c>
      <c r="EE26" s="4">
        <f t="shared" si="0"/>
        <v>0</v>
      </c>
      <c r="EF26" s="4">
        <f t="shared" si="2"/>
        <v>0</v>
      </c>
      <c r="EG26" s="4">
        <f t="shared" si="1"/>
        <v>0</v>
      </c>
      <c r="EH26" s="4">
        <f t="shared" si="2"/>
        <v>0</v>
      </c>
    </row>
    <row r="27" spans="2:138" ht="20.25" customHeight="1" x14ac:dyDescent="0.3">
      <c r="B27" s="24" t="s">
        <v>43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4">
        <f>SUM(C27:L27)*Inicio!$W$4</f>
        <v>0</v>
      </c>
      <c r="DT27" s="4">
        <f>SUM(M27:V27)*Inicio!$W$5</f>
        <v>0</v>
      </c>
      <c r="DU27" s="4">
        <f>SUM(W27:AF27)*Inicio!$W$6</f>
        <v>0</v>
      </c>
      <c r="DV27" s="4">
        <f>SUM(AG27:AP27)*Inicio!$W$7</f>
        <v>0</v>
      </c>
      <c r="DW27" s="4">
        <f>SUM(AQ27:AZ27)*Inicio!$W$8</f>
        <v>0</v>
      </c>
      <c r="DX27" s="4">
        <f>SUM(BA27:BJ27)*Inicio!$W$9</f>
        <v>0</v>
      </c>
      <c r="DY27" s="4">
        <f>SUM(BK27:BT27)*Inicio!$W$10</f>
        <v>0</v>
      </c>
      <c r="DZ27" s="4">
        <f>SUM(BU27:CD27)*Inicio!$W$11</f>
        <v>0</v>
      </c>
      <c r="EA27" s="4">
        <f>SUM(CE27:CN27)*Inicio!$W$12</f>
        <v>0</v>
      </c>
      <c r="EB27" s="4">
        <f>SUM(CO27:CX27)*Inicio!$W$13</f>
        <v>0</v>
      </c>
      <c r="EC27" s="4">
        <f>SUM(CY27:DH27)*Inicio!$W$11</f>
        <v>0</v>
      </c>
      <c r="ED27" s="4">
        <f>SUM(DI27:DR27)*Inicio!$W$12</f>
        <v>0</v>
      </c>
      <c r="EE27" s="4">
        <f t="shared" si="0"/>
        <v>0</v>
      </c>
      <c r="EF27" s="4">
        <f t="shared" si="2"/>
        <v>0</v>
      </c>
      <c r="EG27" s="4">
        <f t="shared" si="1"/>
        <v>0</v>
      </c>
      <c r="EH27" s="4">
        <f t="shared" si="2"/>
        <v>0</v>
      </c>
    </row>
    <row r="28" spans="2:138" ht="20.25" customHeight="1" x14ac:dyDescent="0.3">
      <c r="B28" s="25" t="s">
        <v>44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5">
        <f>SUM(C28:L28)*Inicio!$W$4</f>
        <v>0</v>
      </c>
      <c r="DT28" s="5">
        <f>SUM(M28:V28)*Inicio!$W$5</f>
        <v>0</v>
      </c>
      <c r="DU28" s="5">
        <f>SUM(W28:AF28)*Inicio!$W$6</f>
        <v>0</v>
      </c>
      <c r="DV28" s="5">
        <f>SUM(AG28:AP28)*Inicio!$W$7</f>
        <v>0</v>
      </c>
      <c r="DW28" s="5">
        <f>SUM(AQ28:AZ28)*Inicio!$W$8</f>
        <v>0</v>
      </c>
      <c r="DX28" s="5">
        <f>SUM(BA28:BJ28)*Inicio!$W$9</f>
        <v>0</v>
      </c>
      <c r="DY28" s="5">
        <f>SUM(BK28:BT28)*Inicio!$W$10</f>
        <v>0</v>
      </c>
      <c r="DZ28" s="5">
        <f>SUM(BU28:CD28)*Inicio!$W$11</f>
        <v>0</v>
      </c>
      <c r="EA28" s="5">
        <f>SUM(CE28:CN28)*Inicio!$W$12</f>
        <v>0</v>
      </c>
      <c r="EB28" s="5">
        <f>SUM(CO28:CX28)*Inicio!$W$13</f>
        <v>0</v>
      </c>
      <c r="EC28" s="5">
        <f>SUM(CY28:DH28)*Inicio!$W$11</f>
        <v>0</v>
      </c>
      <c r="ED28" s="5">
        <f>SUM(DI28:DR28)*Inicio!$W$12</f>
        <v>0</v>
      </c>
      <c r="EE28" s="5">
        <f t="shared" si="0"/>
        <v>0</v>
      </c>
      <c r="EF28" s="5">
        <f t="shared" si="2"/>
        <v>0</v>
      </c>
      <c r="EG28" s="5">
        <f t="shared" si="1"/>
        <v>0</v>
      </c>
      <c r="EH28" s="5">
        <f t="shared" si="2"/>
        <v>0</v>
      </c>
    </row>
    <row r="29" spans="2:138" ht="20.25" customHeight="1" x14ac:dyDescent="0.3">
      <c r="B29" s="23" t="s">
        <v>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3">
        <f>SUM(C29:L29)*Inicio!$W$4</f>
        <v>0</v>
      </c>
      <c r="DT29" s="3">
        <f>SUM(M29:V29)*Inicio!$W$5</f>
        <v>0</v>
      </c>
      <c r="DU29" s="3">
        <f>SUM(W29:AF29)*Inicio!$W$6</f>
        <v>0</v>
      </c>
      <c r="DV29" s="3">
        <f>SUM(AG29:AP29)*Inicio!$W$7</f>
        <v>0</v>
      </c>
      <c r="DW29" s="3">
        <f>SUM(AQ29:AZ29)*Inicio!$W$8</f>
        <v>0</v>
      </c>
      <c r="DX29" s="3">
        <f>SUM(BA29:BJ29)*Inicio!$W$9</f>
        <v>0</v>
      </c>
      <c r="DY29" s="3">
        <f>SUM(BK29:BT29)*Inicio!$W$10</f>
        <v>0</v>
      </c>
      <c r="DZ29" s="3">
        <f>SUM(BU29:CD29)*Inicio!$W$11</f>
        <v>0</v>
      </c>
      <c r="EA29" s="3">
        <f>SUM(CE29:CN29)*Inicio!$W$12</f>
        <v>0</v>
      </c>
      <c r="EB29" s="3">
        <f>SUM(CO29:CX29)*Inicio!$W$13</f>
        <v>0</v>
      </c>
      <c r="EC29" s="3">
        <f>SUM(CY29:DH29)*Inicio!$W$11</f>
        <v>0</v>
      </c>
      <c r="ED29" s="3">
        <f>SUM(DI29:DR29)*Inicio!$W$12</f>
        <v>0</v>
      </c>
      <c r="EE29" s="3">
        <f t="shared" si="0"/>
        <v>0</v>
      </c>
      <c r="EF29" s="3">
        <f t="shared" si="2"/>
        <v>0</v>
      </c>
      <c r="EG29" s="3">
        <f t="shared" si="1"/>
        <v>0</v>
      </c>
      <c r="EH29" s="3">
        <f t="shared" si="2"/>
        <v>0</v>
      </c>
    </row>
    <row r="30" spans="2:138" ht="20.25" customHeight="1" x14ac:dyDescent="0.3">
      <c r="B30" s="24" t="s">
        <v>46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4">
        <f>SUM(C30:L30)*Inicio!$W$4</f>
        <v>0</v>
      </c>
      <c r="DT30" s="4">
        <f>SUM(M30:V30)*Inicio!$W$5</f>
        <v>0</v>
      </c>
      <c r="DU30" s="4">
        <f>SUM(W30:AF30)*Inicio!$W$6</f>
        <v>0</v>
      </c>
      <c r="DV30" s="4">
        <f>SUM(AG30:AP30)*Inicio!$W$7</f>
        <v>0</v>
      </c>
      <c r="DW30" s="4">
        <f>SUM(AQ30:AZ30)*Inicio!$W$8</f>
        <v>0</v>
      </c>
      <c r="DX30" s="4">
        <f>SUM(BA30:BJ30)*Inicio!$W$9</f>
        <v>0</v>
      </c>
      <c r="DY30" s="4">
        <f>SUM(BK30:BT30)*Inicio!$W$10</f>
        <v>0</v>
      </c>
      <c r="DZ30" s="4">
        <f>SUM(BU30:CD30)*Inicio!$W$11</f>
        <v>0</v>
      </c>
      <c r="EA30" s="4">
        <f>SUM(CE30:CN30)*Inicio!$W$12</f>
        <v>0</v>
      </c>
      <c r="EB30" s="4">
        <f>SUM(CO30:CX30)*Inicio!$W$13</f>
        <v>0</v>
      </c>
      <c r="EC30" s="4">
        <f>SUM(CY30:DH30)*Inicio!$W$11</f>
        <v>0</v>
      </c>
      <c r="ED30" s="4">
        <f>SUM(DI30:DR30)*Inicio!$W$12</f>
        <v>0</v>
      </c>
      <c r="EE30" s="4">
        <f t="shared" si="0"/>
        <v>0</v>
      </c>
      <c r="EF30" s="4">
        <f t="shared" ref="EF30:EH45" si="3">SUM(EE27:EE30)</f>
        <v>0</v>
      </c>
      <c r="EG30" s="4">
        <f t="shared" si="1"/>
        <v>0</v>
      </c>
      <c r="EH30" s="4">
        <f t="shared" si="3"/>
        <v>0</v>
      </c>
    </row>
    <row r="31" spans="2:138" ht="20.25" customHeight="1" x14ac:dyDescent="0.3">
      <c r="B31" s="24" t="s">
        <v>47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4">
        <f>SUM(C31:L31)*Inicio!$W$4</f>
        <v>0</v>
      </c>
      <c r="DT31" s="4">
        <f>SUM(M31:V31)*Inicio!$W$5</f>
        <v>0</v>
      </c>
      <c r="DU31" s="4">
        <f>SUM(W31:AF31)*Inicio!$W$6</f>
        <v>0</v>
      </c>
      <c r="DV31" s="4">
        <f>SUM(AG31:AP31)*Inicio!$W$7</f>
        <v>0</v>
      </c>
      <c r="DW31" s="4">
        <f>SUM(AQ31:AZ31)*Inicio!$W$8</f>
        <v>0</v>
      </c>
      <c r="DX31" s="4">
        <f>SUM(BA31:BJ31)*Inicio!$W$9</f>
        <v>0</v>
      </c>
      <c r="DY31" s="4">
        <f>SUM(BK31:BT31)*Inicio!$W$10</f>
        <v>0</v>
      </c>
      <c r="DZ31" s="4">
        <f>SUM(BU31:CD31)*Inicio!$W$11</f>
        <v>0</v>
      </c>
      <c r="EA31" s="4">
        <f>SUM(CE31:CN31)*Inicio!$W$12</f>
        <v>0</v>
      </c>
      <c r="EB31" s="4">
        <f>SUM(CO31:CX31)*Inicio!$W$13</f>
        <v>0</v>
      </c>
      <c r="EC31" s="4">
        <f>SUM(CY31:DH31)*Inicio!$W$11</f>
        <v>0</v>
      </c>
      <c r="ED31" s="4">
        <f>SUM(DI31:DR31)*Inicio!$W$12</f>
        <v>0</v>
      </c>
      <c r="EE31" s="4">
        <f t="shared" si="0"/>
        <v>0</v>
      </c>
      <c r="EF31" s="4">
        <f t="shared" si="3"/>
        <v>0</v>
      </c>
      <c r="EG31" s="4">
        <f t="shared" si="1"/>
        <v>0</v>
      </c>
      <c r="EH31" s="4">
        <f t="shared" si="3"/>
        <v>0</v>
      </c>
    </row>
    <row r="32" spans="2:138" ht="20.25" customHeight="1" x14ac:dyDescent="0.3">
      <c r="B32" s="25" t="s">
        <v>48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5">
        <f>SUM(C32:L32)*Inicio!$W$4</f>
        <v>0</v>
      </c>
      <c r="DT32" s="5">
        <f>SUM(M32:V32)*Inicio!$W$5</f>
        <v>0</v>
      </c>
      <c r="DU32" s="5">
        <f>SUM(W32:AF32)*Inicio!$W$6</f>
        <v>0</v>
      </c>
      <c r="DV32" s="5">
        <f>SUM(AG32:AP32)*Inicio!$W$7</f>
        <v>0</v>
      </c>
      <c r="DW32" s="5">
        <f>SUM(AQ32:AZ32)*Inicio!$W$8</f>
        <v>0</v>
      </c>
      <c r="DX32" s="5">
        <f>SUM(BA32:BJ32)*Inicio!$W$9</f>
        <v>0</v>
      </c>
      <c r="DY32" s="5">
        <f>SUM(BK32:BT32)*Inicio!$W$10</f>
        <v>0</v>
      </c>
      <c r="DZ32" s="5">
        <f>SUM(BU32:CD32)*Inicio!$W$11</f>
        <v>0</v>
      </c>
      <c r="EA32" s="5">
        <f>SUM(CE32:CN32)*Inicio!$W$12</f>
        <v>0</v>
      </c>
      <c r="EB32" s="5">
        <f>SUM(CO32:CX32)*Inicio!$W$13</f>
        <v>0</v>
      </c>
      <c r="EC32" s="5">
        <f>SUM(CY32:DH32)*Inicio!$W$11</f>
        <v>0</v>
      </c>
      <c r="ED32" s="5">
        <f>SUM(DI32:DR32)*Inicio!$W$12</f>
        <v>0</v>
      </c>
      <c r="EE32" s="5">
        <f t="shared" si="0"/>
        <v>0</v>
      </c>
      <c r="EF32" s="5">
        <f t="shared" si="3"/>
        <v>0</v>
      </c>
      <c r="EG32" s="5">
        <f t="shared" si="1"/>
        <v>0</v>
      </c>
      <c r="EH32" s="5">
        <f t="shared" si="3"/>
        <v>0</v>
      </c>
    </row>
    <row r="33" spans="2:138" ht="20.25" customHeight="1" x14ac:dyDescent="0.3">
      <c r="B33" s="23" t="s">
        <v>49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3">
        <f>SUM(C33:L33)*Inicio!$W$4</f>
        <v>0</v>
      </c>
      <c r="DT33" s="3">
        <f>SUM(M33:V33)*Inicio!$W$5</f>
        <v>0</v>
      </c>
      <c r="DU33" s="3">
        <f>SUM(W33:AF33)*Inicio!$W$6</f>
        <v>0</v>
      </c>
      <c r="DV33" s="3">
        <f>SUM(AG33:AP33)*Inicio!$W$7</f>
        <v>0</v>
      </c>
      <c r="DW33" s="3">
        <f>SUM(AQ33:AZ33)*Inicio!$W$8</f>
        <v>0</v>
      </c>
      <c r="DX33" s="3">
        <f>SUM(BA33:BJ33)*Inicio!$W$9</f>
        <v>0</v>
      </c>
      <c r="DY33" s="3">
        <f>SUM(BK33:BT33)*Inicio!$W$10</f>
        <v>0</v>
      </c>
      <c r="DZ33" s="3">
        <f>SUM(BU33:CD33)*Inicio!$W$11</f>
        <v>0</v>
      </c>
      <c r="EA33" s="3">
        <f>SUM(CE33:CN33)*Inicio!$W$12</f>
        <v>0</v>
      </c>
      <c r="EB33" s="3">
        <f>SUM(CO33:CX33)*Inicio!$W$13</f>
        <v>0</v>
      </c>
      <c r="EC33" s="3">
        <f>SUM(CY33:DH33)*Inicio!$W$11</f>
        <v>0</v>
      </c>
      <c r="ED33" s="3">
        <f>SUM(DI33:DR33)*Inicio!$W$12</f>
        <v>0</v>
      </c>
      <c r="EE33" s="3">
        <f t="shared" si="0"/>
        <v>0</v>
      </c>
      <c r="EF33" s="3">
        <f t="shared" si="3"/>
        <v>0</v>
      </c>
      <c r="EG33" s="3">
        <f t="shared" si="1"/>
        <v>0</v>
      </c>
      <c r="EH33" s="3">
        <f t="shared" si="3"/>
        <v>0</v>
      </c>
    </row>
    <row r="34" spans="2:138" ht="20.25" customHeight="1" x14ac:dyDescent="0.3">
      <c r="B34" s="24" t="s">
        <v>50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4">
        <f>SUM(C34:L34)*Inicio!$W$4</f>
        <v>0</v>
      </c>
      <c r="DT34" s="4">
        <f>SUM(M34:V34)*Inicio!$W$5</f>
        <v>0</v>
      </c>
      <c r="DU34" s="4">
        <f>SUM(W34:AF34)*Inicio!$W$6</f>
        <v>0</v>
      </c>
      <c r="DV34" s="4">
        <f>SUM(AG34:AP34)*Inicio!$W$7</f>
        <v>0</v>
      </c>
      <c r="DW34" s="4">
        <f>SUM(AQ34:AZ34)*Inicio!$W$8</f>
        <v>0</v>
      </c>
      <c r="DX34" s="4">
        <f>SUM(BA34:BJ34)*Inicio!$W$9</f>
        <v>0</v>
      </c>
      <c r="DY34" s="4">
        <f>SUM(BK34:BT34)*Inicio!$W$10</f>
        <v>0</v>
      </c>
      <c r="DZ34" s="4">
        <f>SUM(BU34:CD34)*Inicio!$W$11</f>
        <v>0</v>
      </c>
      <c r="EA34" s="4">
        <f>SUM(CE34:CN34)*Inicio!$W$12</f>
        <v>0</v>
      </c>
      <c r="EB34" s="4">
        <f>SUM(CO34:CX34)*Inicio!$W$13</f>
        <v>0</v>
      </c>
      <c r="EC34" s="4">
        <f>SUM(CY34:DH34)*Inicio!$W$11</f>
        <v>0</v>
      </c>
      <c r="ED34" s="4">
        <f>SUM(DI34:DR34)*Inicio!$W$12</f>
        <v>0</v>
      </c>
      <c r="EE34" s="4">
        <f t="shared" si="0"/>
        <v>0</v>
      </c>
      <c r="EF34" s="4">
        <f t="shared" si="3"/>
        <v>0</v>
      </c>
      <c r="EG34" s="4">
        <f t="shared" si="1"/>
        <v>0</v>
      </c>
      <c r="EH34" s="4">
        <f t="shared" si="3"/>
        <v>0</v>
      </c>
    </row>
    <row r="35" spans="2:138" ht="20.25" customHeight="1" x14ac:dyDescent="0.3">
      <c r="B35" s="24" t="s">
        <v>51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4">
        <f>SUM(C35:L35)*Inicio!$W$4</f>
        <v>0</v>
      </c>
      <c r="DT35" s="4">
        <f>SUM(M35:V35)*Inicio!$W$5</f>
        <v>0</v>
      </c>
      <c r="DU35" s="4">
        <f>SUM(W35:AF35)*Inicio!$W$6</f>
        <v>0</v>
      </c>
      <c r="DV35" s="4">
        <f>SUM(AG35:AP35)*Inicio!$W$7</f>
        <v>0</v>
      </c>
      <c r="DW35" s="4">
        <f>SUM(AQ35:AZ35)*Inicio!$W$8</f>
        <v>0</v>
      </c>
      <c r="DX35" s="4">
        <f>SUM(BA35:BJ35)*Inicio!$W$9</f>
        <v>0</v>
      </c>
      <c r="DY35" s="4">
        <f>SUM(BK35:BT35)*Inicio!$W$10</f>
        <v>0</v>
      </c>
      <c r="DZ35" s="4">
        <f>SUM(BU35:CD35)*Inicio!$W$11</f>
        <v>0</v>
      </c>
      <c r="EA35" s="4">
        <f>SUM(CE35:CN35)*Inicio!$W$12</f>
        <v>0</v>
      </c>
      <c r="EB35" s="4">
        <f>SUM(CO35:CX35)*Inicio!$W$13</f>
        <v>0</v>
      </c>
      <c r="EC35" s="4">
        <f>SUM(CY35:DH35)*Inicio!$W$11</f>
        <v>0</v>
      </c>
      <c r="ED35" s="4">
        <f>SUM(DI35:DR35)*Inicio!$W$12</f>
        <v>0</v>
      </c>
      <c r="EE35" s="4">
        <f t="shared" si="0"/>
        <v>0</v>
      </c>
      <c r="EF35" s="4">
        <f t="shared" si="3"/>
        <v>0</v>
      </c>
      <c r="EG35" s="4">
        <f t="shared" si="1"/>
        <v>0</v>
      </c>
      <c r="EH35" s="4">
        <f t="shared" si="3"/>
        <v>0</v>
      </c>
    </row>
    <row r="36" spans="2:138" ht="20.25" customHeight="1" x14ac:dyDescent="0.3">
      <c r="B36" s="26" t="s">
        <v>52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5">
        <f>SUM(C36:L36)*Inicio!$W$4</f>
        <v>0</v>
      </c>
      <c r="DT36" s="5">
        <f>SUM(M36:V36)*Inicio!$W$5</f>
        <v>0</v>
      </c>
      <c r="DU36" s="5">
        <f>SUM(W36:AF36)*Inicio!$W$6</f>
        <v>0</v>
      </c>
      <c r="DV36" s="5">
        <f>SUM(AG36:AP36)*Inicio!$W$7</f>
        <v>0</v>
      </c>
      <c r="DW36" s="5">
        <f>SUM(AQ36:AZ36)*Inicio!$W$8</f>
        <v>0</v>
      </c>
      <c r="DX36" s="5">
        <f>SUM(BA36:BJ36)*Inicio!$W$9</f>
        <v>0</v>
      </c>
      <c r="DY36" s="5">
        <f>SUM(BK36:BT36)*Inicio!$W$10</f>
        <v>0</v>
      </c>
      <c r="DZ36" s="5">
        <f>SUM(BU36:CD36)*Inicio!$W$11</f>
        <v>0</v>
      </c>
      <c r="EA36" s="5">
        <f>SUM(CE36:CN36)*Inicio!$W$12</f>
        <v>0</v>
      </c>
      <c r="EB36" s="5">
        <f>SUM(CO36:CX36)*Inicio!$W$13</f>
        <v>0</v>
      </c>
      <c r="EC36" s="5">
        <f>SUM(CY36:DH36)*Inicio!$W$11</f>
        <v>0</v>
      </c>
      <c r="ED36" s="5">
        <f>SUM(DI36:DR36)*Inicio!$W$12</f>
        <v>0</v>
      </c>
      <c r="EE36" s="5">
        <f t="shared" si="0"/>
        <v>0</v>
      </c>
      <c r="EF36" s="5">
        <f t="shared" si="3"/>
        <v>0</v>
      </c>
      <c r="EG36" s="5">
        <f t="shared" si="1"/>
        <v>0</v>
      </c>
      <c r="EH36" s="5">
        <f t="shared" si="3"/>
        <v>0</v>
      </c>
    </row>
    <row r="37" spans="2:138" ht="20.25" customHeight="1" x14ac:dyDescent="0.3">
      <c r="B37" s="27" t="s">
        <v>53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3">
        <f>SUM(C37:L37)*Inicio!$W$4</f>
        <v>0</v>
      </c>
      <c r="DT37" s="3">
        <f>SUM(M37:V37)*Inicio!$W$5</f>
        <v>0</v>
      </c>
      <c r="DU37" s="3">
        <f>SUM(W37:AF37)*Inicio!$W$6</f>
        <v>0</v>
      </c>
      <c r="DV37" s="3">
        <f>SUM(AG37:AP37)*Inicio!$W$7</f>
        <v>0</v>
      </c>
      <c r="DW37" s="3">
        <f>SUM(AQ37:AZ37)*Inicio!$W$8</f>
        <v>0</v>
      </c>
      <c r="DX37" s="3">
        <f>SUM(BA37:BJ37)*Inicio!$W$9</f>
        <v>0</v>
      </c>
      <c r="DY37" s="3">
        <f>SUM(BK37:BT37)*Inicio!$W$10</f>
        <v>0</v>
      </c>
      <c r="DZ37" s="3">
        <f>SUM(BU37:CD37)*Inicio!$W$11</f>
        <v>0</v>
      </c>
      <c r="EA37" s="3">
        <f>SUM(CE37:CN37)*Inicio!$W$12</f>
        <v>0</v>
      </c>
      <c r="EB37" s="3">
        <f>SUM(CO37:CX37)*Inicio!$W$13</f>
        <v>0</v>
      </c>
      <c r="EC37" s="3">
        <f>SUM(CY37:DH37)*Inicio!$W$11</f>
        <v>0</v>
      </c>
      <c r="ED37" s="3">
        <f>SUM(DI37:DR37)*Inicio!$W$12</f>
        <v>0</v>
      </c>
      <c r="EE37" s="3">
        <f t="shared" si="0"/>
        <v>0</v>
      </c>
      <c r="EF37" s="3">
        <f t="shared" si="3"/>
        <v>0</v>
      </c>
      <c r="EG37" s="3">
        <f t="shared" si="1"/>
        <v>0</v>
      </c>
      <c r="EH37" s="3">
        <f t="shared" si="3"/>
        <v>0</v>
      </c>
    </row>
    <row r="38" spans="2:138" ht="20.25" customHeight="1" x14ac:dyDescent="0.3">
      <c r="B38" s="28" t="s">
        <v>54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4">
        <f>SUM(C38:L38)*Inicio!$W$4</f>
        <v>0</v>
      </c>
      <c r="DT38" s="4">
        <f>SUM(M38:V38)*Inicio!$W$5</f>
        <v>0</v>
      </c>
      <c r="DU38" s="4">
        <f>SUM(W38:AF38)*Inicio!$W$6</f>
        <v>0</v>
      </c>
      <c r="DV38" s="4">
        <f>SUM(AG38:AP38)*Inicio!$W$7</f>
        <v>0</v>
      </c>
      <c r="DW38" s="4">
        <f>SUM(AQ38:AZ38)*Inicio!$W$8</f>
        <v>0</v>
      </c>
      <c r="DX38" s="4">
        <f>SUM(BA38:BJ38)*Inicio!$W$9</f>
        <v>0</v>
      </c>
      <c r="DY38" s="4">
        <f>SUM(BK38:BT38)*Inicio!$W$10</f>
        <v>0</v>
      </c>
      <c r="DZ38" s="4">
        <f>SUM(BU38:CD38)*Inicio!$W$11</f>
        <v>0</v>
      </c>
      <c r="EA38" s="4">
        <f>SUM(CE38:CN38)*Inicio!$W$12</f>
        <v>0</v>
      </c>
      <c r="EB38" s="4">
        <f>SUM(CO38:CX38)*Inicio!$W$13</f>
        <v>0</v>
      </c>
      <c r="EC38" s="4">
        <f>SUM(CY38:DH38)*Inicio!$W$11</f>
        <v>0</v>
      </c>
      <c r="ED38" s="4">
        <f>SUM(DI38:DR38)*Inicio!$W$12</f>
        <v>0</v>
      </c>
      <c r="EE38" s="4">
        <f t="shared" si="0"/>
        <v>0</v>
      </c>
      <c r="EF38" s="4">
        <f t="shared" si="3"/>
        <v>0</v>
      </c>
      <c r="EG38" s="4">
        <f t="shared" si="1"/>
        <v>0</v>
      </c>
      <c r="EH38" s="4">
        <f t="shared" si="3"/>
        <v>0</v>
      </c>
    </row>
    <row r="39" spans="2:138" ht="20.25" customHeight="1" x14ac:dyDescent="0.3">
      <c r="B39" s="28" t="s">
        <v>55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4">
        <f>SUM(C39:L39)*Inicio!$W$4</f>
        <v>0</v>
      </c>
      <c r="DT39" s="4">
        <f>SUM(M39:V39)*Inicio!$W$5</f>
        <v>0</v>
      </c>
      <c r="DU39" s="4">
        <f>SUM(W39:AF39)*Inicio!$W$6</f>
        <v>0</v>
      </c>
      <c r="DV39" s="4">
        <f>SUM(AG39:AP39)*Inicio!$W$7</f>
        <v>0</v>
      </c>
      <c r="DW39" s="4">
        <f>SUM(AQ39:AZ39)*Inicio!$W$8</f>
        <v>0</v>
      </c>
      <c r="DX39" s="4">
        <f>SUM(BA39:BJ39)*Inicio!$W$9</f>
        <v>0</v>
      </c>
      <c r="DY39" s="4">
        <f>SUM(BK39:BT39)*Inicio!$W$10</f>
        <v>0</v>
      </c>
      <c r="DZ39" s="4">
        <f>SUM(BU39:CD39)*Inicio!$W$11</f>
        <v>0</v>
      </c>
      <c r="EA39" s="4">
        <f>SUM(CE39:CN39)*Inicio!$W$12</f>
        <v>0</v>
      </c>
      <c r="EB39" s="4">
        <f>SUM(CO39:CX39)*Inicio!$W$13</f>
        <v>0</v>
      </c>
      <c r="EC39" s="4">
        <f>SUM(CY39:DH39)*Inicio!$W$11</f>
        <v>0</v>
      </c>
      <c r="ED39" s="4">
        <f>SUM(DI39:DR39)*Inicio!$W$12</f>
        <v>0</v>
      </c>
      <c r="EE39" s="4">
        <f t="shared" si="0"/>
        <v>0</v>
      </c>
      <c r="EF39" s="4">
        <f t="shared" si="3"/>
        <v>0</v>
      </c>
      <c r="EG39" s="4">
        <f t="shared" si="1"/>
        <v>0</v>
      </c>
      <c r="EH39" s="4">
        <f t="shared" si="3"/>
        <v>0</v>
      </c>
    </row>
    <row r="40" spans="2:138" ht="20.25" customHeight="1" x14ac:dyDescent="0.3">
      <c r="B40" s="26" t="s">
        <v>56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5">
        <f>SUM(C40:L40)*Inicio!$W$4</f>
        <v>0</v>
      </c>
      <c r="DT40" s="5">
        <f>SUM(M40:V40)*Inicio!$W$5</f>
        <v>0</v>
      </c>
      <c r="DU40" s="5">
        <f>SUM(W40:AF40)*Inicio!$W$6</f>
        <v>0</v>
      </c>
      <c r="DV40" s="5">
        <f>SUM(AG40:AP40)*Inicio!$W$7</f>
        <v>0</v>
      </c>
      <c r="DW40" s="5">
        <f>SUM(AQ40:AZ40)*Inicio!$W$8</f>
        <v>0</v>
      </c>
      <c r="DX40" s="5">
        <f>SUM(BA40:BJ40)*Inicio!$W$9</f>
        <v>0</v>
      </c>
      <c r="DY40" s="5">
        <f>SUM(BK40:BT40)*Inicio!$W$10</f>
        <v>0</v>
      </c>
      <c r="DZ40" s="5">
        <f>SUM(BU40:CD40)*Inicio!$W$11</f>
        <v>0</v>
      </c>
      <c r="EA40" s="5">
        <f>SUM(CE40:CN40)*Inicio!$W$12</f>
        <v>0</v>
      </c>
      <c r="EB40" s="5">
        <f>SUM(CO40:CX40)*Inicio!$W$13</f>
        <v>0</v>
      </c>
      <c r="EC40" s="5">
        <f>SUM(CY40:DH40)*Inicio!$W$11</f>
        <v>0</v>
      </c>
      <c r="ED40" s="5">
        <f>SUM(DI40:DR40)*Inicio!$W$12</f>
        <v>0</v>
      </c>
      <c r="EE40" s="5">
        <f t="shared" si="0"/>
        <v>0</v>
      </c>
      <c r="EF40" s="5">
        <f t="shared" si="3"/>
        <v>0</v>
      </c>
      <c r="EG40" s="5">
        <f t="shared" si="1"/>
        <v>0</v>
      </c>
      <c r="EH40" s="5">
        <f t="shared" si="3"/>
        <v>0</v>
      </c>
    </row>
    <row r="41" spans="2:138" ht="20.25" customHeight="1" x14ac:dyDescent="0.3">
      <c r="B41" s="27" t="s">
        <v>57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3">
        <f>SUM(C41:L41)*Inicio!$W$4</f>
        <v>0</v>
      </c>
      <c r="DT41" s="3">
        <f>SUM(M41:V41)*Inicio!$W$5</f>
        <v>0</v>
      </c>
      <c r="DU41" s="3">
        <f>SUM(W41:AF41)*Inicio!$W$6</f>
        <v>0</v>
      </c>
      <c r="DV41" s="3">
        <f>SUM(AG41:AP41)*Inicio!$W$7</f>
        <v>0</v>
      </c>
      <c r="DW41" s="3">
        <f>SUM(AQ41:AZ41)*Inicio!$W$8</f>
        <v>0</v>
      </c>
      <c r="DX41" s="3">
        <f>SUM(BA41:BJ41)*Inicio!$W$9</f>
        <v>0</v>
      </c>
      <c r="DY41" s="3">
        <f>SUM(BK41:BT41)*Inicio!$W$10</f>
        <v>0</v>
      </c>
      <c r="DZ41" s="3">
        <f>SUM(BU41:CD41)*Inicio!$W$11</f>
        <v>0</v>
      </c>
      <c r="EA41" s="3">
        <f>SUM(CE41:CN41)*Inicio!$W$12</f>
        <v>0</v>
      </c>
      <c r="EB41" s="3">
        <f>SUM(CO41:CX41)*Inicio!$W$13</f>
        <v>0</v>
      </c>
      <c r="EC41" s="3">
        <f>SUM(CY41:DH41)*Inicio!$W$11</f>
        <v>0</v>
      </c>
      <c r="ED41" s="3">
        <f>SUM(DI41:DR41)*Inicio!$W$12</f>
        <v>0</v>
      </c>
      <c r="EE41" s="3">
        <f t="shared" si="0"/>
        <v>0</v>
      </c>
      <c r="EF41" s="3">
        <f t="shared" si="3"/>
        <v>0</v>
      </c>
      <c r="EG41" s="3">
        <f t="shared" si="1"/>
        <v>0</v>
      </c>
      <c r="EH41" s="3">
        <f t="shared" si="3"/>
        <v>0</v>
      </c>
    </row>
    <row r="42" spans="2:138" ht="20.25" customHeight="1" x14ac:dyDescent="0.3">
      <c r="B42" s="28" t="s">
        <v>58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4">
        <f>SUM(C42:L42)*Inicio!$W$4</f>
        <v>0</v>
      </c>
      <c r="DT42" s="4">
        <f>SUM(M42:V42)*Inicio!$W$5</f>
        <v>0</v>
      </c>
      <c r="DU42" s="4">
        <f>SUM(W42:AF42)*Inicio!$W$6</f>
        <v>0</v>
      </c>
      <c r="DV42" s="4">
        <f>SUM(AG42:AP42)*Inicio!$W$7</f>
        <v>0</v>
      </c>
      <c r="DW42" s="4">
        <f>SUM(AQ42:AZ42)*Inicio!$W$8</f>
        <v>0</v>
      </c>
      <c r="DX42" s="4">
        <f>SUM(BA42:BJ42)*Inicio!$W$9</f>
        <v>0</v>
      </c>
      <c r="DY42" s="4">
        <f>SUM(BK42:BT42)*Inicio!$W$10</f>
        <v>0</v>
      </c>
      <c r="DZ42" s="4">
        <f>SUM(BU42:CD42)*Inicio!$W$11</f>
        <v>0</v>
      </c>
      <c r="EA42" s="4">
        <f>SUM(CE42:CN42)*Inicio!$W$12</f>
        <v>0</v>
      </c>
      <c r="EB42" s="4">
        <f>SUM(CO42:CX42)*Inicio!$W$13</f>
        <v>0</v>
      </c>
      <c r="EC42" s="4">
        <f>SUM(CY42:DH42)*Inicio!$W$11</f>
        <v>0</v>
      </c>
      <c r="ED42" s="4">
        <f>SUM(DI42:DR42)*Inicio!$W$12</f>
        <v>0</v>
      </c>
      <c r="EE42" s="4">
        <f t="shared" si="0"/>
        <v>0</v>
      </c>
      <c r="EF42" s="4">
        <f t="shared" si="3"/>
        <v>0</v>
      </c>
      <c r="EG42" s="4">
        <f t="shared" si="1"/>
        <v>0</v>
      </c>
      <c r="EH42" s="4">
        <f t="shared" si="3"/>
        <v>0</v>
      </c>
    </row>
    <row r="43" spans="2:138" ht="20.25" customHeight="1" x14ac:dyDescent="0.3">
      <c r="B43" s="28" t="s">
        <v>59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4">
        <f>SUM(C43:L43)*Inicio!$W$4</f>
        <v>0</v>
      </c>
      <c r="DT43" s="4">
        <f>SUM(M43:V43)*Inicio!$W$5</f>
        <v>0</v>
      </c>
      <c r="DU43" s="4">
        <f>SUM(W43:AF43)*Inicio!$W$6</f>
        <v>0</v>
      </c>
      <c r="DV43" s="4">
        <f>SUM(AG43:AP43)*Inicio!$W$7</f>
        <v>0</v>
      </c>
      <c r="DW43" s="4">
        <f>SUM(AQ43:AZ43)*Inicio!$W$8</f>
        <v>0</v>
      </c>
      <c r="DX43" s="4">
        <f>SUM(BA43:BJ43)*Inicio!$W$9</f>
        <v>0</v>
      </c>
      <c r="DY43" s="4">
        <f>SUM(BK43:BT43)*Inicio!$W$10</f>
        <v>0</v>
      </c>
      <c r="DZ43" s="4">
        <f>SUM(BU43:CD43)*Inicio!$W$11</f>
        <v>0</v>
      </c>
      <c r="EA43" s="4">
        <f>SUM(CE43:CN43)*Inicio!$W$12</f>
        <v>0</v>
      </c>
      <c r="EB43" s="4">
        <f>SUM(CO43:CX43)*Inicio!$W$13</f>
        <v>0</v>
      </c>
      <c r="EC43" s="4">
        <f>SUM(CY43:DH43)*Inicio!$W$11</f>
        <v>0</v>
      </c>
      <c r="ED43" s="4">
        <f>SUM(DI43:DR43)*Inicio!$W$12</f>
        <v>0</v>
      </c>
      <c r="EE43" s="4">
        <f t="shared" si="0"/>
        <v>0</v>
      </c>
      <c r="EF43" s="4">
        <f t="shared" si="3"/>
        <v>0</v>
      </c>
      <c r="EG43" s="4">
        <f t="shared" si="1"/>
        <v>0</v>
      </c>
      <c r="EH43" s="4">
        <f t="shared" si="3"/>
        <v>0</v>
      </c>
    </row>
    <row r="44" spans="2:138" ht="20.25" customHeight="1" x14ac:dyDescent="0.3">
      <c r="B44" s="26" t="s">
        <v>60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5">
        <f>SUM(C44:L44)*Inicio!$W$4</f>
        <v>0</v>
      </c>
      <c r="DT44" s="5">
        <f>SUM(M44:V44)*Inicio!$W$5</f>
        <v>0</v>
      </c>
      <c r="DU44" s="5">
        <f>SUM(W44:AF44)*Inicio!$W$6</f>
        <v>0</v>
      </c>
      <c r="DV44" s="5">
        <f>SUM(AG44:AP44)*Inicio!$W$7</f>
        <v>0</v>
      </c>
      <c r="DW44" s="5">
        <f>SUM(AQ44:AZ44)*Inicio!$W$8</f>
        <v>0</v>
      </c>
      <c r="DX44" s="5">
        <f>SUM(BA44:BJ44)*Inicio!$W$9</f>
        <v>0</v>
      </c>
      <c r="DY44" s="5">
        <f>SUM(BK44:BT44)*Inicio!$W$10</f>
        <v>0</v>
      </c>
      <c r="DZ44" s="5">
        <f>SUM(BU44:CD44)*Inicio!$W$11</f>
        <v>0</v>
      </c>
      <c r="EA44" s="5">
        <f>SUM(CE44:CN44)*Inicio!$W$12</f>
        <v>0</v>
      </c>
      <c r="EB44" s="5">
        <f>SUM(CO44:CX44)*Inicio!$W$13</f>
        <v>0</v>
      </c>
      <c r="EC44" s="5">
        <f>SUM(CY44:DH44)*Inicio!$W$11</f>
        <v>0</v>
      </c>
      <c r="ED44" s="5">
        <f>SUM(DI44:DR44)*Inicio!$W$12</f>
        <v>0</v>
      </c>
      <c r="EE44" s="5">
        <f t="shared" si="0"/>
        <v>0</v>
      </c>
      <c r="EF44" s="5">
        <f t="shared" si="3"/>
        <v>0</v>
      </c>
      <c r="EG44" s="5">
        <f t="shared" si="1"/>
        <v>0</v>
      </c>
      <c r="EH44" s="5">
        <f t="shared" si="3"/>
        <v>0</v>
      </c>
    </row>
    <row r="45" spans="2:138" ht="20.25" customHeight="1" x14ac:dyDescent="0.3">
      <c r="B45" s="27" t="s">
        <v>61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3">
        <f>SUM(C45:L45)*Inicio!$W$4</f>
        <v>0</v>
      </c>
      <c r="DT45" s="3">
        <f>SUM(M45:V45)*Inicio!$W$5</f>
        <v>0</v>
      </c>
      <c r="DU45" s="3">
        <f>SUM(W45:AF45)*Inicio!$W$6</f>
        <v>0</v>
      </c>
      <c r="DV45" s="3">
        <f>SUM(AG45:AP45)*Inicio!$W$7</f>
        <v>0</v>
      </c>
      <c r="DW45" s="3">
        <f>SUM(AQ45:AZ45)*Inicio!$W$8</f>
        <v>0</v>
      </c>
      <c r="DX45" s="3">
        <f>SUM(BA45:BJ45)*Inicio!$W$9</f>
        <v>0</v>
      </c>
      <c r="DY45" s="3">
        <f>SUM(BK45:BT45)*Inicio!$W$10</f>
        <v>0</v>
      </c>
      <c r="DZ45" s="3">
        <f>SUM(BU45:CD45)*Inicio!$W$11</f>
        <v>0</v>
      </c>
      <c r="EA45" s="3">
        <f>SUM(CE45:CN45)*Inicio!$W$12</f>
        <v>0</v>
      </c>
      <c r="EB45" s="3">
        <f>SUM(CO45:CX45)*Inicio!$W$13</f>
        <v>0</v>
      </c>
      <c r="EC45" s="3">
        <f>SUM(CY45:DH45)*Inicio!$W$11</f>
        <v>0</v>
      </c>
      <c r="ED45" s="3">
        <f>SUM(DI45:DR45)*Inicio!$W$12</f>
        <v>0</v>
      </c>
      <c r="EE45" s="3">
        <f t="shared" si="0"/>
        <v>0</v>
      </c>
      <c r="EF45" s="3">
        <f t="shared" si="3"/>
        <v>0</v>
      </c>
      <c r="EG45" s="3">
        <f t="shared" si="1"/>
        <v>0</v>
      </c>
      <c r="EH45" s="3">
        <f t="shared" si="3"/>
        <v>0</v>
      </c>
    </row>
    <row r="46" spans="2:138" ht="20.25" customHeight="1" x14ac:dyDescent="0.3">
      <c r="B46" s="28" t="s">
        <v>62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4">
        <f>SUM(C46:L46)*Inicio!$W$4</f>
        <v>0</v>
      </c>
      <c r="DT46" s="4">
        <f>SUM(M46:V46)*Inicio!$W$5</f>
        <v>0</v>
      </c>
      <c r="DU46" s="4">
        <f>SUM(W46:AF46)*Inicio!$W$6</f>
        <v>0</v>
      </c>
      <c r="DV46" s="4">
        <f>SUM(AG46:AP46)*Inicio!$W$7</f>
        <v>0</v>
      </c>
      <c r="DW46" s="4">
        <f>SUM(AQ46:AZ46)*Inicio!$W$8</f>
        <v>0</v>
      </c>
      <c r="DX46" s="4">
        <f>SUM(BA46:BJ46)*Inicio!$W$9</f>
        <v>0</v>
      </c>
      <c r="DY46" s="4">
        <f>SUM(BK46:BT46)*Inicio!$W$10</f>
        <v>0</v>
      </c>
      <c r="DZ46" s="4">
        <f>SUM(BU46:CD46)*Inicio!$W$11</f>
        <v>0</v>
      </c>
      <c r="EA46" s="4">
        <f>SUM(CE46:CN46)*Inicio!$W$12</f>
        <v>0</v>
      </c>
      <c r="EB46" s="4">
        <f>SUM(CO46:CX46)*Inicio!$W$13</f>
        <v>0</v>
      </c>
      <c r="EC46" s="4">
        <f>SUM(CY46:DH46)*Inicio!$W$11</f>
        <v>0</v>
      </c>
      <c r="ED46" s="4">
        <f>SUM(DI46:DR46)*Inicio!$W$12</f>
        <v>0</v>
      </c>
      <c r="EE46" s="4">
        <f t="shared" si="0"/>
        <v>0</v>
      </c>
      <c r="EF46" s="4">
        <f t="shared" ref="EF46:EH61" si="4">SUM(EE43:EE46)</f>
        <v>0</v>
      </c>
      <c r="EG46" s="4">
        <f t="shared" si="1"/>
        <v>0</v>
      </c>
      <c r="EH46" s="4">
        <f t="shared" si="4"/>
        <v>0</v>
      </c>
    </row>
    <row r="47" spans="2:138" ht="20.25" customHeight="1" x14ac:dyDescent="0.3">
      <c r="B47" s="28" t="s">
        <v>63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4">
        <f>SUM(C47:L47)*Inicio!$W$4</f>
        <v>0</v>
      </c>
      <c r="DT47" s="4">
        <f>SUM(M47:V47)*Inicio!$W$5</f>
        <v>0</v>
      </c>
      <c r="DU47" s="4">
        <f>SUM(W47:AF47)*Inicio!$W$6</f>
        <v>0</v>
      </c>
      <c r="DV47" s="4">
        <f>SUM(AG47:AP47)*Inicio!$W$7</f>
        <v>0</v>
      </c>
      <c r="DW47" s="4">
        <f>SUM(AQ47:AZ47)*Inicio!$W$8</f>
        <v>0</v>
      </c>
      <c r="DX47" s="4">
        <f>SUM(BA47:BJ47)*Inicio!$W$9</f>
        <v>0</v>
      </c>
      <c r="DY47" s="4">
        <f>SUM(BK47:BT47)*Inicio!$W$10</f>
        <v>0</v>
      </c>
      <c r="DZ47" s="4">
        <f>SUM(BU47:CD47)*Inicio!$W$11</f>
        <v>0</v>
      </c>
      <c r="EA47" s="4">
        <f>SUM(CE47:CN47)*Inicio!$W$12</f>
        <v>0</v>
      </c>
      <c r="EB47" s="4">
        <f>SUM(CO47:CX47)*Inicio!$W$13</f>
        <v>0</v>
      </c>
      <c r="EC47" s="4">
        <f>SUM(CY47:DH47)*Inicio!$W$11</f>
        <v>0</v>
      </c>
      <c r="ED47" s="4">
        <f>SUM(DI47:DR47)*Inicio!$W$12</f>
        <v>0</v>
      </c>
      <c r="EE47" s="4">
        <f t="shared" si="0"/>
        <v>0</v>
      </c>
      <c r="EF47" s="4">
        <f t="shared" si="4"/>
        <v>0</v>
      </c>
      <c r="EG47" s="4">
        <f t="shared" si="1"/>
        <v>0</v>
      </c>
      <c r="EH47" s="4">
        <f t="shared" si="4"/>
        <v>0</v>
      </c>
    </row>
    <row r="48" spans="2:138" ht="20.25" customHeight="1" x14ac:dyDescent="0.3">
      <c r="B48" s="26" t="s">
        <v>64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5">
        <f>SUM(C48:L48)*Inicio!$W$4</f>
        <v>0</v>
      </c>
      <c r="DT48" s="5">
        <f>SUM(M48:V48)*Inicio!$W$5</f>
        <v>0</v>
      </c>
      <c r="DU48" s="5">
        <f>SUM(W48:AF48)*Inicio!$W$6</f>
        <v>0</v>
      </c>
      <c r="DV48" s="5">
        <f>SUM(AG48:AP48)*Inicio!$W$7</f>
        <v>0</v>
      </c>
      <c r="DW48" s="5">
        <f>SUM(AQ48:AZ48)*Inicio!$W$8</f>
        <v>0</v>
      </c>
      <c r="DX48" s="5">
        <f>SUM(BA48:BJ48)*Inicio!$W$9</f>
        <v>0</v>
      </c>
      <c r="DY48" s="5">
        <f>SUM(BK48:BT48)*Inicio!$W$10</f>
        <v>0</v>
      </c>
      <c r="DZ48" s="5">
        <f>SUM(BU48:CD48)*Inicio!$W$11</f>
        <v>0</v>
      </c>
      <c r="EA48" s="5">
        <f>SUM(CE48:CN48)*Inicio!$W$12</f>
        <v>0</v>
      </c>
      <c r="EB48" s="5">
        <f>SUM(CO48:CX48)*Inicio!$W$13</f>
        <v>0</v>
      </c>
      <c r="EC48" s="5">
        <f>SUM(CY48:DH48)*Inicio!$W$11</f>
        <v>0</v>
      </c>
      <c r="ED48" s="5">
        <f>SUM(DI48:DR48)*Inicio!$W$12</f>
        <v>0</v>
      </c>
      <c r="EE48" s="5">
        <f t="shared" si="0"/>
        <v>0</v>
      </c>
      <c r="EF48" s="5">
        <f t="shared" si="4"/>
        <v>0</v>
      </c>
      <c r="EG48" s="5">
        <f t="shared" si="1"/>
        <v>0</v>
      </c>
      <c r="EH48" s="5">
        <f t="shared" si="4"/>
        <v>0</v>
      </c>
    </row>
    <row r="49" spans="2:138" ht="20.25" customHeight="1" x14ac:dyDescent="0.3">
      <c r="B49" s="27" t="s">
        <v>65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3">
        <f>SUM(C49:L49)*Inicio!$W$4</f>
        <v>0</v>
      </c>
      <c r="DT49" s="3">
        <f>SUM(M49:V49)*Inicio!$W$5</f>
        <v>0</v>
      </c>
      <c r="DU49" s="3">
        <f>SUM(W49:AF49)*Inicio!$W$6</f>
        <v>0</v>
      </c>
      <c r="DV49" s="3">
        <f>SUM(AG49:AP49)*Inicio!$W$7</f>
        <v>0</v>
      </c>
      <c r="DW49" s="3">
        <f>SUM(AQ49:AZ49)*Inicio!$W$8</f>
        <v>0</v>
      </c>
      <c r="DX49" s="3">
        <f>SUM(BA49:BJ49)*Inicio!$W$9</f>
        <v>0</v>
      </c>
      <c r="DY49" s="3">
        <f>SUM(BK49:BT49)*Inicio!$W$10</f>
        <v>0</v>
      </c>
      <c r="DZ49" s="3">
        <f>SUM(BU49:CD49)*Inicio!$W$11</f>
        <v>0</v>
      </c>
      <c r="EA49" s="3">
        <f>SUM(CE49:CN49)*Inicio!$W$12</f>
        <v>0</v>
      </c>
      <c r="EB49" s="3">
        <f>SUM(CO49:CX49)*Inicio!$W$13</f>
        <v>0</v>
      </c>
      <c r="EC49" s="3">
        <f>SUM(CY49:DH49)*Inicio!$W$11</f>
        <v>0</v>
      </c>
      <c r="ED49" s="3">
        <f>SUM(DI49:DR49)*Inicio!$W$12</f>
        <v>0</v>
      </c>
      <c r="EE49" s="3">
        <f t="shared" si="0"/>
        <v>0</v>
      </c>
      <c r="EF49" s="3">
        <f t="shared" si="4"/>
        <v>0</v>
      </c>
      <c r="EG49" s="3">
        <f t="shared" si="1"/>
        <v>0</v>
      </c>
      <c r="EH49" s="3">
        <f t="shared" si="4"/>
        <v>0</v>
      </c>
    </row>
    <row r="50" spans="2:138" ht="20.25" customHeight="1" x14ac:dyDescent="0.3">
      <c r="B50" s="28" t="s">
        <v>66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4">
        <f>SUM(C50:L50)*Inicio!$W$4</f>
        <v>0</v>
      </c>
      <c r="DT50" s="4">
        <f>SUM(M50:V50)*Inicio!$W$5</f>
        <v>0</v>
      </c>
      <c r="DU50" s="4">
        <f>SUM(W50:AF50)*Inicio!$W$6</f>
        <v>0</v>
      </c>
      <c r="DV50" s="4">
        <f>SUM(AG50:AP50)*Inicio!$W$7</f>
        <v>0</v>
      </c>
      <c r="DW50" s="4">
        <f>SUM(AQ50:AZ50)*Inicio!$W$8</f>
        <v>0</v>
      </c>
      <c r="DX50" s="4">
        <f>SUM(BA50:BJ50)*Inicio!$W$9</f>
        <v>0</v>
      </c>
      <c r="DY50" s="4">
        <f>SUM(BK50:BT50)*Inicio!$W$10</f>
        <v>0</v>
      </c>
      <c r="DZ50" s="4">
        <f>SUM(BU50:CD50)*Inicio!$W$11</f>
        <v>0</v>
      </c>
      <c r="EA50" s="4">
        <f>SUM(CE50:CN50)*Inicio!$W$12</f>
        <v>0</v>
      </c>
      <c r="EB50" s="4">
        <f>SUM(CO50:CX50)*Inicio!$W$13</f>
        <v>0</v>
      </c>
      <c r="EC50" s="4">
        <f>SUM(CY50:DH50)*Inicio!$W$11</f>
        <v>0</v>
      </c>
      <c r="ED50" s="4">
        <f>SUM(DI50:DR50)*Inicio!$W$12</f>
        <v>0</v>
      </c>
      <c r="EE50" s="4">
        <f t="shared" si="0"/>
        <v>0</v>
      </c>
      <c r="EF50" s="4">
        <f t="shared" si="4"/>
        <v>0</v>
      </c>
      <c r="EG50" s="4">
        <f t="shared" si="1"/>
        <v>0</v>
      </c>
      <c r="EH50" s="4">
        <f t="shared" si="4"/>
        <v>0</v>
      </c>
    </row>
    <row r="51" spans="2:138" ht="20.25" customHeight="1" x14ac:dyDescent="0.3">
      <c r="B51" s="28" t="s">
        <v>67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4">
        <f>SUM(C51:L51)*Inicio!$W$4</f>
        <v>0</v>
      </c>
      <c r="DT51" s="4">
        <f>SUM(M51:V51)*Inicio!$W$5</f>
        <v>0</v>
      </c>
      <c r="DU51" s="4">
        <f>SUM(W51:AF51)*Inicio!$W$6</f>
        <v>0</v>
      </c>
      <c r="DV51" s="4">
        <f>SUM(AG51:AP51)*Inicio!$W$7</f>
        <v>0</v>
      </c>
      <c r="DW51" s="4">
        <f>SUM(AQ51:AZ51)*Inicio!$W$8</f>
        <v>0</v>
      </c>
      <c r="DX51" s="4">
        <f>SUM(BA51:BJ51)*Inicio!$W$9</f>
        <v>0</v>
      </c>
      <c r="DY51" s="4">
        <f>SUM(BK51:BT51)*Inicio!$W$10</f>
        <v>0</v>
      </c>
      <c r="DZ51" s="4">
        <f>SUM(BU51:CD51)*Inicio!$W$11</f>
        <v>0</v>
      </c>
      <c r="EA51" s="4">
        <f>SUM(CE51:CN51)*Inicio!$W$12</f>
        <v>0</v>
      </c>
      <c r="EB51" s="4">
        <f>SUM(CO51:CX51)*Inicio!$W$13</f>
        <v>0</v>
      </c>
      <c r="EC51" s="4">
        <f>SUM(CY51:DH51)*Inicio!$W$11</f>
        <v>0</v>
      </c>
      <c r="ED51" s="4">
        <f>SUM(DI51:DR51)*Inicio!$W$12</f>
        <v>0</v>
      </c>
      <c r="EE51" s="4">
        <f t="shared" si="0"/>
        <v>0</v>
      </c>
      <c r="EF51" s="4">
        <f t="shared" si="4"/>
        <v>0</v>
      </c>
      <c r="EG51" s="4">
        <f t="shared" si="1"/>
        <v>0</v>
      </c>
      <c r="EH51" s="4">
        <f t="shared" si="4"/>
        <v>0</v>
      </c>
    </row>
    <row r="52" spans="2:138" ht="20.25" customHeight="1" x14ac:dyDescent="0.3">
      <c r="B52" s="26" t="s">
        <v>68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5">
        <f>SUM(C52:L52)*Inicio!$W$4</f>
        <v>0</v>
      </c>
      <c r="DT52" s="5">
        <f>SUM(M52:V52)*Inicio!$W$5</f>
        <v>0</v>
      </c>
      <c r="DU52" s="5">
        <f>SUM(W52:AF52)*Inicio!$W$6</f>
        <v>0</v>
      </c>
      <c r="DV52" s="5">
        <f>SUM(AG52:AP52)*Inicio!$W$7</f>
        <v>0</v>
      </c>
      <c r="DW52" s="5">
        <f>SUM(AQ52:AZ52)*Inicio!$W$8</f>
        <v>0</v>
      </c>
      <c r="DX52" s="5">
        <f>SUM(BA52:BJ52)*Inicio!$W$9</f>
        <v>0</v>
      </c>
      <c r="DY52" s="5">
        <f>SUM(BK52:BT52)*Inicio!$W$10</f>
        <v>0</v>
      </c>
      <c r="DZ52" s="5">
        <f>SUM(BU52:CD52)*Inicio!$W$11</f>
        <v>0</v>
      </c>
      <c r="EA52" s="5">
        <f>SUM(CE52:CN52)*Inicio!$W$12</f>
        <v>0</v>
      </c>
      <c r="EB52" s="5">
        <f>SUM(CO52:CX52)*Inicio!$W$13</f>
        <v>0</v>
      </c>
      <c r="EC52" s="5">
        <f>SUM(CY52:DH52)*Inicio!$W$11</f>
        <v>0</v>
      </c>
      <c r="ED52" s="5">
        <f>SUM(DI52:DR52)*Inicio!$W$12</f>
        <v>0</v>
      </c>
      <c r="EE52" s="5">
        <f t="shared" si="0"/>
        <v>0</v>
      </c>
      <c r="EF52" s="5">
        <f t="shared" si="4"/>
        <v>0</v>
      </c>
      <c r="EG52" s="5">
        <f t="shared" si="1"/>
        <v>0</v>
      </c>
      <c r="EH52" s="5">
        <f t="shared" si="4"/>
        <v>0</v>
      </c>
    </row>
    <row r="53" spans="2:138" ht="20.25" customHeight="1" x14ac:dyDescent="0.3">
      <c r="B53" s="27" t="s">
        <v>69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4">
        <f>SUM(C53:L53)*Inicio!$W$4</f>
        <v>0</v>
      </c>
      <c r="DT53" s="4">
        <f>SUM(M53:V53)*Inicio!$W$5</f>
        <v>0</v>
      </c>
      <c r="DU53" s="4">
        <f>SUM(W53:AF53)*Inicio!$W$6</f>
        <v>0</v>
      </c>
      <c r="DV53" s="4">
        <f>SUM(AG53:AP53)*Inicio!$W$7</f>
        <v>0</v>
      </c>
      <c r="DW53" s="4">
        <f>SUM(AQ53:AZ53)*Inicio!$W$8</f>
        <v>0</v>
      </c>
      <c r="DX53" s="4">
        <f>SUM(BA53:BJ53)*Inicio!$W$9</f>
        <v>0</v>
      </c>
      <c r="DY53" s="4">
        <f>SUM(BK53:BT53)*Inicio!$W$10</f>
        <v>0</v>
      </c>
      <c r="DZ53" s="4">
        <f>SUM(BU53:CD53)*Inicio!$W$11</f>
        <v>0</v>
      </c>
      <c r="EA53" s="4">
        <f>SUM(CE53:CN53)*Inicio!$W$12</f>
        <v>0</v>
      </c>
      <c r="EB53" s="4">
        <f>SUM(CO53:CX53)*Inicio!$W$13</f>
        <v>0</v>
      </c>
      <c r="EC53" s="4">
        <f>SUM(CY53:DH53)*Inicio!$W$11</f>
        <v>0</v>
      </c>
      <c r="ED53" s="4">
        <f>SUM(DI53:DR53)*Inicio!$W$12</f>
        <v>0</v>
      </c>
      <c r="EE53" s="4">
        <f t="shared" si="0"/>
        <v>0</v>
      </c>
      <c r="EF53" s="4">
        <f t="shared" si="4"/>
        <v>0</v>
      </c>
      <c r="EG53" s="4">
        <f t="shared" si="1"/>
        <v>0</v>
      </c>
      <c r="EH53" s="4">
        <f t="shared" si="4"/>
        <v>0</v>
      </c>
    </row>
    <row r="54" spans="2:138" ht="20.25" customHeight="1" x14ac:dyDescent="0.3">
      <c r="B54" s="28" t="s">
        <v>70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4">
        <f>SUM(C54:L54)*Inicio!$W$4</f>
        <v>0</v>
      </c>
      <c r="DT54" s="4">
        <f>SUM(M54:V54)*Inicio!$W$5</f>
        <v>0</v>
      </c>
      <c r="DU54" s="4">
        <f>SUM(W54:AF54)*Inicio!$W$6</f>
        <v>0</v>
      </c>
      <c r="DV54" s="4">
        <f>SUM(AG54:AP54)*Inicio!$W$7</f>
        <v>0</v>
      </c>
      <c r="DW54" s="4">
        <f>SUM(AQ54:AZ54)*Inicio!$W$8</f>
        <v>0</v>
      </c>
      <c r="DX54" s="4">
        <f>SUM(BA54:BJ54)*Inicio!$W$9</f>
        <v>0</v>
      </c>
      <c r="DY54" s="4">
        <f>SUM(BK54:BT54)*Inicio!$W$10</f>
        <v>0</v>
      </c>
      <c r="DZ54" s="4">
        <f>SUM(BU54:CD54)*Inicio!$W$11</f>
        <v>0</v>
      </c>
      <c r="EA54" s="4">
        <f>SUM(CE54:CN54)*Inicio!$W$12</f>
        <v>0</v>
      </c>
      <c r="EB54" s="4">
        <f>SUM(CO54:CX54)*Inicio!$W$13</f>
        <v>0</v>
      </c>
      <c r="EC54" s="4">
        <f>SUM(CY54:DH54)*Inicio!$W$11</f>
        <v>0</v>
      </c>
      <c r="ED54" s="4">
        <f>SUM(DI54:DR54)*Inicio!$W$12</f>
        <v>0</v>
      </c>
      <c r="EE54" s="4">
        <f t="shared" si="0"/>
        <v>0</v>
      </c>
      <c r="EF54" s="4">
        <f t="shared" si="4"/>
        <v>0</v>
      </c>
      <c r="EG54" s="4">
        <f t="shared" si="1"/>
        <v>0</v>
      </c>
      <c r="EH54" s="4">
        <f t="shared" si="4"/>
        <v>0</v>
      </c>
    </row>
    <row r="55" spans="2:138" ht="20.25" customHeight="1" x14ac:dyDescent="0.3">
      <c r="B55" s="28" t="s">
        <v>71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4">
        <f>SUM(C55:L55)*Inicio!$W$4</f>
        <v>0</v>
      </c>
      <c r="DT55" s="4">
        <f>SUM(M55:V55)*Inicio!$W$5</f>
        <v>0</v>
      </c>
      <c r="DU55" s="4">
        <f>SUM(W55:AF55)*Inicio!$W$6</f>
        <v>0</v>
      </c>
      <c r="DV55" s="4">
        <f>SUM(AG55:AP55)*Inicio!$W$7</f>
        <v>0</v>
      </c>
      <c r="DW55" s="4">
        <f>SUM(AQ55:AZ55)*Inicio!$W$8</f>
        <v>0</v>
      </c>
      <c r="DX55" s="4">
        <f>SUM(BA55:BJ55)*Inicio!$W$9</f>
        <v>0</v>
      </c>
      <c r="DY55" s="4">
        <f>SUM(BK55:BT55)*Inicio!$W$10</f>
        <v>0</v>
      </c>
      <c r="DZ55" s="4">
        <f>SUM(BU55:CD55)*Inicio!$W$11</f>
        <v>0</v>
      </c>
      <c r="EA55" s="4">
        <f>SUM(CE55:CN55)*Inicio!$W$12</f>
        <v>0</v>
      </c>
      <c r="EB55" s="4">
        <f>SUM(CO55:CX55)*Inicio!$W$13</f>
        <v>0</v>
      </c>
      <c r="EC55" s="4">
        <f>SUM(CY55:DH55)*Inicio!$W$11</f>
        <v>0</v>
      </c>
      <c r="ED55" s="4">
        <f>SUM(DI55:DR55)*Inicio!$W$12</f>
        <v>0</v>
      </c>
      <c r="EE55" s="4">
        <f t="shared" si="0"/>
        <v>0</v>
      </c>
      <c r="EF55" s="4">
        <f t="shared" si="4"/>
        <v>0</v>
      </c>
      <c r="EG55" s="4">
        <f t="shared" si="1"/>
        <v>0</v>
      </c>
      <c r="EH55" s="4">
        <f t="shared" si="4"/>
        <v>0</v>
      </c>
    </row>
    <row r="56" spans="2:138" ht="20.25" customHeight="1" x14ac:dyDescent="0.3">
      <c r="B56" s="26" t="s">
        <v>72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4">
        <f>SUM(C56:L56)*Inicio!$W$4</f>
        <v>0</v>
      </c>
      <c r="DT56" s="4">
        <f>SUM(M56:V56)*Inicio!$W$5</f>
        <v>0</v>
      </c>
      <c r="DU56" s="4">
        <f>SUM(W56:AF56)*Inicio!$W$6</f>
        <v>0</v>
      </c>
      <c r="DV56" s="4">
        <f>SUM(AG56:AP56)*Inicio!$W$7</f>
        <v>0</v>
      </c>
      <c r="DW56" s="4">
        <f>SUM(AQ56:AZ56)*Inicio!$W$8</f>
        <v>0</v>
      </c>
      <c r="DX56" s="4">
        <f>SUM(BA56:BJ56)*Inicio!$W$9</f>
        <v>0</v>
      </c>
      <c r="DY56" s="4">
        <f>SUM(BK56:BT56)*Inicio!$W$10</f>
        <v>0</v>
      </c>
      <c r="DZ56" s="4">
        <f>SUM(BU56:CD56)*Inicio!$W$11</f>
        <v>0</v>
      </c>
      <c r="EA56" s="4">
        <f>SUM(CE56:CN56)*Inicio!$W$12</f>
        <v>0</v>
      </c>
      <c r="EB56" s="4">
        <f>SUM(CO56:CX56)*Inicio!$W$13</f>
        <v>0</v>
      </c>
      <c r="EC56" s="4">
        <f>SUM(CY56:DH56)*Inicio!$W$11</f>
        <v>0</v>
      </c>
      <c r="ED56" s="4">
        <f>SUM(DI56:DR56)*Inicio!$W$12</f>
        <v>0</v>
      </c>
      <c r="EE56" s="4">
        <f t="shared" si="0"/>
        <v>0</v>
      </c>
      <c r="EF56" s="4">
        <f t="shared" si="4"/>
        <v>0</v>
      </c>
      <c r="EG56" s="4">
        <f t="shared" si="1"/>
        <v>0</v>
      </c>
      <c r="EH56" s="4">
        <f t="shared" si="4"/>
        <v>0</v>
      </c>
    </row>
    <row r="57" spans="2:138" ht="20.25" customHeight="1" x14ac:dyDescent="0.3">
      <c r="B57" s="27" t="s">
        <v>73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3">
        <f>SUM(C57:L57)*Inicio!$W$4</f>
        <v>0</v>
      </c>
      <c r="DT57" s="3">
        <f>SUM(M57:V57)*Inicio!$W$5</f>
        <v>0</v>
      </c>
      <c r="DU57" s="3">
        <f>SUM(W57:AF57)*Inicio!$W$6</f>
        <v>0</v>
      </c>
      <c r="DV57" s="3">
        <f>SUM(AG57:AP57)*Inicio!$W$7</f>
        <v>0</v>
      </c>
      <c r="DW57" s="3">
        <f>SUM(AQ57:AZ57)*Inicio!$W$8</f>
        <v>0</v>
      </c>
      <c r="DX57" s="3">
        <f>SUM(BA57:BJ57)*Inicio!$W$9</f>
        <v>0</v>
      </c>
      <c r="DY57" s="3">
        <f>SUM(BK57:BT57)*Inicio!$W$10</f>
        <v>0</v>
      </c>
      <c r="DZ57" s="3">
        <f>SUM(BU57:CD57)*Inicio!$W$11</f>
        <v>0</v>
      </c>
      <c r="EA57" s="3">
        <f>SUM(CE57:CN57)*Inicio!$W$12</f>
        <v>0</v>
      </c>
      <c r="EB57" s="3">
        <f>SUM(CO57:CX57)*Inicio!$W$13</f>
        <v>0</v>
      </c>
      <c r="EC57" s="3">
        <f>SUM(CY57:DH57)*Inicio!$W$11</f>
        <v>0</v>
      </c>
      <c r="ED57" s="3">
        <f>SUM(DI57:DR57)*Inicio!$W$12</f>
        <v>0</v>
      </c>
      <c r="EE57" s="3">
        <f t="shared" si="0"/>
        <v>0</v>
      </c>
      <c r="EF57" s="3">
        <f t="shared" si="4"/>
        <v>0</v>
      </c>
      <c r="EG57" s="3">
        <f t="shared" si="1"/>
        <v>0</v>
      </c>
      <c r="EH57" s="3">
        <f t="shared" si="4"/>
        <v>0</v>
      </c>
    </row>
    <row r="58" spans="2:138" ht="20.25" customHeight="1" x14ac:dyDescent="0.3">
      <c r="B58" s="28" t="s">
        <v>74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4">
        <f>SUM(C58:L58)*Inicio!$W$4</f>
        <v>0</v>
      </c>
      <c r="DT58" s="4">
        <f>SUM(M58:V58)*Inicio!$W$5</f>
        <v>0</v>
      </c>
      <c r="DU58" s="4">
        <f>SUM(W58:AF58)*Inicio!$W$6</f>
        <v>0</v>
      </c>
      <c r="DV58" s="4">
        <f>SUM(AG58:AP58)*Inicio!$W$7</f>
        <v>0</v>
      </c>
      <c r="DW58" s="4">
        <f>SUM(AQ58:AZ58)*Inicio!$W$8</f>
        <v>0</v>
      </c>
      <c r="DX58" s="4">
        <f>SUM(BA58:BJ58)*Inicio!$W$9</f>
        <v>0</v>
      </c>
      <c r="DY58" s="4">
        <f>SUM(BK58:BT58)*Inicio!$W$10</f>
        <v>0</v>
      </c>
      <c r="DZ58" s="4">
        <f>SUM(BU58:CD58)*Inicio!$W$11</f>
        <v>0</v>
      </c>
      <c r="EA58" s="4">
        <f>SUM(CE58:CN58)*Inicio!$W$12</f>
        <v>0</v>
      </c>
      <c r="EB58" s="4">
        <f>SUM(CO58:CX58)*Inicio!$W$13</f>
        <v>0</v>
      </c>
      <c r="EC58" s="4">
        <f>SUM(CY58:DH58)*Inicio!$W$11</f>
        <v>0</v>
      </c>
      <c r="ED58" s="4">
        <f>SUM(DI58:DR58)*Inicio!$W$12</f>
        <v>0</v>
      </c>
      <c r="EE58" s="4">
        <f t="shared" si="0"/>
        <v>0</v>
      </c>
      <c r="EF58" s="4">
        <f t="shared" si="4"/>
        <v>0</v>
      </c>
      <c r="EG58" s="4">
        <f t="shared" si="1"/>
        <v>0</v>
      </c>
      <c r="EH58" s="4">
        <f t="shared" si="4"/>
        <v>0</v>
      </c>
    </row>
    <row r="59" spans="2:138" ht="20.25" customHeight="1" x14ac:dyDescent="0.3">
      <c r="B59" s="28" t="s">
        <v>75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4">
        <f>SUM(C59:L59)*Inicio!$W$4</f>
        <v>0</v>
      </c>
      <c r="DT59" s="4">
        <f>SUM(M59:V59)*Inicio!$W$5</f>
        <v>0</v>
      </c>
      <c r="DU59" s="4">
        <f>SUM(W59:AF59)*Inicio!$W$6</f>
        <v>0</v>
      </c>
      <c r="DV59" s="4">
        <f>SUM(AG59:AP59)*Inicio!$W$7</f>
        <v>0</v>
      </c>
      <c r="DW59" s="4">
        <f>SUM(AQ59:AZ59)*Inicio!$W$8</f>
        <v>0</v>
      </c>
      <c r="DX59" s="4">
        <f>SUM(BA59:BJ59)*Inicio!$W$9</f>
        <v>0</v>
      </c>
      <c r="DY59" s="4">
        <f>SUM(BK59:BT59)*Inicio!$W$10</f>
        <v>0</v>
      </c>
      <c r="DZ59" s="4">
        <f>SUM(BU59:CD59)*Inicio!$W$11</f>
        <v>0</v>
      </c>
      <c r="EA59" s="4">
        <f>SUM(CE59:CN59)*Inicio!$W$12</f>
        <v>0</v>
      </c>
      <c r="EB59" s="4">
        <f>SUM(CO59:CX59)*Inicio!$W$13</f>
        <v>0</v>
      </c>
      <c r="EC59" s="4">
        <f>SUM(CY59:DH59)*Inicio!$W$11</f>
        <v>0</v>
      </c>
      <c r="ED59" s="4">
        <f>SUM(DI59:DR59)*Inicio!$W$12</f>
        <v>0</v>
      </c>
      <c r="EE59" s="4">
        <f t="shared" si="0"/>
        <v>0</v>
      </c>
      <c r="EF59" s="4">
        <f t="shared" si="4"/>
        <v>0</v>
      </c>
      <c r="EG59" s="4">
        <f t="shared" si="1"/>
        <v>0</v>
      </c>
      <c r="EH59" s="4">
        <f t="shared" si="4"/>
        <v>0</v>
      </c>
    </row>
    <row r="60" spans="2:138" ht="20.25" customHeight="1" x14ac:dyDescent="0.3">
      <c r="B60" s="26" t="s">
        <v>76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5">
        <f>SUM(C60:L60)*Inicio!$W$4</f>
        <v>0</v>
      </c>
      <c r="DT60" s="5">
        <f>SUM(M60:V60)*Inicio!$W$5</f>
        <v>0</v>
      </c>
      <c r="DU60" s="5">
        <f>SUM(W60:AF60)*Inicio!$W$6</f>
        <v>0</v>
      </c>
      <c r="DV60" s="5">
        <f>SUM(AG60:AP60)*Inicio!$W$7</f>
        <v>0</v>
      </c>
      <c r="DW60" s="5">
        <f>SUM(AQ60:AZ60)*Inicio!$W$8</f>
        <v>0</v>
      </c>
      <c r="DX60" s="5">
        <f>SUM(BA60:BJ60)*Inicio!$W$9</f>
        <v>0</v>
      </c>
      <c r="DY60" s="5">
        <f>SUM(BK60:BT60)*Inicio!$W$10</f>
        <v>0</v>
      </c>
      <c r="DZ60" s="5">
        <f>SUM(BU60:CD60)*Inicio!$W$11</f>
        <v>0</v>
      </c>
      <c r="EA60" s="5">
        <f>SUM(CE60:CN60)*Inicio!$W$12</f>
        <v>0</v>
      </c>
      <c r="EB60" s="5">
        <f>SUM(CO60:CX60)*Inicio!$W$13</f>
        <v>0</v>
      </c>
      <c r="EC60" s="5">
        <f>SUM(CY60:DH60)*Inicio!$W$11</f>
        <v>0</v>
      </c>
      <c r="ED60" s="5">
        <f>SUM(DI60:DR60)*Inicio!$W$12</f>
        <v>0</v>
      </c>
      <c r="EE60" s="5">
        <f t="shared" si="0"/>
        <v>0</v>
      </c>
      <c r="EF60" s="5">
        <f t="shared" si="4"/>
        <v>0</v>
      </c>
      <c r="EG60" s="5">
        <f t="shared" si="1"/>
        <v>0</v>
      </c>
      <c r="EH60" s="5">
        <f t="shared" si="4"/>
        <v>0</v>
      </c>
    </row>
    <row r="61" spans="2:138" ht="20.25" customHeight="1" x14ac:dyDescent="0.3">
      <c r="B61" s="27" t="s">
        <v>77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3">
        <f>SUM(C61:L61)*Inicio!$W$4</f>
        <v>0</v>
      </c>
      <c r="DT61" s="3">
        <f>SUM(M61:V61)*Inicio!$W$5</f>
        <v>0</v>
      </c>
      <c r="DU61" s="3">
        <f>SUM(W61:AF61)*Inicio!$W$6</f>
        <v>0</v>
      </c>
      <c r="DV61" s="3">
        <f>SUM(AG61:AP61)*Inicio!$W$7</f>
        <v>0</v>
      </c>
      <c r="DW61" s="3">
        <f>SUM(AQ61:AZ61)*Inicio!$W$8</f>
        <v>0</v>
      </c>
      <c r="DX61" s="3">
        <f>SUM(BA61:BJ61)*Inicio!$W$9</f>
        <v>0</v>
      </c>
      <c r="DY61" s="3">
        <f>SUM(BK61:BT61)*Inicio!$W$10</f>
        <v>0</v>
      </c>
      <c r="DZ61" s="3">
        <f>SUM(BU61:CD61)*Inicio!$W$11</f>
        <v>0</v>
      </c>
      <c r="EA61" s="3">
        <f>SUM(CE61:CN61)*Inicio!$W$12</f>
        <v>0</v>
      </c>
      <c r="EB61" s="3">
        <f>SUM(CO61:CX61)*Inicio!$W$13</f>
        <v>0</v>
      </c>
      <c r="EC61" s="3">
        <f>SUM(CY61:DH61)*Inicio!$W$11</f>
        <v>0</v>
      </c>
      <c r="ED61" s="3">
        <f>SUM(DI61:DR61)*Inicio!$W$12</f>
        <v>0</v>
      </c>
      <c r="EE61" s="3">
        <f t="shared" si="0"/>
        <v>0</v>
      </c>
      <c r="EF61" s="3">
        <f t="shared" si="4"/>
        <v>0</v>
      </c>
      <c r="EG61" s="3">
        <f t="shared" si="1"/>
        <v>0</v>
      </c>
      <c r="EH61" s="3">
        <f t="shared" si="4"/>
        <v>0</v>
      </c>
    </row>
    <row r="62" spans="2:138" ht="20.25" customHeight="1" x14ac:dyDescent="0.3">
      <c r="B62" s="28" t="s">
        <v>78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4">
        <f>SUM(C62:L62)*Inicio!$W$4</f>
        <v>0</v>
      </c>
      <c r="DT62" s="4">
        <f>SUM(M62:V62)*Inicio!$W$5</f>
        <v>0</v>
      </c>
      <c r="DU62" s="4">
        <f>SUM(W62:AF62)*Inicio!$W$6</f>
        <v>0</v>
      </c>
      <c r="DV62" s="4">
        <f>SUM(AG62:AP62)*Inicio!$W$7</f>
        <v>0</v>
      </c>
      <c r="DW62" s="4">
        <f>SUM(AQ62:AZ62)*Inicio!$W$8</f>
        <v>0</v>
      </c>
      <c r="DX62" s="4">
        <f>SUM(BA62:BJ62)*Inicio!$W$9</f>
        <v>0</v>
      </c>
      <c r="DY62" s="4">
        <f>SUM(BK62:BT62)*Inicio!$W$10</f>
        <v>0</v>
      </c>
      <c r="DZ62" s="4">
        <f>SUM(BU62:CD62)*Inicio!$W$11</f>
        <v>0</v>
      </c>
      <c r="EA62" s="4">
        <f>SUM(CE62:CN62)*Inicio!$W$12</f>
        <v>0</v>
      </c>
      <c r="EB62" s="4">
        <f>SUM(CO62:CX62)*Inicio!$W$13</f>
        <v>0</v>
      </c>
      <c r="EC62" s="4">
        <f>SUM(CY62:DH62)*Inicio!$W$11</f>
        <v>0</v>
      </c>
      <c r="ED62" s="4">
        <f>SUM(DI62:DR62)*Inicio!$W$12</f>
        <v>0</v>
      </c>
      <c r="EE62" s="4">
        <f t="shared" si="0"/>
        <v>0</v>
      </c>
      <c r="EF62" s="4">
        <f t="shared" ref="EF62:EH77" si="5">SUM(EE59:EE62)</f>
        <v>0</v>
      </c>
      <c r="EG62" s="4">
        <f t="shared" si="1"/>
        <v>0</v>
      </c>
      <c r="EH62" s="4">
        <f t="shared" si="5"/>
        <v>0</v>
      </c>
    </row>
    <row r="63" spans="2:138" ht="20.25" customHeight="1" x14ac:dyDescent="0.3">
      <c r="B63" s="28" t="s">
        <v>79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4">
        <f>SUM(C63:L63)*Inicio!$W$4</f>
        <v>0</v>
      </c>
      <c r="DT63" s="4">
        <f>SUM(M63:V63)*Inicio!$W$5</f>
        <v>0</v>
      </c>
      <c r="DU63" s="4">
        <f>SUM(W63:AF63)*Inicio!$W$6</f>
        <v>0</v>
      </c>
      <c r="DV63" s="4">
        <f>SUM(AG63:AP63)*Inicio!$W$7</f>
        <v>0</v>
      </c>
      <c r="DW63" s="4">
        <f>SUM(AQ63:AZ63)*Inicio!$W$8</f>
        <v>0</v>
      </c>
      <c r="DX63" s="4">
        <f>SUM(BA63:BJ63)*Inicio!$W$9</f>
        <v>0</v>
      </c>
      <c r="DY63" s="4">
        <f>SUM(BK63:BT63)*Inicio!$W$10</f>
        <v>0</v>
      </c>
      <c r="DZ63" s="4">
        <f>SUM(BU63:CD63)*Inicio!$W$11</f>
        <v>0</v>
      </c>
      <c r="EA63" s="4">
        <f>SUM(CE63:CN63)*Inicio!$W$12</f>
        <v>0</v>
      </c>
      <c r="EB63" s="4">
        <f>SUM(CO63:CX63)*Inicio!$W$13</f>
        <v>0</v>
      </c>
      <c r="EC63" s="4">
        <f>SUM(CY63:DH63)*Inicio!$W$11</f>
        <v>0</v>
      </c>
      <c r="ED63" s="4">
        <f>SUM(DI63:DR63)*Inicio!$W$12</f>
        <v>0</v>
      </c>
      <c r="EE63" s="4">
        <f t="shared" si="0"/>
        <v>0</v>
      </c>
      <c r="EF63" s="4">
        <f t="shared" si="5"/>
        <v>0</v>
      </c>
      <c r="EG63" s="4">
        <f t="shared" si="1"/>
        <v>0</v>
      </c>
      <c r="EH63" s="4">
        <f t="shared" si="5"/>
        <v>0</v>
      </c>
    </row>
    <row r="64" spans="2:138" ht="20.25" customHeight="1" x14ac:dyDescent="0.3">
      <c r="B64" s="26" t="s">
        <v>80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5">
        <f>SUM(C64:L64)*Inicio!$W$4</f>
        <v>0</v>
      </c>
      <c r="DT64" s="5">
        <f>SUM(M64:V64)*Inicio!$W$5</f>
        <v>0</v>
      </c>
      <c r="DU64" s="5">
        <f>SUM(W64:AF64)*Inicio!$W$6</f>
        <v>0</v>
      </c>
      <c r="DV64" s="5">
        <f>SUM(AG64:AP64)*Inicio!$W$7</f>
        <v>0</v>
      </c>
      <c r="DW64" s="5">
        <f>SUM(AQ64:AZ64)*Inicio!$W$8</f>
        <v>0</v>
      </c>
      <c r="DX64" s="5">
        <f>SUM(BA64:BJ64)*Inicio!$W$9</f>
        <v>0</v>
      </c>
      <c r="DY64" s="5">
        <f>SUM(BK64:BT64)*Inicio!$W$10</f>
        <v>0</v>
      </c>
      <c r="DZ64" s="5">
        <f>SUM(BU64:CD64)*Inicio!$W$11</f>
        <v>0</v>
      </c>
      <c r="EA64" s="5">
        <f>SUM(CE64:CN64)*Inicio!$W$12</f>
        <v>0</v>
      </c>
      <c r="EB64" s="5">
        <f>SUM(CO64:CX64)*Inicio!$W$13</f>
        <v>0</v>
      </c>
      <c r="EC64" s="5">
        <f>SUM(CY64:DH64)*Inicio!$W$11</f>
        <v>0</v>
      </c>
      <c r="ED64" s="5">
        <f>SUM(DI64:DR64)*Inicio!$W$12</f>
        <v>0</v>
      </c>
      <c r="EE64" s="5">
        <f t="shared" si="0"/>
        <v>0</v>
      </c>
      <c r="EF64" s="5">
        <f t="shared" si="5"/>
        <v>0</v>
      </c>
      <c r="EG64" s="5">
        <f t="shared" si="1"/>
        <v>0</v>
      </c>
      <c r="EH64" s="5">
        <f t="shared" si="5"/>
        <v>0</v>
      </c>
    </row>
    <row r="65" spans="2:138" ht="20.25" customHeight="1" x14ac:dyDescent="0.3">
      <c r="B65" s="27" t="s">
        <v>81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3">
        <f>SUM(C65:L65)*Inicio!$W$4</f>
        <v>0</v>
      </c>
      <c r="DT65" s="3">
        <f>SUM(M65:V65)*Inicio!$W$5</f>
        <v>0</v>
      </c>
      <c r="DU65" s="3">
        <f>SUM(W65:AF65)*Inicio!$W$6</f>
        <v>0</v>
      </c>
      <c r="DV65" s="3">
        <f>SUM(AG65:AP65)*Inicio!$W$7</f>
        <v>0</v>
      </c>
      <c r="DW65" s="3">
        <f>SUM(AQ65:AZ65)*Inicio!$W$8</f>
        <v>0</v>
      </c>
      <c r="DX65" s="3">
        <f>SUM(BA65:BJ65)*Inicio!$W$9</f>
        <v>0</v>
      </c>
      <c r="DY65" s="3">
        <f>SUM(BK65:BT65)*Inicio!$W$10</f>
        <v>0</v>
      </c>
      <c r="DZ65" s="3">
        <f>SUM(BU65:CD65)*Inicio!$W$11</f>
        <v>0</v>
      </c>
      <c r="EA65" s="3">
        <f>SUM(CE65:CN65)*Inicio!$W$12</f>
        <v>0</v>
      </c>
      <c r="EB65" s="3">
        <f>SUM(CO65:CX65)*Inicio!$W$13</f>
        <v>0</v>
      </c>
      <c r="EC65" s="3">
        <f>SUM(CY65:DH65)*Inicio!$W$11</f>
        <v>0</v>
      </c>
      <c r="ED65" s="3">
        <f>SUM(DI65:DR65)*Inicio!$W$12</f>
        <v>0</v>
      </c>
      <c r="EE65" s="3">
        <f t="shared" si="0"/>
        <v>0</v>
      </c>
      <c r="EF65" s="3">
        <f t="shared" si="5"/>
        <v>0</v>
      </c>
      <c r="EG65" s="3">
        <f t="shared" si="1"/>
        <v>0</v>
      </c>
      <c r="EH65" s="3">
        <f t="shared" si="5"/>
        <v>0</v>
      </c>
    </row>
    <row r="66" spans="2:138" ht="20.25" customHeight="1" x14ac:dyDescent="0.3">
      <c r="B66" s="28" t="s">
        <v>82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4">
        <f>SUM(C66:L66)*Inicio!$W$4</f>
        <v>0</v>
      </c>
      <c r="DT66" s="4">
        <f>SUM(M66:V66)*Inicio!$W$5</f>
        <v>0</v>
      </c>
      <c r="DU66" s="4">
        <f>SUM(W66:AF66)*Inicio!$W$6</f>
        <v>0</v>
      </c>
      <c r="DV66" s="4">
        <f>SUM(AG66:AP66)*Inicio!$W$7</f>
        <v>0</v>
      </c>
      <c r="DW66" s="4">
        <f>SUM(AQ66:AZ66)*Inicio!$W$8</f>
        <v>0</v>
      </c>
      <c r="DX66" s="4">
        <f>SUM(BA66:BJ66)*Inicio!$W$9</f>
        <v>0</v>
      </c>
      <c r="DY66" s="4">
        <f>SUM(BK66:BT66)*Inicio!$W$10</f>
        <v>0</v>
      </c>
      <c r="DZ66" s="4">
        <f>SUM(BU66:CD66)*Inicio!$W$11</f>
        <v>0</v>
      </c>
      <c r="EA66" s="4">
        <f>SUM(CE66:CN66)*Inicio!$W$12</f>
        <v>0</v>
      </c>
      <c r="EB66" s="4">
        <f>SUM(CO66:CX66)*Inicio!$W$13</f>
        <v>0</v>
      </c>
      <c r="EC66" s="4">
        <f>SUM(CY66:DH66)*Inicio!$W$11</f>
        <v>0</v>
      </c>
      <c r="ED66" s="4">
        <f>SUM(DI66:DR66)*Inicio!$W$12</f>
        <v>0</v>
      </c>
      <c r="EE66" s="4">
        <f t="shared" si="0"/>
        <v>0</v>
      </c>
      <c r="EF66" s="4">
        <f t="shared" si="5"/>
        <v>0</v>
      </c>
      <c r="EG66" s="4">
        <f t="shared" si="1"/>
        <v>0</v>
      </c>
      <c r="EH66" s="4">
        <f t="shared" si="5"/>
        <v>0</v>
      </c>
    </row>
    <row r="67" spans="2:138" ht="20.25" customHeight="1" x14ac:dyDescent="0.3">
      <c r="B67" s="28" t="s">
        <v>83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4">
        <f>SUM(C67:L67)*Inicio!$W$4</f>
        <v>0</v>
      </c>
      <c r="DT67" s="4">
        <f>SUM(M67:V67)*Inicio!$W$5</f>
        <v>0</v>
      </c>
      <c r="DU67" s="4">
        <f>SUM(W67:AF67)*Inicio!$W$6</f>
        <v>0</v>
      </c>
      <c r="DV67" s="4">
        <f>SUM(AG67:AP67)*Inicio!$W$7</f>
        <v>0</v>
      </c>
      <c r="DW67" s="4">
        <f>SUM(AQ67:AZ67)*Inicio!$W$8</f>
        <v>0</v>
      </c>
      <c r="DX67" s="4">
        <f>SUM(BA67:BJ67)*Inicio!$W$9</f>
        <v>0</v>
      </c>
      <c r="DY67" s="4">
        <f>SUM(BK67:BT67)*Inicio!$W$10</f>
        <v>0</v>
      </c>
      <c r="DZ67" s="4">
        <f>SUM(BU67:CD67)*Inicio!$W$11</f>
        <v>0</v>
      </c>
      <c r="EA67" s="4">
        <f>SUM(CE67:CN67)*Inicio!$W$12</f>
        <v>0</v>
      </c>
      <c r="EB67" s="4">
        <f>SUM(CO67:CX67)*Inicio!$W$13</f>
        <v>0</v>
      </c>
      <c r="EC67" s="4">
        <f>SUM(CY67:DH67)*Inicio!$W$11</f>
        <v>0</v>
      </c>
      <c r="ED67" s="4">
        <f>SUM(DI67:DR67)*Inicio!$W$12</f>
        <v>0</v>
      </c>
      <c r="EE67" s="4">
        <f t="shared" si="0"/>
        <v>0</v>
      </c>
      <c r="EF67" s="4">
        <f t="shared" si="5"/>
        <v>0</v>
      </c>
      <c r="EG67" s="4">
        <f t="shared" si="1"/>
        <v>0</v>
      </c>
      <c r="EH67" s="4">
        <f t="shared" si="5"/>
        <v>0</v>
      </c>
    </row>
    <row r="68" spans="2:138" ht="20.25" customHeight="1" x14ac:dyDescent="0.3">
      <c r="B68" s="26" t="s">
        <v>84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5">
        <f>SUM(C68:L68)*Inicio!$W$4</f>
        <v>0</v>
      </c>
      <c r="DT68" s="5">
        <f>SUM(M68:V68)*Inicio!$W$5</f>
        <v>0</v>
      </c>
      <c r="DU68" s="5">
        <f>SUM(W68:AF68)*Inicio!$W$6</f>
        <v>0</v>
      </c>
      <c r="DV68" s="5">
        <f>SUM(AG68:AP68)*Inicio!$W$7</f>
        <v>0</v>
      </c>
      <c r="DW68" s="5">
        <f>SUM(AQ68:AZ68)*Inicio!$W$8</f>
        <v>0</v>
      </c>
      <c r="DX68" s="5">
        <f>SUM(BA68:BJ68)*Inicio!$W$9</f>
        <v>0</v>
      </c>
      <c r="DY68" s="5">
        <f>SUM(BK68:BT68)*Inicio!$W$10</f>
        <v>0</v>
      </c>
      <c r="DZ68" s="5">
        <f>SUM(BU68:CD68)*Inicio!$W$11</f>
        <v>0</v>
      </c>
      <c r="EA68" s="5">
        <f>SUM(CE68:CN68)*Inicio!$W$12</f>
        <v>0</v>
      </c>
      <c r="EB68" s="5">
        <f>SUM(CO68:CX68)*Inicio!$W$13</f>
        <v>0</v>
      </c>
      <c r="EC68" s="5">
        <f>SUM(CY68:DH68)*Inicio!$W$11</f>
        <v>0</v>
      </c>
      <c r="ED68" s="5">
        <f>SUM(DI68:DR68)*Inicio!$W$12</f>
        <v>0</v>
      </c>
      <c r="EE68" s="5">
        <f t="shared" si="0"/>
        <v>0</v>
      </c>
      <c r="EF68" s="5">
        <f t="shared" si="5"/>
        <v>0</v>
      </c>
      <c r="EG68" s="5">
        <f t="shared" si="1"/>
        <v>0</v>
      </c>
      <c r="EH68" s="5">
        <f t="shared" si="5"/>
        <v>0</v>
      </c>
    </row>
    <row r="69" spans="2:138" ht="20.25" customHeight="1" x14ac:dyDescent="0.3">
      <c r="B69" s="27" t="s">
        <v>85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3">
        <f>SUM(C69:L69)*Inicio!$W$4</f>
        <v>0</v>
      </c>
      <c r="DT69" s="3">
        <f>SUM(M69:V69)*Inicio!$W$5</f>
        <v>0</v>
      </c>
      <c r="DU69" s="3">
        <f>SUM(W69:AF69)*Inicio!$W$6</f>
        <v>0</v>
      </c>
      <c r="DV69" s="3">
        <f>SUM(AG69:AP69)*Inicio!$W$7</f>
        <v>0</v>
      </c>
      <c r="DW69" s="3">
        <f>SUM(AQ69:AZ69)*Inicio!$W$8</f>
        <v>0</v>
      </c>
      <c r="DX69" s="3">
        <f>SUM(BA69:BJ69)*Inicio!$W$9</f>
        <v>0</v>
      </c>
      <c r="DY69" s="3">
        <f>SUM(BK69:BT69)*Inicio!$W$10</f>
        <v>0</v>
      </c>
      <c r="DZ69" s="3">
        <f>SUM(BU69:CD69)*Inicio!$W$11</f>
        <v>0</v>
      </c>
      <c r="EA69" s="3">
        <f>SUM(CE69:CN69)*Inicio!$W$12</f>
        <v>0</v>
      </c>
      <c r="EB69" s="3">
        <f>SUM(CO69:CX69)*Inicio!$W$13</f>
        <v>0</v>
      </c>
      <c r="EC69" s="3">
        <f>SUM(CY69:DH69)*Inicio!$W$11</f>
        <v>0</v>
      </c>
      <c r="ED69" s="3">
        <f>SUM(DI69:DR69)*Inicio!$W$12</f>
        <v>0</v>
      </c>
      <c r="EE69" s="3">
        <f t="shared" si="0"/>
        <v>0</v>
      </c>
      <c r="EF69" s="3">
        <f t="shared" si="5"/>
        <v>0</v>
      </c>
      <c r="EG69" s="3">
        <f t="shared" si="1"/>
        <v>0</v>
      </c>
      <c r="EH69" s="3">
        <f t="shared" si="5"/>
        <v>0</v>
      </c>
    </row>
    <row r="70" spans="2:138" ht="20.25" customHeight="1" x14ac:dyDescent="0.3">
      <c r="B70" s="28" t="s">
        <v>86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4">
        <f>SUM(C70:L70)*Inicio!$W$4</f>
        <v>0</v>
      </c>
      <c r="DT70" s="4">
        <f>SUM(M70:V70)*Inicio!$W$5</f>
        <v>0</v>
      </c>
      <c r="DU70" s="4">
        <f>SUM(W70:AF70)*Inicio!$W$6</f>
        <v>0</v>
      </c>
      <c r="DV70" s="4">
        <f>SUM(AG70:AP70)*Inicio!$W$7</f>
        <v>0</v>
      </c>
      <c r="DW70" s="4">
        <f>SUM(AQ70:AZ70)*Inicio!$W$8</f>
        <v>0</v>
      </c>
      <c r="DX70" s="4">
        <f>SUM(BA70:BJ70)*Inicio!$W$9</f>
        <v>0</v>
      </c>
      <c r="DY70" s="4">
        <f>SUM(BK70:BT70)*Inicio!$W$10</f>
        <v>0</v>
      </c>
      <c r="DZ70" s="4">
        <f>SUM(BU70:CD70)*Inicio!$W$11</f>
        <v>0</v>
      </c>
      <c r="EA70" s="4">
        <f>SUM(CE70:CN70)*Inicio!$W$12</f>
        <v>0</v>
      </c>
      <c r="EB70" s="4">
        <f>SUM(CO70:CX70)*Inicio!$W$13</f>
        <v>0</v>
      </c>
      <c r="EC70" s="4">
        <f>SUM(CY70:DH70)*Inicio!$W$11</f>
        <v>0</v>
      </c>
      <c r="ED70" s="4">
        <f>SUM(DI70:DR70)*Inicio!$W$12</f>
        <v>0</v>
      </c>
      <c r="EE70" s="4">
        <f t="shared" si="0"/>
        <v>0</v>
      </c>
      <c r="EF70" s="4">
        <f t="shared" si="5"/>
        <v>0</v>
      </c>
      <c r="EG70" s="4">
        <f t="shared" si="1"/>
        <v>0</v>
      </c>
      <c r="EH70" s="4">
        <f t="shared" si="5"/>
        <v>0</v>
      </c>
    </row>
    <row r="71" spans="2:138" ht="20.25" customHeight="1" x14ac:dyDescent="0.3">
      <c r="B71" s="28" t="s">
        <v>87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4">
        <f>SUM(C71:L71)*Inicio!$W$4</f>
        <v>0</v>
      </c>
      <c r="DT71" s="4">
        <f>SUM(M71:V71)*Inicio!$W$5</f>
        <v>0</v>
      </c>
      <c r="DU71" s="4">
        <f>SUM(W71:AF71)*Inicio!$W$6</f>
        <v>0</v>
      </c>
      <c r="DV71" s="4">
        <f>SUM(AG71:AP71)*Inicio!$W$7</f>
        <v>0</v>
      </c>
      <c r="DW71" s="4">
        <f>SUM(AQ71:AZ71)*Inicio!$W$8</f>
        <v>0</v>
      </c>
      <c r="DX71" s="4">
        <f>SUM(BA71:BJ71)*Inicio!$W$9</f>
        <v>0</v>
      </c>
      <c r="DY71" s="4">
        <f>SUM(BK71:BT71)*Inicio!$W$10</f>
        <v>0</v>
      </c>
      <c r="DZ71" s="4">
        <f>SUM(BU71:CD71)*Inicio!$W$11</f>
        <v>0</v>
      </c>
      <c r="EA71" s="4">
        <f>SUM(CE71:CN71)*Inicio!$W$12</f>
        <v>0</v>
      </c>
      <c r="EB71" s="4">
        <f>SUM(CO71:CX71)*Inicio!$W$13</f>
        <v>0</v>
      </c>
      <c r="EC71" s="4">
        <f>SUM(CY71:DH71)*Inicio!$W$11</f>
        <v>0</v>
      </c>
      <c r="ED71" s="4">
        <f>SUM(DI71:DR71)*Inicio!$W$12</f>
        <v>0</v>
      </c>
      <c r="EE71" s="4">
        <f t="shared" si="0"/>
        <v>0</v>
      </c>
      <c r="EF71" s="4">
        <f t="shared" si="5"/>
        <v>0</v>
      </c>
      <c r="EG71" s="4">
        <f t="shared" si="1"/>
        <v>0</v>
      </c>
      <c r="EH71" s="4">
        <f t="shared" si="5"/>
        <v>0</v>
      </c>
    </row>
    <row r="72" spans="2:138" ht="20.25" customHeight="1" x14ac:dyDescent="0.3">
      <c r="B72" s="26" t="s">
        <v>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5">
        <f>SUM(C72:L72)*Inicio!$W$4</f>
        <v>0</v>
      </c>
      <c r="DT72" s="5">
        <f>SUM(M72:V72)*Inicio!$W$5</f>
        <v>0</v>
      </c>
      <c r="DU72" s="5">
        <f>SUM(W72:AF72)*Inicio!$W$6</f>
        <v>0</v>
      </c>
      <c r="DV72" s="5">
        <f>SUM(AG72:AP72)*Inicio!$W$7</f>
        <v>0</v>
      </c>
      <c r="DW72" s="5">
        <f>SUM(AQ72:AZ72)*Inicio!$W$8</f>
        <v>0</v>
      </c>
      <c r="DX72" s="5">
        <f>SUM(BA72:BJ72)*Inicio!$W$9</f>
        <v>0</v>
      </c>
      <c r="DY72" s="5">
        <f>SUM(BK72:BT72)*Inicio!$W$10</f>
        <v>0</v>
      </c>
      <c r="DZ72" s="5">
        <f>SUM(BU72:CD72)*Inicio!$W$11</f>
        <v>0</v>
      </c>
      <c r="EA72" s="5">
        <f>SUM(CE72:CN72)*Inicio!$W$12</f>
        <v>0</v>
      </c>
      <c r="EB72" s="5">
        <f>SUM(CO72:CX72)*Inicio!$W$13</f>
        <v>0</v>
      </c>
      <c r="EC72" s="5">
        <f>SUM(CY72:DH72)*Inicio!$W$11</f>
        <v>0</v>
      </c>
      <c r="ED72" s="5">
        <f>SUM(DI72:DR72)*Inicio!$W$12</f>
        <v>0</v>
      </c>
      <c r="EE72" s="5">
        <f t="shared" si="0"/>
        <v>0</v>
      </c>
      <c r="EF72" s="5">
        <f t="shared" si="5"/>
        <v>0</v>
      </c>
      <c r="EG72" s="5">
        <f t="shared" si="1"/>
        <v>0</v>
      </c>
      <c r="EH72" s="5">
        <f t="shared" si="5"/>
        <v>0</v>
      </c>
    </row>
    <row r="73" spans="2:138" ht="20.25" customHeight="1" x14ac:dyDescent="0.3">
      <c r="B73" s="27" t="s">
        <v>89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3">
        <f>SUM(C73:L73)*Inicio!$W$4</f>
        <v>0</v>
      </c>
      <c r="DT73" s="3">
        <f>SUM(M73:V73)*Inicio!$W$5</f>
        <v>0</v>
      </c>
      <c r="DU73" s="3">
        <f>SUM(W73:AF73)*Inicio!$W$6</f>
        <v>0</v>
      </c>
      <c r="DV73" s="3">
        <f>SUM(AG73:AP73)*Inicio!$W$7</f>
        <v>0</v>
      </c>
      <c r="DW73" s="3">
        <f>SUM(AQ73:AZ73)*Inicio!$W$8</f>
        <v>0</v>
      </c>
      <c r="DX73" s="3">
        <f>SUM(BA73:BJ73)*Inicio!$W$9</f>
        <v>0</v>
      </c>
      <c r="DY73" s="3">
        <f>SUM(BK73:BT73)*Inicio!$W$10</f>
        <v>0</v>
      </c>
      <c r="DZ73" s="3">
        <f>SUM(BU73:CD73)*Inicio!$W$11</f>
        <v>0</v>
      </c>
      <c r="EA73" s="3">
        <f>SUM(CE73:CN73)*Inicio!$W$12</f>
        <v>0</v>
      </c>
      <c r="EB73" s="3">
        <f>SUM(CO73:CX73)*Inicio!$W$13</f>
        <v>0</v>
      </c>
      <c r="EC73" s="3">
        <f>SUM(CY73:DH73)*Inicio!$W$11</f>
        <v>0</v>
      </c>
      <c r="ED73" s="3">
        <f>SUM(DI73:DR73)*Inicio!$W$12</f>
        <v>0</v>
      </c>
      <c r="EE73" s="3">
        <f t="shared" si="0"/>
        <v>0</v>
      </c>
      <c r="EF73" s="3">
        <f t="shared" si="5"/>
        <v>0</v>
      </c>
      <c r="EG73" s="3">
        <f t="shared" si="1"/>
        <v>0</v>
      </c>
      <c r="EH73" s="3">
        <f t="shared" si="5"/>
        <v>0</v>
      </c>
    </row>
    <row r="74" spans="2:138" ht="20.25" customHeight="1" x14ac:dyDescent="0.3">
      <c r="B74" s="28" t="s">
        <v>90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4">
        <f>SUM(C74:L74)*Inicio!$W$4</f>
        <v>0</v>
      </c>
      <c r="DT74" s="4">
        <f>SUM(M74:V74)*Inicio!$W$5</f>
        <v>0</v>
      </c>
      <c r="DU74" s="4">
        <f>SUM(W74:AF74)*Inicio!$W$6</f>
        <v>0</v>
      </c>
      <c r="DV74" s="4">
        <f>SUM(AG74:AP74)*Inicio!$W$7</f>
        <v>0</v>
      </c>
      <c r="DW74" s="4">
        <f>SUM(AQ74:AZ74)*Inicio!$W$8</f>
        <v>0</v>
      </c>
      <c r="DX74" s="4">
        <f>SUM(BA74:BJ74)*Inicio!$W$9</f>
        <v>0</v>
      </c>
      <c r="DY74" s="4">
        <f>SUM(BK74:BT74)*Inicio!$W$10</f>
        <v>0</v>
      </c>
      <c r="DZ74" s="4">
        <f>SUM(BU74:CD74)*Inicio!$W$11</f>
        <v>0</v>
      </c>
      <c r="EA74" s="4">
        <f>SUM(CE74:CN74)*Inicio!$W$12</f>
        <v>0</v>
      </c>
      <c r="EB74" s="4">
        <f>SUM(CO74:CX74)*Inicio!$W$13</f>
        <v>0</v>
      </c>
      <c r="EC74" s="4">
        <f>SUM(CY74:DH74)*Inicio!$W$11</f>
        <v>0</v>
      </c>
      <c r="ED74" s="4">
        <f>SUM(DI74:DR74)*Inicio!$W$12</f>
        <v>0</v>
      </c>
      <c r="EE74" s="4">
        <f t="shared" ref="EE74:EE104" si="6">SUM(C74:DR74)</f>
        <v>0</v>
      </c>
      <c r="EF74" s="4">
        <f t="shared" si="5"/>
        <v>0</v>
      </c>
      <c r="EG74" s="4">
        <f t="shared" ref="EG74:EG104" si="7">SUM(DS74:ED74)</f>
        <v>0</v>
      </c>
      <c r="EH74" s="4">
        <f t="shared" si="5"/>
        <v>0</v>
      </c>
    </row>
    <row r="75" spans="2:138" ht="20.25" customHeight="1" x14ac:dyDescent="0.3">
      <c r="B75" s="28" t="s">
        <v>91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4">
        <f>SUM(C75:L75)*Inicio!$W$4</f>
        <v>0</v>
      </c>
      <c r="DT75" s="4">
        <f>SUM(M75:V75)*Inicio!$W$5</f>
        <v>0</v>
      </c>
      <c r="DU75" s="4">
        <f>SUM(W75:AF75)*Inicio!$W$6</f>
        <v>0</v>
      </c>
      <c r="DV75" s="4">
        <f>SUM(AG75:AP75)*Inicio!$W$7</f>
        <v>0</v>
      </c>
      <c r="DW75" s="4">
        <f>SUM(AQ75:AZ75)*Inicio!$W$8</f>
        <v>0</v>
      </c>
      <c r="DX75" s="4">
        <f>SUM(BA75:BJ75)*Inicio!$W$9</f>
        <v>0</v>
      </c>
      <c r="DY75" s="4">
        <f>SUM(BK75:BT75)*Inicio!$W$10</f>
        <v>0</v>
      </c>
      <c r="DZ75" s="4">
        <f>SUM(BU75:CD75)*Inicio!$W$11</f>
        <v>0</v>
      </c>
      <c r="EA75" s="4">
        <f>SUM(CE75:CN75)*Inicio!$W$12</f>
        <v>0</v>
      </c>
      <c r="EB75" s="4">
        <f>SUM(CO75:CX75)*Inicio!$W$13</f>
        <v>0</v>
      </c>
      <c r="EC75" s="4">
        <f>SUM(CY75:DH75)*Inicio!$W$11</f>
        <v>0</v>
      </c>
      <c r="ED75" s="4">
        <f>SUM(DI75:DR75)*Inicio!$W$12</f>
        <v>0</v>
      </c>
      <c r="EE75" s="4">
        <f t="shared" si="6"/>
        <v>0</v>
      </c>
      <c r="EF75" s="4">
        <f t="shared" si="5"/>
        <v>0</v>
      </c>
      <c r="EG75" s="4">
        <f t="shared" si="7"/>
        <v>0</v>
      </c>
      <c r="EH75" s="4">
        <f t="shared" si="5"/>
        <v>0</v>
      </c>
    </row>
    <row r="76" spans="2:138" ht="20.25" customHeight="1" x14ac:dyDescent="0.3">
      <c r="B76" s="26" t="s">
        <v>92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5">
        <f>SUM(C76:L76)*Inicio!$W$4</f>
        <v>0</v>
      </c>
      <c r="DT76" s="5">
        <f>SUM(M76:V76)*Inicio!$W$5</f>
        <v>0</v>
      </c>
      <c r="DU76" s="5">
        <f>SUM(W76:AF76)*Inicio!$W$6</f>
        <v>0</v>
      </c>
      <c r="DV76" s="5">
        <f>SUM(AG76:AP76)*Inicio!$W$7</f>
        <v>0</v>
      </c>
      <c r="DW76" s="5">
        <f>SUM(AQ76:AZ76)*Inicio!$W$8</f>
        <v>0</v>
      </c>
      <c r="DX76" s="5">
        <f>SUM(BA76:BJ76)*Inicio!$W$9</f>
        <v>0</v>
      </c>
      <c r="DY76" s="5">
        <f>SUM(BK76:BT76)*Inicio!$W$10</f>
        <v>0</v>
      </c>
      <c r="DZ76" s="5">
        <f>SUM(BU76:CD76)*Inicio!$W$11</f>
        <v>0</v>
      </c>
      <c r="EA76" s="5">
        <f>SUM(CE76:CN76)*Inicio!$W$12</f>
        <v>0</v>
      </c>
      <c r="EB76" s="5">
        <f>SUM(CO76:CX76)*Inicio!$W$13</f>
        <v>0</v>
      </c>
      <c r="EC76" s="5">
        <f>SUM(CY76:DH76)*Inicio!$W$11</f>
        <v>0</v>
      </c>
      <c r="ED76" s="5">
        <f>SUM(DI76:DR76)*Inicio!$W$12</f>
        <v>0</v>
      </c>
      <c r="EE76" s="5">
        <f t="shared" si="6"/>
        <v>0</v>
      </c>
      <c r="EF76" s="5">
        <f t="shared" si="5"/>
        <v>0</v>
      </c>
      <c r="EG76" s="5">
        <f t="shared" si="7"/>
        <v>0</v>
      </c>
      <c r="EH76" s="5">
        <f t="shared" si="5"/>
        <v>0</v>
      </c>
    </row>
    <row r="77" spans="2:138" ht="20.25" customHeight="1" x14ac:dyDescent="0.3">
      <c r="B77" s="27" t="s">
        <v>93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3">
        <f>SUM(C77:L77)*Inicio!$W$4</f>
        <v>0</v>
      </c>
      <c r="DT77" s="3">
        <f>SUM(M77:V77)*Inicio!$W$5</f>
        <v>0</v>
      </c>
      <c r="DU77" s="3">
        <f>SUM(W77:AF77)*Inicio!$W$6</f>
        <v>0</v>
      </c>
      <c r="DV77" s="3">
        <f>SUM(AG77:AP77)*Inicio!$W$7</f>
        <v>0</v>
      </c>
      <c r="DW77" s="3">
        <f>SUM(AQ77:AZ77)*Inicio!$W$8</f>
        <v>0</v>
      </c>
      <c r="DX77" s="3">
        <f>SUM(BA77:BJ77)*Inicio!$W$9</f>
        <v>0</v>
      </c>
      <c r="DY77" s="3">
        <f>SUM(BK77:BT77)*Inicio!$W$10</f>
        <v>0</v>
      </c>
      <c r="DZ77" s="3">
        <f>SUM(BU77:CD77)*Inicio!$W$11</f>
        <v>0</v>
      </c>
      <c r="EA77" s="3">
        <f>SUM(CE77:CN77)*Inicio!$W$12</f>
        <v>0</v>
      </c>
      <c r="EB77" s="3">
        <f>SUM(CO77:CX77)*Inicio!$W$13</f>
        <v>0</v>
      </c>
      <c r="EC77" s="3">
        <f>SUM(CY77:DH77)*Inicio!$W$11</f>
        <v>0</v>
      </c>
      <c r="ED77" s="3">
        <f>SUM(DI77:DR77)*Inicio!$W$12</f>
        <v>0</v>
      </c>
      <c r="EE77" s="3">
        <f t="shared" si="6"/>
        <v>0</v>
      </c>
      <c r="EF77" s="3">
        <f t="shared" si="5"/>
        <v>0</v>
      </c>
      <c r="EG77" s="3">
        <f t="shared" si="7"/>
        <v>0</v>
      </c>
      <c r="EH77" s="3">
        <f t="shared" si="5"/>
        <v>0</v>
      </c>
    </row>
    <row r="78" spans="2:138" ht="20.25" customHeight="1" x14ac:dyDescent="0.3">
      <c r="B78" s="28" t="s">
        <v>94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4">
        <f>SUM(C78:L78)*Inicio!$W$4</f>
        <v>0</v>
      </c>
      <c r="DT78" s="4">
        <f>SUM(M78:V78)*Inicio!$W$5</f>
        <v>0</v>
      </c>
      <c r="DU78" s="4">
        <f>SUM(W78:AF78)*Inicio!$W$6</f>
        <v>0</v>
      </c>
      <c r="DV78" s="4">
        <f>SUM(AG78:AP78)*Inicio!$W$7</f>
        <v>0</v>
      </c>
      <c r="DW78" s="4">
        <f>SUM(AQ78:AZ78)*Inicio!$W$8</f>
        <v>0</v>
      </c>
      <c r="DX78" s="4">
        <f>SUM(BA78:BJ78)*Inicio!$W$9</f>
        <v>0</v>
      </c>
      <c r="DY78" s="4">
        <f>SUM(BK78:BT78)*Inicio!$W$10</f>
        <v>0</v>
      </c>
      <c r="DZ78" s="4">
        <f>SUM(BU78:CD78)*Inicio!$W$11</f>
        <v>0</v>
      </c>
      <c r="EA78" s="4">
        <f>SUM(CE78:CN78)*Inicio!$W$12</f>
        <v>0</v>
      </c>
      <c r="EB78" s="4">
        <f>SUM(CO78:CX78)*Inicio!$W$13</f>
        <v>0</v>
      </c>
      <c r="EC78" s="4">
        <f>SUM(CY78:DH78)*Inicio!$W$11</f>
        <v>0</v>
      </c>
      <c r="ED78" s="4">
        <f>SUM(DI78:DR78)*Inicio!$W$12</f>
        <v>0</v>
      </c>
      <c r="EE78" s="4">
        <f t="shared" si="6"/>
        <v>0</v>
      </c>
      <c r="EF78" s="4">
        <f t="shared" ref="EF78:EH93" si="8">SUM(EE75:EE78)</f>
        <v>0</v>
      </c>
      <c r="EG78" s="4">
        <f t="shared" si="7"/>
        <v>0</v>
      </c>
      <c r="EH78" s="4">
        <f t="shared" si="8"/>
        <v>0</v>
      </c>
    </row>
    <row r="79" spans="2:138" ht="20.25" customHeight="1" x14ac:dyDescent="0.3">
      <c r="B79" s="28" t="s">
        <v>95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4">
        <f>SUM(C79:L79)*Inicio!$W$4</f>
        <v>0</v>
      </c>
      <c r="DT79" s="4">
        <f>SUM(M79:V79)*Inicio!$W$5</f>
        <v>0</v>
      </c>
      <c r="DU79" s="4">
        <f>SUM(W79:AF79)*Inicio!$W$6</f>
        <v>0</v>
      </c>
      <c r="DV79" s="4">
        <f>SUM(AG79:AP79)*Inicio!$W$7</f>
        <v>0</v>
      </c>
      <c r="DW79" s="4">
        <f>SUM(AQ79:AZ79)*Inicio!$W$8</f>
        <v>0</v>
      </c>
      <c r="DX79" s="4">
        <f>SUM(BA79:BJ79)*Inicio!$W$9</f>
        <v>0</v>
      </c>
      <c r="DY79" s="4">
        <f>SUM(BK79:BT79)*Inicio!$W$10</f>
        <v>0</v>
      </c>
      <c r="DZ79" s="4">
        <f>SUM(BU79:CD79)*Inicio!$W$11</f>
        <v>0</v>
      </c>
      <c r="EA79" s="4">
        <f>SUM(CE79:CN79)*Inicio!$W$12</f>
        <v>0</v>
      </c>
      <c r="EB79" s="4">
        <f>SUM(CO79:CX79)*Inicio!$W$13</f>
        <v>0</v>
      </c>
      <c r="EC79" s="4">
        <f>SUM(CY79:DH79)*Inicio!$W$11</f>
        <v>0</v>
      </c>
      <c r="ED79" s="4">
        <f>SUM(DI79:DR79)*Inicio!$W$12</f>
        <v>0</v>
      </c>
      <c r="EE79" s="4">
        <f t="shared" si="6"/>
        <v>0</v>
      </c>
      <c r="EF79" s="4">
        <f t="shared" si="8"/>
        <v>0</v>
      </c>
      <c r="EG79" s="4">
        <f t="shared" si="7"/>
        <v>0</v>
      </c>
      <c r="EH79" s="4">
        <f t="shared" si="8"/>
        <v>0</v>
      </c>
    </row>
    <row r="80" spans="2:138" ht="20.25" customHeight="1" x14ac:dyDescent="0.3">
      <c r="B80" s="26" t="s">
        <v>96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5">
        <f>SUM(C80:L80)*Inicio!$W$4</f>
        <v>0</v>
      </c>
      <c r="DT80" s="5">
        <f>SUM(M80:V80)*Inicio!$W$5</f>
        <v>0</v>
      </c>
      <c r="DU80" s="5">
        <f>SUM(W80:AF80)*Inicio!$W$6</f>
        <v>0</v>
      </c>
      <c r="DV80" s="5">
        <f>SUM(AG80:AP80)*Inicio!$W$7</f>
        <v>0</v>
      </c>
      <c r="DW80" s="5">
        <f>SUM(AQ80:AZ80)*Inicio!$W$8</f>
        <v>0</v>
      </c>
      <c r="DX80" s="5">
        <f>SUM(BA80:BJ80)*Inicio!$W$9</f>
        <v>0</v>
      </c>
      <c r="DY80" s="5">
        <f>SUM(BK80:BT80)*Inicio!$W$10</f>
        <v>0</v>
      </c>
      <c r="DZ80" s="5">
        <f>SUM(BU80:CD80)*Inicio!$W$11</f>
        <v>0</v>
      </c>
      <c r="EA80" s="5">
        <f>SUM(CE80:CN80)*Inicio!$W$12</f>
        <v>0</v>
      </c>
      <c r="EB80" s="5">
        <f>SUM(CO80:CX80)*Inicio!$W$13</f>
        <v>0</v>
      </c>
      <c r="EC80" s="5">
        <f>SUM(CY80:DH80)*Inicio!$W$11</f>
        <v>0</v>
      </c>
      <c r="ED80" s="5">
        <f>SUM(DI80:DR80)*Inicio!$W$12</f>
        <v>0</v>
      </c>
      <c r="EE80" s="5">
        <f t="shared" si="6"/>
        <v>0</v>
      </c>
      <c r="EF80" s="5">
        <f t="shared" si="8"/>
        <v>0</v>
      </c>
      <c r="EG80" s="5">
        <f t="shared" si="7"/>
        <v>0</v>
      </c>
      <c r="EH80" s="5">
        <f t="shared" si="8"/>
        <v>0</v>
      </c>
    </row>
    <row r="81" spans="2:138" ht="20.25" customHeight="1" x14ac:dyDescent="0.3">
      <c r="B81" s="27" t="s">
        <v>97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3">
        <f>SUM(C81:L81)*Inicio!$W$4</f>
        <v>0</v>
      </c>
      <c r="DT81" s="3">
        <f>SUM(M81:V81)*Inicio!$W$5</f>
        <v>0</v>
      </c>
      <c r="DU81" s="3">
        <f>SUM(W81:AF81)*Inicio!$W$6</f>
        <v>0</v>
      </c>
      <c r="DV81" s="3">
        <f>SUM(AG81:AP81)*Inicio!$W$7</f>
        <v>0</v>
      </c>
      <c r="DW81" s="3">
        <f>SUM(AQ81:AZ81)*Inicio!$W$8</f>
        <v>0</v>
      </c>
      <c r="DX81" s="3">
        <f>SUM(BA81:BJ81)*Inicio!$W$9</f>
        <v>0</v>
      </c>
      <c r="DY81" s="3">
        <f>SUM(BK81:BT81)*Inicio!$W$10</f>
        <v>0</v>
      </c>
      <c r="DZ81" s="3">
        <f>SUM(BU81:CD81)*Inicio!$W$11</f>
        <v>0</v>
      </c>
      <c r="EA81" s="3">
        <f>SUM(CE81:CN81)*Inicio!$W$12</f>
        <v>0</v>
      </c>
      <c r="EB81" s="3">
        <f>SUM(CO81:CX81)*Inicio!$W$13</f>
        <v>0</v>
      </c>
      <c r="EC81" s="3">
        <f>SUM(CY81:DH81)*Inicio!$W$11</f>
        <v>0</v>
      </c>
      <c r="ED81" s="3">
        <f>SUM(DI81:DR81)*Inicio!$W$12</f>
        <v>0</v>
      </c>
      <c r="EE81" s="3">
        <f t="shared" si="6"/>
        <v>0</v>
      </c>
      <c r="EF81" s="3">
        <f t="shared" si="8"/>
        <v>0</v>
      </c>
      <c r="EG81" s="3">
        <f t="shared" si="7"/>
        <v>0</v>
      </c>
      <c r="EH81" s="3">
        <f t="shared" si="8"/>
        <v>0</v>
      </c>
    </row>
    <row r="82" spans="2:138" ht="20.25" customHeight="1" x14ac:dyDescent="0.3">
      <c r="B82" s="28" t="s">
        <v>98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4">
        <f>SUM(C82:L82)*Inicio!$W$4</f>
        <v>0</v>
      </c>
      <c r="DT82" s="4">
        <f>SUM(M82:V82)*Inicio!$W$5</f>
        <v>0</v>
      </c>
      <c r="DU82" s="4">
        <f>SUM(W82:AF82)*Inicio!$W$6</f>
        <v>0</v>
      </c>
      <c r="DV82" s="4">
        <f>SUM(AG82:AP82)*Inicio!$W$7</f>
        <v>0</v>
      </c>
      <c r="DW82" s="4">
        <f>SUM(AQ82:AZ82)*Inicio!$W$8</f>
        <v>0</v>
      </c>
      <c r="DX82" s="4">
        <f>SUM(BA82:BJ82)*Inicio!$W$9</f>
        <v>0</v>
      </c>
      <c r="DY82" s="4">
        <f>SUM(BK82:BT82)*Inicio!$W$10</f>
        <v>0</v>
      </c>
      <c r="DZ82" s="4">
        <f>SUM(BU82:CD82)*Inicio!$W$11</f>
        <v>0</v>
      </c>
      <c r="EA82" s="4">
        <f>SUM(CE82:CN82)*Inicio!$W$12</f>
        <v>0</v>
      </c>
      <c r="EB82" s="4">
        <f>SUM(CO82:CX82)*Inicio!$W$13</f>
        <v>0</v>
      </c>
      <c r="EC82" s="4">
        <f>SUM(CY82:DH82)*Inicio!$W$11</f>
        <v>0</v>
      </c>
      <c r="ED82" s="4">
        <f>SUM(DI82:DR82)*Inicio!$W$12</f>
        <v>0</v>
      </c>
      <c r="EE82" s="4">
        <f t="shared" si="6"/>
        <v>0</v>
      </c>
      <c r="EF82" s="4">
        <f t="shared" si="8"/>
        <v>0</v>
      </c>
      <c r="EG82" s="4">
        <f t="shared" si="7"/>
        <v>0</v>
      </c>
      <c r="EH82" s="4">
        <f t="shared" si="8"/>
        <v>0</v>
      </c>
    </row>
    <row r="83" spans="2:138" ht="20.25" customHeight="1" x14ac:dyDescent="0.3">
      <c r="B83" s="28" t="s">
        <v>99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4">
        <f>SUM(C83:L83)*Inicio!$W$4</f>
        <v>0</v>
      </c>
      <c r="DT83" s="4">
        <f>SUM(M83:V83)*Inicio!$W$5</f>
        <v>0</v>
      </c>
      <c r="DU83" s="4">
        <f>SUM(W83:AF83)*Inicio!$W$6</f>
        <v>0</v>
      </c>
      <c r="DV83" s="4">
        <f>SUM(AG83:AP83)*Inicio!$W$7</f>
        <v>0</v>
      </c>
      <c r="DW83" s="4">
        <f>SUM(AQ83:AZ83)*Inicio!$W$8</f>
        <v>0</v>
      </c>
      <c r="DX83" s="4">
        <f>SUM(BA83:BJ83)*Inicio!$W$9</f>
        <v>0</v>
      </c>
      <c r="DY83" s="4">
        <f>SUM(BK83:BT83)*Inicio!$W$10</f>
        <v>0</v>
      </c>
      <c r="DZ83" s="4">
        <f>SUM(BU83:CD83)*Inicio!$W$11</f>
        <v>0</v>
      </c>
      <c r="EA83" s="4">
        <f>SUM(CE83:CN83)*Inicio!$W$12</f>
        <v>0</v>
      </c>
      <c r="EB83" s="4">
        <f>SUM(CO83:CX83)*Inicio!$W$13</f>
        <v>0</v>
      </c>
      <c r="EC83" s="4">
        <f>SUM(CY83:DH83)*Inicio!$W$11</f>
        <v>0</v>
      </c>
      <c r="ED83" s="4">
        <f>SUM(DI83:DR83)*Inicio!$W$12</f>
        <v>0</v>
      </c>
      <c r="EE83" s="4">
        <f t="shared" si="6"/>
        <v>0</v>
      </c>
      <c r="EF83" s="4">
        <f t="shared" si="8"/>
        <v>0</v>
      </c>
      <c r="EG83" s="4">
        <f t="shared" si="7"/>
        <v>0</v>
      </c>
      <c r="EH83" s="4">
        <f t="shared" si="8"/>
        <v>0</v>
      </c>
    </row>
    <row r="84" spans="2:138" ht="20.25" customHeight="1" x14ac:dyDescent="0.3">
      <c r="B84" s="26" t="s">
        <v>100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5">
        <f>SUM(C84:L84)*Inicio!$W$4</f>
        <v>0</v>
      </c>
      <c r="DT84" s="5">
        <f>SUM(M84:V84)*Inicio!$W$5</f>
        <v>0</v>
      </c>
      <c r="DU84" s="5">
        <f>SUM(W84:AF84)*Inicio!$W$6</f>
        <v>0</v>
      </c>
      <c r="DV84" s="5">
        <f>SUM(AG84:AP84)*Inicio!$W$7</f>
        <v>0</v>
      </c>
      <c r="DW84" s="5">
        <f>SUM(AQ84:AZ84)*Inicio!$W$8</f>
        <v>0</v>
      </c>
      <c r="DX84" s="5">
        <f>SUM(BA84:BJ84)*Inicio!$W$9</f>
        <v>0</v>
      </c>
      <c r="DY84" s="5">
        <f>SUM(BK84:BT84)*Inicio!$W$10</f>
        <v>0</v>
      </c>
      <c r="DZ84" s="5">
        <f>SUM(BU84:CD84)*Inicio!$W$11</f>
        <v>0</v>
      </c>
      <c r="EA84" s="5">
        <f>SUM(CE84:CN84)*Inicio!$W$12</f>
        <v>0</v>
      </c>
      <c r="EB84" s="5">
        <f>SUM(CO84:CX84)*Inicio!$W$13</f>
        <v>0</v>
      </c>
      <c r="EC84" s="5">
        <f>SUM(CY84:DH84)*Inicio!$W$11</f>
        <v>0</v>
      </c>
      <c r="ED84" s="5">
        <f>SUM(DI84:DR84)*Inicio!$W$12</f>
        <v>0</v>
      </c>
      <c r="EE84" s="5">
        <f t="shared" si="6"/>
        <v>0</v>
      </c>
      <c r="EF84" s="5">
        <f t="shared" si="8"/>
        <v>0</v>
      </c>
      <c r="EG84" s="5">
        <f t="shared" si="7"/>
        <v>0</v>
      </c>
      <c r="EH84" s="5">
        <f t="shared" si="8"/>
        <v>0</v>
      </c>
    </row>
    <row r="85" spans="2:138" ht="20.25" customHeight="1" x14ac:dyDescent="0.3">
      <c r="B85" s="27" t="s">
        <v>101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3">
        <f>SUM(C85:L85)*Inicio!$W$4</f>
        <v>0</v>
      </c>
      <c r="DT85" s="3">
        <f>SUM(M85:V85)*Inicio!$W$5</f>
        <v>0</v>
      </c>
      <c r="DU85" s="3">
        <f>SUM(W85:AF85)*Inicio!$W$6</f>
        <v>0</v>
      </c>
      <c r="DV85" s="3">
        <f>SUM(AG85:AP85)*Inicio!$W$7</f>
        <v>0</v>
      </c>
      <c r="DW85" s="3">
        <f>SUM(AQ85:AZ85)*Inicio!$W$8</f>
        <v>0</v>
      </c>
      <c r="DX85" s="3">
        <f>SUM(BA85:BJ85)*Inicio!$W$9</f>
        <v>0</v>
      </c>
      <c r="DY85" s="3">
        <f>SUM(BK85:BT85)*Inicio!$W$10</f>
        <v>0</v>
      </c>
      <c r="DZ85" s="3">
        <f>SUM(BU85:CD85)*Inicio!$W$11</f>
        <v>0</v>
      </c>
      <c r="EA85" s="3">
        <f>SUM(CE85:CN85)*Inicio!$W$12</f>
        <v>0</v>
      </c>
      <c r="EB85" s="3">
        <f>SUM(CO85:CX85)*Inicio!$W$13</f>
        <v>0</v>
      </c>
      <c r="EC85" s="3">
        <f>SUM(CY85:DH85)*Inicio!$W$11</f>
        <v>0</v>
      </c>
      <c r="ED85" s="3">
        <f>SUM(DI85:DR85)*Inicio!$W$12</f>
        <v>0</v>
      </c>
      <c r="EE85" s="3">
        <f t="shared" si="6"/>
        <v>0</v>
      </c>
      <c r="EF85" s="3">
        <f t="shared" si="8"/>
        <v>0</v>
      </c>
      <c r="EG85" s="3">
        <f t="shared" si="7"/>
        <v>0</v>
      </c>
      <c r="EH85" s="3">
        <f t="shared" si="8"/>
        <v>0</v>
      </c>
    </row>
    <row r="86" spans="2:138" ht="20.25" customHeight="1" x14ac:dyDescent="0.3">
      <c r="B86" s="28" t="s">
        <v>102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4">
        <f>SUM(C86:L86)*Inicio!$W$4</f>
        <v>0</v>
      </c>
      <c r="DT86" s="4">
        <f>SUM(M86:V86)*Inicio!$W$5</f>
        <v>0</v>
      </c>
      <c r="DU86" s="4">
        <f>SUM(W86:AF86)*Inicio!$W$6</f>
        <v>0</v>
      </c>
      <c r="DV86" s="4">
        <f>SUM(AG86:AP86)*Inicio!$W$7</f>
        <v>0</v>
      </c>
      <c r="DW86" s="4">
        <f>SUM(AQ86:AZ86)*Inicio!$W$8</f>
        <v>0</v>
      </c>
      <c r="DX86" s="4">
        <f>SUM(BA86:BJ86)*Inicio!$W$9</f>
        <v>0</v>
      </c>
      <c r="DY86" s="4">
        <f>SUM(BK86:BT86)*Inicio!$W$10</f>
        <v>0</v>
      </c>
      <c r="DZ86" s="4">
        <f>SUM(BU86:CD86)*Inicio!$W$11</f>
        <v>0</v>
      </c>
      <c r="EA86" s="4">
        <f>SUM(CE86:CN86)*Inicio!$W$12</f>
        <v>0</v>
      </c>
      <c r="EB86" s="4">
        <f>SUM(CO86:CX86)*Inicio!$W$13</f>
        <v>0</v>
      </c>
      <c r="EC86" s="4">
        <f>SUM(CY86:DH86)*Inicio!$W$11</f>
        <v>0</v>
      </c>
      <c r="ED86" s="4">
        <f>SUM(DI86:DR86)*Inicio!$W$12</f>
        <v>0</v>
      </c>
      <c r="EE86" s="4">
        <f t="shared" si="6"/>
        <v>0</v>
      </c>
      <c r="EF86" s="4">
        <f t="shared" si="8"/>
        <v>0</v>
      </c>
      <c r="EG86" s="4">
        <f t="shared" si="7"/>
        <v>0</v>
      </c>
      <c r="EH86" s="4">
        <f t="shared" si="8"/>
        <v>0</v>
      </c>
    </row>
    <row r="87" spans="2:138" ht="20.25" customHeight="1" x14ac:dyDescent="0.3">
      <c r="B87" s="28" t="s">
        <v>103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4">
        <f>SUM(C87:L87)*Inicio!$W$4</f>
        <v>0</v>
      </c>
      <c r="DT87" s="4">
        <f>SUM(M87:V87)*Inicio!$W$5</f>
        <v>0</v>
      </c>
      <c r="DU87" s="4">
        <f>SUM(W87:AF87)*Inicio!$W$6</f>
        <v>0</v>
      </c>
      <c r="DV87" s="4">
        <f>SUM(AG87:AP87)*Inicio!$W$7</f>
        <v>0</v>
      </c>
      <c r="DW87" s="4">
        <f>SUM(AQ87:AZ87)*Inicio!$W$8</f>
        <v>0</v>
      </c>
      <c r="DX87" s="4">
        <f>SUM(BA87:BJ87)*Inicio!$W$9</f>
        <v>0</v>
      </c>
      <c r="DY87" s="4">
        <f>SUM(BK87:BT87)*Inicio!$W$10</f>
        <v>0</v>
      </c>
      <c r="DZ87" s="4">
        <f>SUM(BU87:CD87)*Inicio!$W$11</f>
        <v>0</v>
      </c>
      <c r="EA87" s="4">
        <f>SUM(CE87:CN87)*Inicio!$W$12</f>
        <v>0</v>
      </c>
      <c r="EB87" s="4">
        <f>SUM(CO87:CX87)*Inicio!$W$13</f>
        <v>0</v>
      </c>
      <c r="EC87" s="4">
        <f>SUM(CY87:DH87)*Inicio!$W$11</f>
        <v>0</v>
      </c>
      <c r="ED87" s="4">
        <f>SUM(DI87:DR87)*Inicio!$W$12</f>
        <v>0</v>
      </c>
      <c r="EE87" s="4">
        <f t="shared" si="6"/>
        <v>0</v>
      </c>
      <c r="EF87" s="4">
        <f t="shared" si="8"/>
        <v>0</v>
      </c>
      <c r="EG87" s="4">
        <f t="shared" si="7"/>
        <v>0</v>
      </c>
      <c r="EH87" s="4">
        <f t="shared" si="8"/>
        <v>0</v>
      </c>
    </row>
    <row r="88" spans="2:138" ht="20.25" customHeight="1" x14ac:dyDescent="0.3">
      <c r="B88" s="26" t="s">
        <v>104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5">
        <f>SUM(C88:L88)*Inicio!$W$4</f>
        <v>0</v>
      </c>
      <c r="DT88" s="5">
        <f>SUM(M88:V88)*Inicio!$W$5</f>
        <v>0</v>
      </c>
      <c r="DU88" s="5">
        <f>SUM(W88:AF88)*Inicio!$W$6</f>
        <v>0</v>
      </c>
      <c r="DV88" s="5">
        <f>SUM(AG88:AP88)*Inicio!$W$7</f>
        <v>0</v>
      </c>
      <c r="DW88" s="5">
        <f>SUM(AQ88:AZ88)*Inicio!$W$8</f>
        <v>0</v>
      </c>
      <c r="DX88" s="5">
        <f>SUM(BA88:BJ88)*Inicio!$W$9</f>
        <v>0</v>
      </c>
      <c r="DY88" s="5">
        <f>SUM(BK88:BT88)*Inicio!$W$10</f>
        <v>0</v>
      </c>
      <c r="DZ88" s="5">
        <f>SUM(BU88:CD88)*Inicio!$W$11</f>
        <v>0</v>
      </c>
      <c r="EA88" s="5">
        <f>SUM(CE88:CN88)*Inicio!$W$12</f>
        <v>0</v>
      </c>
      <c r="EB88" s="5">
        <f>SUM(CO88:CX88)*Inicio!$W$13</f>
        <v>0</v>
      </c>
      <c r="EC88" s="5">
        <f>SUM(CY88:DH88)*Inicio!$W$11</f>
        <v>0</v>
      </c>
      <c r="ED88" s="5">
        <f>SUM(DI88:DR88)*Inicio!$W$12</f>
        <v>0</v>
      </c>
      <c r="EE88" s="5">
        <f t="shared" si="6"/>
        <v>0</v>
      </c>
      <c r="EF88" s="5">
        <f t="shared" si="8"/>
        <v>0</v>
      </c>
      <c r="EG88" s="5">
        <f t="shared" si="7"/>
        <v>0</v>
      </c>
      <c r="EH88" s="5">
        <f t="shared" si="8"/>
        <v>0</v>
      </c>
    </row>
    <row r="89" spans="2:138" ht="20.25" customHeight="1" x14ac:dyDescent="0.3">
      <c r="B89" s="27" t="s">
        <v>105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3">
        <f>SUM(C89:L89)*Inicio!$W$4</f>
        <v>0</v>
      </c>
      <c r="DT89" s="3">
        <f>SUM(M89:V89)*Inicio!$W$5</f>
        <v>0</v>
      </c>
      <c r="DU89" s="3">
        <f>SUM(W89:AF89)*Inicio!$W$6</f>
        <v>0</v>
      </c>
      <c r="DV89" s="3">
        <f>SUM(AG89:AP89)*Inicio!$W$7</f>
        <v>0</v>
      </c>
      <c r="DW89" s="3">
        <f>SUM(AQ89:AZ89)*Inicio!$W$8</f>
        <v>0</v>
      </c>
      <c r="DX89" s="3">
        <f>SUM(BA89:BJ89)*Inicio!$W$9</f>
        <v>0</v>
      </c>
      <c r="DY89" s="3">
        <f>SUM(BK89:BT89)*Inicio!$W$10</f>
        <v>0</v>
      </c>
      <c r="DZ89" s="3">
        <f>SUM(BU89:CD89)*Inicio!$W$11</f>
        <v>0</v>
      </c>
      <c r="EA89" s="3">
        <f>SUM(CE89:CN89)*Inicio!$W$12</f>
        <v>0</v>
      </c>
      <c r="EB89" s="3">
        <f>SUM(CO89:CX89)*Inicio!$W$13</f>
        <v>0</v>
      </c>
      <c r="EC89" s="3">
        <f>SUM(CY89:DH89)*Inicio!$W$11</f>
        <v>0</v>
      </c>
      <c r="ED89" s="3">
        <f>SUM(DI89:DR89)*Inicio!$W$12</f>
        <v>0</v>
      </c>
      <c r="EE89" s="3">
        <f t="shared" si="6"/>
        <v>0</v>
      </c>
      <c r="EF89" s="3">
        <f t="shared" si="8"/>
        <v>0</v>
      </c>
      <c r="EG89" s="3">
        <f t="shared" si="7"/>
        <v>0</v>
      </c>
      <c r="EH89" s="3">
        <f t="shared" si="8"/>
        <v>0</v>
      </c>
    </row>
    <row r="90" spans="2:138" ht="20.25" customHeight="1" x14ac:dyDescent="0.3">
      <c r="B90" s="28" t="s">
        <v>106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4">
        <f>SUM(C90:L90)*Inicio!$W$4</f>
        <v>0</v>
      </c>
      <c r="DT90" s="4">
        <f>SUM(M90:V90)*Inicio!$W$5</f>
        <v>0</v>
      </c>
      <c r="DU90" s="4">
        <f>SUM(W90:AF90)*Inicio!$W$6</f>
        <v>0</v>
      </c>
      <c r="DV90" s="4">
        <f>SUM(AG90:AP90)*Inicio!$W$7</f>
        <v>0</v>
      </c>
      <c r="DW90" s="4">
        <f>SUM(AQ90:AZ90)*Inicio!$W$8</f>
        <v>0</v>
      </c>
      <c r="DX90" s="4">
        <f>SUM(BA90:BJ90)*Inicio!$W$9</f>
        <v>0</v>
      </c>
      <c r="DY90" s="4">
        <f>SUM(BK90:BT90)*Inicio!$W$10</f>
        <v>0</v>
      </c>
      <c r="DZ90" s="4">
        <f>SUM(BU90:CD90)*Inicio!$W$11</f>
        <v>0</v>
      </c>
      <c r="EA90" s="4">
        <f>SUM(CE90:CN90)*Inicio!$W$12</f>
        <v>0</v>
      </c>
      <c r="EB90" s="4">
        <f>SUM(CO90:CX90)*Inicio!$W$13</f>
        <v>0</v>
      </c>
      <c r="EC90" s="4">
        <f>SUM(CY90:DH90)*Inicio!$W$11</f>
        <v>0</v>
      </c>
      <c r="ED90" s="4">
        <f>SUM(DI90:DR90)*Inicio!$W$12</f>
        <v>0</v>
      </c>
      <c r="EE90" s="4">
        <f t="shared" si="6"/>
        <v>0</v>
      </c>
      <c r="EF90" s="4">
        <f t="shared" si="8"/>
        <v>0</v>
      </c>
      <c r="EG90" s="4">
        <f t="shared" si="7"/>
        <v>0</v>
      </c>
      <c r="EH90" s="4">
        <f t="shared" si="8"/>
        <v>0</v>
      </c>
    </row>
    <row r="91" spans="2:138" ht="20.25" customHeight="1" x14ac:dyDescent="0.3">
      <c r="B91" s="28" t="s">
        <v>107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4">
        <f>SUM(C91:L91)*Inicio!$W$4</f>
        <v>0</v>
      </c>
      <c r="DT91" s="4">
        <f>SUM(M91:V91)*Inicio!$W$5</f>
        <v>0</v>
      </c>
      <c r="DU91" s="4">
        <f>SUM(W91:AF91)*Inicio!$W$6</f>
        <v>0</v>
      </c>
      <c r="DV91" s="4">
        <f>SUM(AG91:AP91)*Inicio!$W$7</f>
        <v>0</v>
      </c>
      <c r="DW91" s="4">
        <f>SUM(AQ91:AZ91)*Inicio!$W$8</f>
        <v>0</v>
      </c>
      <c r="DX91" s="4">
        <f>SUM(BA91:BJ91)*Inicio!$W$9</f>
        <v>0</v>
      </c>
      <c r="DY91" s="4">
        <f>SUM(BK91:BT91)*Inicio!$W$10</f>
        <v>0</v>
      </c>
      <c r="DZ91" s="4">
        <f>SUM(BU91:CD91)*Inicio!$W$11</f>
        <v>0</v>
      </c>
      <c r="EA91" s="4">
        <f>SUM(CE91:CN91)*Inicio!$W$12</f>
        <v>0</v>
      </c>
      <c r="EB91" s="4">
        <f>SUM(CO91:CX91)*Inicio!$W$13</f>
        <v>0</v>
      </c>
      <c r="EC91" s="4">
        <f>SUM(CY91:DH91)*Inicio!$W$11</f>
        <v>0</v>
      </c>
      <c r="ED91" s="4">
        <f>SUM(DI91:DR91)*Inicio!$W$12</f>
        <v>0</v>
      </c>
      <c r="EE91" s="4">
        <f t="shared" si="6"/>
        <v>0</v>
      </c>
      <c r="EF91" s="4">
        <f t="shared" si="8"/>
        <v>0</v>
      </c>
      <c r="EG91" s="4">
        <f t="shared" si="7"/>
        <v>0</v>
      </c>
      <c r="EH91" s="4">
        <f t="shared" si="8"/>
        <v>0</v>
      </c>
    </row>
    <row r="92" spans="2:138" ht="20.25" customHeight="1" x14ac:dyDescent="0.3">
      <c r="B92" s="26" t="s">
        <v>108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5">
        <f>SUM(C92:L92)*Inicio!$W$4</f>
        <v>0</v>
      </c>
      <c r="DT92" s="5">
        <f>SUM(M92:V92)*Inicio!$W$5</f>
        <v>0</v>
      </c>
      <c r="DU92" s="5">
        <f>SUM(W92:AF92)*Inicio!$W$6</f>
        <v>0</v>
      </c>
      <c r="DV92" s="5">
        <f>SUM(AG92:AP92)*Inicio!$W$7</f>
        <v>0</v>
      </c>
      <c r="DW92" s="5">
        <f>SUM(AQ92:AZ92)*Inicio!$W$8</f>
        <v>0</v>
      </c>
      <c r="DX92" s="5">
        <f>SUM(BA92:BJ92)*Inicio!$W$9</f>
        <v>0</v>
      </c>
      <c r="DY92" s="5">
        <f>SUM(BK92:BT92)*Inicio!$W$10</f>
        <v>0</v>
      </c>
      <c r="DZ92" s="5">
        <f>SUM(BU92:CD92)*Inicio!$W$11</f>
        <v>0</v>
      </c>
      <c r="EA92" s="5">
        <f>SUM(CE92:CN92)*Inicio!$W$12</f>
        <v>0</v>
      </c>
      <c r="EB92" s="5">
        <f>SUM(CO92:CX92)*Inicio!$W$13</f>
        <v>0</v>
      </c>
      <c r="EC92" s="5">
        <f>SUM(CY92:DH92)*Inicio!$W$11</f>
        <v>0</v>
      </c>
      <c r="ED92" s="5">
        <f>SUM(DI92:DR92)*Inicio!$W$12</f>
        <v>0</v>
      </c>
      <c r="EE92" s="5">
        <f t="shared" si="6"/>
        <v>0</v>
      </c>
      <c r="EF92" s="5">
        <f t="shared" si="8"/>
        <v>0</v>
      </c>
      <c r="EG92" s="5">
        <f t="shared" si="7"/>
        <v>0</v>
      </c>
      <c r="EH92" s="5">
        <f t="shared" si="8"/>
        <v>0</v>
      </c>
    </row>
    <row r="93" spans="2:138" ht="20.25" customHeight="1" x14ac:dyDescent="0.3">
      <c r="B93" s="27" t="s">
        <v>109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3">
        <f>SUM(C93:L93)*Inicio!$W$4</f>
        <v>0</v>
      </c>
      <c r="DT93" s="3">
        <f>SUM(M93:V93)*Inicio!$W$5</f>
        <v>0</v>
      </c>
      <c r="DU93" s="3">
        <f>SUM(W93:AF93)*Inicio!$W$6</f>
        <v>0</v>
      </c>
      <c r="DV93" s="3">
        <f>SUM(AG93:AP93)*Inicio!$W$7</f>
        <v>0</v>
      </c>
      <c r="DW93" s="3">
        <f>SUM(AQ93:AZ93)*Inicio!$W$8</f>
        <v>0</v>
      </c>
      <c r="DX93" s="3">
        <f>SUM(BA93:BJ93)*Inicio!$W$9</f>
        <v>0</v>
      </c>
      <c r="DY93" s="3">
        <f>SUM(BK93:BT93)*Inicio!$W$10</f>
        <v>0</v>
      </c>
      <c r="DZ93" s="3">
        <f>SUM(BU93:CD93)*Inicio!$W$11</f>
        <v>0</v>
      </c>
      <c r="EA93" s="3">
        <f>SUM(CE93:CN93)*Inicio!$W$12</f>
        <v>0</v>
      </c>
      <c r="EB93" s="3">
        <f>SUM(CO93:CX93)*Inicio!$W$13</f>
        <v>0</v>
      </c>
      <c r="EC93" s="3">
        <f>SUM(CY93:DH93)*Inicio!$W$11</f>
        <v>0</v>
      </c>
      <c r="ED93" s="3">
        <f>SUM(DI93:DR93)*Inicio!$W$12</f>
        <v>0</v>
      </c>
      <c r="EE93" s="3">
        <f t="shared" si="6"/>
        <v>0</v>
      </c>
      <c r="EF93" s="3">
        <f t="shared" si="8"/>
        <v>0</v>
      </c>
      <c r="EG93" s="3">
        <f t="shared" si="7"/>
        <v>0</v>
      </c>
      <c r="EH93" s="3">
        <f t="shared" si="8"/>
        <v>0</v>
      </c>
    </row>
    <row r="94" spans="2:138" ht="20.25" customHeight="1" x14ac:dyDescent="0.3">
      <c r="B94" s="28" t="s">
        <v>110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4">
        <f>SUM(C94:L94)*Inicio!$W$4</f>
        <v>0</v>
      </c>
      <c r="DT94" s="4">
        <f>SUM(M94:V94)*Inicio!$W$5</f>
        <v>0</v>
      </c>
      <c r="DU94" s="4">
        <f>SUM(W94:AF94)*Inicio!$W$6</f>
        <v>0</v>
      </c>
      <c r="DV94" s="4">
        <f>SUM(AG94:AP94)*Inicio!$W$7</f>
        <v>0</v>
      </c>
      <c r="DW94" s="4">
        <f>SUM(AQ94:AZ94)*Inicio!$W$8</f>
        <v>0</v>
      </c>
      <c r="DX94" s="4">
        <f>SUM(BA94:BJ94)*Inicio!$W$9</f>
        <v>0</v>
      </c>
      <c r="DY94" s="4">
        <f>SUM(BK94:BT94)*Inicio!$W$10</f>
        <v>0</v>
      </c>
      <c r="DZ94" s="4">
        <f>SUM(BU94:CD94)*Inicio!$W$11</f>
        <v>0</v>
      </c>
      <c r="EA94" s="4">
        <f>SUM(CE94:CN94)*Inicio!$W$12</f>
        <v>0</v>
      </c>
      <c r="EB94" s="4">
        <f>SUM(CO94:CX94)*Inicio!$W$13</f>
        <v>0</v>
      </c>
      <c r="EC94" s="4">
        <f>SUM(CY94:DH94)*Inicio!$W$11</f>
        <v>0</v>
      </c>
      <c r="ED94" s="4">
        <f>SUM(DI94:DR94)*Inicio!$W$12</f>
        <v>0</v>
      </c>
      <c r="EE94" s="4">
        <f t="shared" si="6"/>
        <v>0</v>
      </c>
      <c r="EF94" s="4">
        <f t="shared" ref="EF94:EH104" si="9">SUM(EE91:EE94)</f>
        <v>0</v>
      </c>
      <c r="EG94" s="4">
        <f t="shared" si="7"/>
        <v>0</v>
      </c>
      <c r="EH94" s="4">
        <f t="shared" si="9"/>
        <v>0</v>
      </c>
    </row>
    <row r="95" spans="2:138" ht="20.25" customHeight="1" x14ac:dyDescent="0.3">
      <c r="B95" s="28" t="s">
        <v>111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4">
        <f>SUM(C95:L95)*Inicio!$W$4</f>
        <v>0</v>
      </c>
      <c r="DT95" s="4">
        <f>SUM(M95:V95)*Inicio!$W$5</f>
        <v>0</v>
      </c>
      <c r="DU95" s="4">
        <f>SUM(W95:AF95)*Inicio!$W$6</f>
        <v>0</v>
      </c>
      <c r="DV95" s="4">
        <f>SUM(AG95:AP95)*Inicio!$W$7</f>
        <v>0</v>
      </c>
      <c r="DW95" s="4">
        <f>SUM(AQ95:AZ95)*Inicio!$W$8</f>
        <v>0</v>
      </c>
      <c r="DX95" s="4">
        <f>SUM(BA95:BJ95)*Inicio!$W$9</f>
        <v>0</v>
      </c>
      <c r="DY95" s="4">
        <f>SUM(BK95:BT95)*Inicio!$W$10</f>
        <v>0</v>
      </c>
      <c r="DZ95" s="4">
        <f>SUM(BU95:CD95)*Inicio!$W$11</f>
        <v>0</v>
      </c>
      <c r="EA95" s="4">
        <f>SUM(CE95:CN95)*Inicio!$W$12</f>
        <v>0</v>
      </c>
      <c r="EB95" s="4">
        <f>SUM(CO95:CX95)*Inicio!$W$13</f>
        <v>0</v>
      </c>
      <c r="EC95" s="4">
        <f>SUM(CY95:DH95)*Inicio!$W$11</f>
        <v>0</v>
      </c>
      <c r="ED95" s="4">
        <f>SUM(DI95:DR95)*Inicio!$W$12</f>
        <v>0</v>
      </c>
      <c r="EE95" s="4">
        <f t="shared" si="6"/>
        <v>0</v>
      </c>
      <c r="EF95" s="4">
        <f t="shared" si="9"/>
        <v>0</v>
      </c>
      <c r="EG95" s="4">
        <f t="shared" si="7"/>
        <v>0</v>
      </c>
      <c r="EH95" s="4">
        <f t="shared" si="9"/>
        <v>0</v>
      </c>
    </row>
    <row r="96" spans="2:138" ht="20.25" customHeight="1" x14ac:dyDescent="0.3">
      <c r="B96" s="26" t="s">
        <v>112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5">
        <f>SUM(C96:L96)*Inicio!$W$4</f>
        <v>0</v>
      </c>
      <c r="DT96" s="5">
        <f>SUM(M96:V96)*Inicio!$W$5</f>
        <v>0</v>
      </c>
      <c r="DU96" s="5">
        <f>SUM(W96:AF96)*Inicio!$W$6</f>
        <v>0</v>
      </c>
      <c r="DV96" s="5">
        <f>SUM(AG96:AP96)*Inicio!$W$7</f>
        <v>0</v>
      </c>
      <c r="DW96" s="5">
        <f>SUM(AQ96:AZ96)*Inicio!$W$8</f>
        <v>0</v>
      </c>
      <c r="DX96" s="5">
        <f>SUM(BA96:BJ96)*Inicio!$W$9</f>
        <v>0</v>
      </c>
      <c r="DY96" s="5">
        <f>SUM(BK96:BT96)*Inicio!$W$10</f>
        <v>0</v>
      </c>
      <c r="DZ96" s="5">
        <f>SUM(BU96:CD96)*Inicio!$W$11</f>
        <v>0</v>
      </c>
      <c r="EA96" s="5">
        <f>SUM(CE96:CN96)*Inicio!$W$12</f>
        <v>0</v>
      </c>
      <c r="EB96" s="5">
        <f>SUM(CO96:CX96)*Inicio!$W$13</f>
        <v>0</v>
      </c>
      <c r="EC96" s="5">
        <f>SUM(CY96:DH96)*Inicio!$W$11</f>
        <v>0</v>
      </c>
      <c r="ED96" s="5">
        <f>SUM(DI96:DR96)*Inicio!$W$12</f>
        <v>0</v>
      </c>
      <c r="EE96" s="5">
        <f t="shared" si="6"/>
        <v>0</v>
      </c>
      <c r="EF96" s="5">
        <f t="shared" si="9"/>
        <v>0</v>
      </c>
      <c r="EG96" s="5">
        <f t="shared" si="7"/>
        <v>0</v>
      </c>
      <c r="EH96" s="5">
        <f t="shared" si="9"/>
        <v>0</v>
      </c>
    </row>
    <row r="97" spans="2:138" ht="20.25" customHeight="1" x14ac:dyDescent="0.3">
      <c r="B97" s="27" t="s">
        <v>113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3">
        <f>SUM(C97:L97)*Inicio!$W$4</f>
        <v>0</v>
      </c>
      <c r="DT97" s="3">
        <f>SUM(M97:V97)*Inicio!$W$5</f>
        <v>0</v>
      </c>
      <c r="DU97" s="3">
        <f>SUM(W97:AF97)*Inicio!$W$6</f>
        <v>0</v>
      </c>
      <c r="DV97" s="3">
        <f>SUM(AG97:AP97)*Inicio!$W$7</f>
        <v>0</v>
      </c>
      <c r="DW97" s="3">
        <f>SUM(AQ97:AZ97)*Inicio!$W$8</f>
        <v>0</v>
      </c>
      <c r="DX97" s="3">
        <f>SUM(BA97:BJ97)*Inicio!$W$9</f>
        <v>0</v>
      </c>
      <c r="DY97" s="3">
        <f>SUM(BK97:BT97)*Inicio!$W$10</f>
        <v>0</v>
      </c>
      <c r="DZ97" s="3">
        <f>SUM(BU97:CD97)*Inicio!$W$11</f>
        <v>0</v>
      </c>
      <c r="EA97" s="3">
        <f>SUM(CE97:CN97)*Inicio!$W$12</f>
        <v>0</v>
      </c>
      <c r="EB97" s="3">
        <f>SUM(CO97:CX97)*Inicio!$W$13</f>
        <v>0</v>
      </c>
      <c r="EC97" s="3">
        <f>SUM(CY97:DH97)*Inicio!$W$11</f>
        <v>0</v>
      </c>
      <c r="ED97" s="3">
        <f>SUM(DI97:DR97)*Inicio!$W$12</f>
        <v>0</v>
      </c>
      <c r="EE97" s="3">
        <f t="shared" si="6"/>
        <v>0</v>
      </c>
      <c r="EF97" s="3">
        <f t="shared" si="9"/>
        <v>0</v>
      </c>
      <c r="EG97" s="3">
        <f t="shared" si="7"/>
        <v>0</v>
      </c>
      <c r="EH97" s="3">
        <f t="shared" si="9"/>
        <v>0</v>
      </c>
    </row>
    <row r="98" spans="2:138" ht="20.25" customHeight="1" x14ac:dyDescent="0.3">
      <c r="B98" s="28" t="s">
        <v>114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4">
        <f>SUM(C98:L98)*Inicio!$W$4</f>
        <v>0</v>
      </c>
      <c r="DT98" s="4">
        <f>SUM(M98:V98)*Inicio!$W$5</f>
        <v>0</v>
      </c>
      <c r="DU98" s="4">
        <f>SUM(W98:AF98)*Inicio!$W$6</f>
        <v>0</v>
      </c>
      <c r="DV98" s="4">
        <f>SUM(AG98:AP98)*Inicio!$W$7</f>
        <v>0</v>
      </c>
      <c r="DW98" s="4">
        <f>SUM(AQ98:AZ98)*Inicio!$W$8</f>
        <v>0</v>
      </c>
      <c r="DX98" s="4">
        <f>SUM(BA98:BJ98)*Inicio!$W$9</f>
        <v>0</v>
      </c>
      <c r="DY98" s="4">
        <f>SUM(BK98:BT98)*Inicio!$W$10</f>
        <v>0</v>
      </c>
      <c r="DZ98" s="4">
        <f>SUM(BU98:CD98)*Inicio!$W$11</f>
        <v>0</v>
      </c>
      <c r="EA98" s="4">
        <f>SUM(CE98:CN98)*Inicio!$W$12</f>
        <v>0</v>
      </c>
      <c r="EB98" s="4">
        <f>SUM(CO98:CX98)*Inicio!$W$13</f>
        <v>0</v>
      </c>
      <c r="EC98" s="4">
        <f>SUM(CY98:DH98)*Inicio!$W$11</f>
        <v>0</v>
      </c>
      <c r="ED98" s="4">
        <f>SUM(DI98:DR98)*Inicio!$W$12</f>
        <v>0</v>
      </c>
      <c r="EE98" s="4">
        <f t="shared" si="6"/>
        <v>0</v>
      </c>
      <c r="EF98" s="4">
        <f t="shared" si="9"/>
        <v>0</v>
      </c>
      <c r="EG98" s="4">
        <f t="shared" si="7"/>
        <v>0</v>
      </c>
      <c r="EH98" s="4">
        <f t="shared" si="9"/>
        <v>0</v>
      </c>
    </row>
    <row r="99" spans="2:138" ht="20.25" customHeight="1" x14ac:dyDescent="0.3">
      <c r="B99" s="28" t="s">
        <v>115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4">
        <f>SUM(C99:L99)*Inicio!$W$4</f>
        <v>0</v>
      </c>
      <c r="DT99" s="4">
        <f>SUM(M99:V99)*Inicio!$W$5</f>
        <v>0</v>
      </c>
      <c r="DU99" s="4">
        <f>SUM(W99:AF99)*Inicio!$W$6</f>
        <v>0</v>
      </c>
      <c r="DV99" s="4">
        <f>SUM(AG99:AP99)*Inicio!$W$7</f>
        <v>0</v>
      </c>
      <c r="DW99" s="4">
        <f>SUM(AQ99:AZ99)*Inicio!$W$8</f>
        <v>0</v>
      </c>
      <c r="DX99" s="4">
        <f>SUM(BA99:BJ99)*Inicio!$W$9</f>
        <v>0</v>
      </c>
      <c r="DY99" s="4">
        <f>SUM(BK99:BT99)*Inicio!$W$10</f>
        <v>0</v>
      </c>
      <c r="DZ99" s="4">
        <f>SUM(BU99:CD99)*Inicio!$W$11</f>
        <v>0</v>
      </c>
      <c r="EA99" s="4">
        <f>SUM(CE99:CN99)*Inicio!$W$12</f>
        <v>0</v>
      </c>
      <c r="EB99" s="4">
        <f>SUM(CO99:CX99)*Inicio!$W$13</f>
        <v>0</v>
      </c>
      <c r="EC99" s="4">
        <f>SUM(CY99:DH99)*Inicio!$W$11</f>
        <v>0</v>
      </c>
      <c r="ED99" s="4">
        <f>SUM(DI99:DR99)*Inicio!$W$12</f>
        <v>0</v>
      </c>
      <c r="EE99" s="4">
        <f t="shared" si="6"/>
        <v>0</v>
      </c>
      <c r="EF99" s="4">
        <f t="shared" si="9"/>
        <v>0</v>
      </c>
      <c r="EG99" s="4">
        <f t="shared" si="7"/>
        <v>0</v>
      </c>
      <c r="EH99" s="4">
        <f t="shared" si="9"/>
        <v>0</v>
      </c>
    </row>
    <row r="100" spans="2:138" ht="20.25" customHeight="1" x14ac:dyDescent="0.3">
      <c r="B100" s="26" t="s">
        <v>116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5">
        <f>SUM(C100:L100)*Inicio!$W$4</f>
        <v>0</v>
      </c>
      <c r="DT100" s="5">
        <f>SUM(M100:V100)*Inicio!$W$5</f>
        <v>0</v>
      </c>
      <c r="DU100" s="5">
        <f>SUM(W100:AF100)*Inicio!$W$6</f>
        <v>0</v>
      </c>
      <c r="DV100" s="5">
        <f>SUM(AG100:AP100)*Inicio!$W$7</f>
        <v>0</v>
      </c>
      <c r="DW100" s="5">
        <f>SUM(AQ100:AZ100)*Inicio!$W$8</f>
        <v>0</v>
      </c>
      <c r="DX100" s="5">
        <f>SUM(BA100:BJ100)*Inicio!$W$9</f>
        <v>0</v>
      </c>
      <c r="DY100" s="5">
        <f>SUM(BK100:BT100)*Inicio!$W$10</f>
        <v>0</v>
      </c>
      <c r="DZ100" s="5">
        <f>SUM(BU100:CD100)*Inicio!$W$11</f>
        <v>0</v>
      </c>
      <c r="EA100" s="5">
        <f>SUM(CE100:CN100)*Inicio!$W$12</f>
        <v>0</v>
      </c>
      <c r="EB100" s="5">
        <f>SUM(CO100:CX100)*Inicio!$W$13</f>
        <v>0</v>
      </c>
      <c r="EC100" s="5">
        <f>SUM(CY100:DH100)*Inicio!$W$11</f>
        <v>0</v>
      </c>
      <c r="ED100" s="5">
        <f>SUM(DI100:DR100)*Inicio!$W$12</f>
        <v>0</v>
      </c>
      <c r="EE100" s="5">
        <f t="shared" si="6"/>
        <v>0</v>
      </c>
      <c r="EF100" s="5">
        <f t="shared" si="9"/>
        <v>0</v>
      </c>
      <c r="EG100" s="5">
        <f t="shared" si="7"/>
        <v>0</v>
      </c>
      <c r="EH100" s="5">
        <f t="shared" si="9"/>
        <v>0</v>
      </c>
    </row>
    <row r="101" spans="2:138" ht="20.25" customHeight="1" x14ac:dyDescent="0.3">
      <c r="B101" s="23" t="s">
        <v>117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4">
        <f>SUM(C101:L101)*Inicio!$W$4</f>
        <v>0</v>
      </c>
      <c r="DT101" s="4">
        <f>SUM(M101:V101)*Inicio!$W$5</f>
        <v>0</v>
      </c>
      <c r="DU101" s="4">
        <f>SUM(W101:AF101)*Inicio!$W$6</f>
        <v>0</v>
      </c>
      <c r="DV101" s="4">
        <f>SUM(AG101:AP101)*Inicio!$W$7</f>
        <v>0</v>
      </c>
      <c r="DW101" s="4">
        <f>SUM(AQ101:AZ101)*Inicio!$W$8</f>
        <v>0</v>
      </c>
      <c r="DX101" s="4">
        <f>SUM(BA101:BJ101)*Inicio!$W$9</f>
        <v>0</v>
      </c>
      <c r="DY101" s="4">
        <f>SUM(BK101:BT101)*Inicio!$W$10</f>
        <v>0</v>
      </c>
      <c r="DZ101" s="4">
        <f>SUM(BU101:CD101)*Inicio!$W$11</f>
        <v>0</v>
      </c>
      <c r="EA101" s="4">
        <f>SUM(CE101:CN101)*Inicio!$W$12</f>
        <v>0</v>
      </c>
      <c r="EB101" s="4">
        <f>SUM(CO101:CX101)*Inicio!$W$13</f>
        <v>0</v>
      </c>
      <c r="EC101" s="4">
        <f>SUM(CY101:DH101)*Inicio!$W$11</f>
        <v>0</v>
      </c>
      <c r="ED101" s="4">
        <f>SUM(DI101:DR101)*Inicio!$W$12</f>
        <v>0</v>
      </c>
      <c r="EE101" s="4">
        <f t="shared" si="6"/>
        <v>0</v>
      </c>
      <c r="EF101" s="4">
        <f t="shared" si="9"/>
        <v>0</v>
      </c>
      <c r="EG101" s="4">
        <f t="shared" si="7"/>
        <v>0</v>
      </c>
      <c r="EH101" s="4">
        <f t="shared" si="9"/>
        <v>0</v>
      </c>
    </row>
    <row r="102" spans="2:138" ht="20.25" customHeight="1" x14ac:dyDescent="0.3">
      <c r="B102" s="24" t="s">
        <v>118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4">
        <f>SUM(C102:L102)*Inicio!$W$4</f>
        <v>0</v>
      </c>
      <c r="DT102" s="4">
        <f>SUM(M102:V102)*Inicio!$W$5</f>
        <v>0</v>
      </c>
      <c r="DU102" s="4">
        <f>SUM(W102:AF102)*Inicio!$W$6</f>
        <v>0</v>
      </c>
      <c r="DV102" s="4">
        <f>SUM(AG102:AP102)*Inicio!$W$7</f>
        <v>0</v>
      </c>
      <c r="DW102" s="4">
        <f>SUM(AQ102:AZ102)*Inicio!$W$8</f>
        <v>0</v>
      </c>
      <c r="DX102" s="4">
        <f>SUM(BA102:BJ102)*Inicio!$W$9</f>
        <v>0</v>
      </c>
      <c r="DY102" s="4">
        <f>SUM(BK102:BT102)*Inicio!$W$10</f>
        <v>0</v>
      </c>
      <c r="DZ102" s="4">
        <f>SUM(BU102:CD102)*Inicio!$W$11</f>
        <v>0</v>
      </c>
      <c r="EA102" s="4">
        <f>SUM(CE102:CN102)*Inicio!$W$12</f>
        <v>0</v>
      </c>
      <c r="EB102" s="4">
        <f>SUM(CO102:CX102)*Inicio!$W$13</f>
        <v>0</v>
      </c>
      <c r="EC102" s="4">
        <f>SUM(CY102:DH102)*Inicio!$W$11</f>
        <v>0</v>
      </c>
      <c r="ED102" s="4">
        <f>SUM(DI102:DR102)*Inicio!$W$12</f>
        <v>0</v>
      </c>
      <c r="EE102" s="4">
        <f t="shared" si="6"/>
        <v>0</v>
      </c>
      <c r="EF102" s="4">
        <f t="shared" si="9"/>
        <v>0</v>
      </c>
      <c r="EG102" s="4">
        <f t="shared" si="7"/>
        <v>0</v>
      </c>
      <c r="EH102" s="4">
        <f t="shared" si="9"/>
        <v>0</v>
      </c>
    </row>
    <row r="103" spans="2:138" ht="20.25" customHeight="1" x14ac:dyDescent="0.3">
      <c r="B103" s="24" t="s">
        <v>119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4">
        <f>SUM(C103:L103)*Inicio!$W$4</f>
        <v>0</v>
      </c>
      <c r="DT103" s="4">
        <f>SUM(M103:V103)*Inicio!$W$5</f>
        <v>0</v>
      </c>
      <c r="DU103" s="4">
        <f>SUM(W103:AF103)*Inicio!$W$6</f>
        <v>0</v>
      </c>
      <c r="DV103" s="4">
        <f>SUM(AG103:AP103)*Inicio!$W$7</f>
        <v>0</v>
      </c>
      <c r="DW103" s="4">
        <f>SUM(AQ103:AZ103)*Inicio!$W$8</f>
        <v>0</v>
      </c>
      <c r="DX103" s="4">
        <f>SUM(BA103:BJ103)*Inicio!$W$9</f>
        <v>0</v>
      </c>
      <c r="DY103" s="4">
        <f>SUM(BK103:BT103)*Inicio!$W$10</f>
        <v>0</v>
      </c>
      <c r="DZ103" s="4">
        <f>SUM(BU103:CD103)*Inicio!$W$11</f>
        <v>0</v>
      </c>
      <c r="EA103" s="4">
        <f>SUM(CE103:CN103)*Inicio!$W$12</f>
        <v>0</v>
      </c>
      <c r="EB103" s="4">
        <f>SUM(CO103:CX103)*Inicio!$W$13</f>
        <v>0</v>
      </c>
      <c r="EC103" s="4">
        <f>SUM(CY103:DH103)*Inicio!$W$11</f>
        <v>0</v>
      </c>
      <c r="ED103" s="4">
        <f>SUM(DI103:DR103)*Inicio!$W$12</f>
        <v>0</v>
      </c>
      <c r="EE103" s="4">
        <f t="shared" si="6"/>
        <v>0</v>
      </c>
      <c r="EF103" s="4">
        <f t="shared" si="9"/>
        <v>0</v>
      </c>
      <c r="EG103" s="4">
        <f t="shared" si="7"/>
        <v>0</v>
      </c>
      <c r="EH103" s="4">
        <f t="shared" si="9"/>
        <v>0</v>
      </c>
    </row>
    <row r="104" spans="2:138" ht="20.25" customHeight="1" x14ac:dyDescent="0.3">
      <c r="B104" s="25" t="s">
        <v>120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5">
        <f>SUM(C104:L104)*Inicio!$W$4</f>
        <v>0</v>
      </c>
      <c r="DT104" s="5">
        <f>SUM(M104:V104)*Inicio!$W$5</f>
        <v>0</v>
      </c>
      <c r="DU104" s="5">
        <f>SUM(W104:AF104)*Inicio!$W$6</f>
        <v>0</v>
      </c>
      <c r="DV104" s="5">
        <f>SUM(AG104:AP104)*Inicio!$W$7</f>
        <v>0</v>
      </c>
      <c r="DW104" s="5">
        <f>SUM(AQ104:AZ104)*Inicio!$W$8</f>
        <v>0</v>
      </c>
      <c r="DX104" s="5">
        <f>SUM(BA104:BJ104)*Inicio!$W$9</f>
        <v>0</v>
      </c>
      <c r="DY104" s="5">
        <f>SUM(BK104:BT104)*Inicio!$W$10</f>
        <v>0</v>
      </c>
      <c r="DZ104" s="5">
        <f>SUM(BU104:CD104)*Inicio!$W$11</f>
        <v>0</v>
      </c>
      <c r="EA104" s="5">
        <f>SUM(CE104:CN104)*Inicio!$W$12</f>
        <v>0</v>
      </c>
      <c r="EB104" s="5">
        <f>SUM(CO104:CX104)*Inicio!$W$13</f>
        <v>0</v>
      </c>
      <c r="EC104" s="5">
        <f>SUM(CY104:DH104)*Inicio!$W$11</f>
        <v>0</v>
      </c>
      <c r="ED104" s="5">
        <f>SUM(DI104:DR104)*Inicio!$W$12</f>
        <v>0</v>
      </c>
      <c r="EE104" s="5">
        <f t="shared" si="6"/>
        <v>0</v>
      </c>
      <c r="EF104" s="5">
        <f t="shared" si="9"/>
        <v>0</v>
      </c>
      <c r="EG104" s="5">
        <f t="shared" si="7"/>
        <v>0</v>
      </c>
      <c r="EH104" s="5">
        <f t="shared" si="9"/>
        <v>0</v>
      </c>
    </row>
    <row r="105" spans="2:138" ht="20.25" customHeight="1" x14ac:dyDescent="0.3">
      <c r="B105" s="6" t="s">
        <v>121</v>
      </c>
      <c r="C105" s="7">
        <f>SUM(C9:C32)</f>
        <v>0</v>
      </c>
      <c r="D105" s="7">
        <f t="shared" ref="D105:BO105" si="10">SUM(D9:D32)</f>
        <v>0</v>
      </c>
      <c r="E105" s="7">
        <f t="shared" si="10"/>
        <v>0</v>
      </c>
      <c r="F105" s="7">
        <f t="shared" si="10"/>
        <v>0</v>
      </c>
      <c r="G105" s="7">
        <f t="shared" si="10"/>
        <v>0</v>
      </c>
      <c r="H105" s="7">
        <f t="shared" si="10"/>
        <v>0</v>
      </c>
      <c r="I105" s="7">
        <f t="shared" si="10"/>
        <v>0</v>
      </c>
      <c r="J105" s="7">
        <f t="shared" si="10"/>
        <v>0</v>
      </c>
      <c r="K105" s="7">
        <f t="shared" si="10"/>
        <v>0</v>
      </c>
      <c r="L105" s="7">
        <f t="shared" si="10"/>
        <v>0</v>
      </c>
      <c r="M105" s="7">
        <f t="shared" si="10"/>
        <v>0</v>
      </c>
      <c r="N105" s="7">
        <f t="shared" si="10"/>
        <v>0</v>
      </c>
      <c r="O105" s="7">
        <f t="shared" si="10"/>
        <v>0</v>
      </c>
      <c r="P105" s="7">
        <f t="shared" si="10"/>
        <v>0</v>
      </c>
      <c r="Q105" s="7">
        <f t="shared" si="10"/>
        <v>0</v>
      </c>
      <c r="R105" s="7">
        <f t="shared" si="10"/>
        <v>0</v>
      </c>
      <c r="S105" s="7">
        <f t="shared" si="10"/>
        <v>0</v>
      </c>
      <c r="T105" s="7">
        <f t="shared" si="10"/>
        <v>0</v>
      </c>
      <c r="U105" s="7">
        <f t="shared" si="10"/>
        <v>0</v>
      </c>
      <c r="V105" s="7">
        <f t="shared" si="10"/>
        <v>0</v>
      </c>
      <c r="W105" s="7">
        <f t="shared" si="10"/>
        <v>0</v>
      </c>
      <c r="X105" s="7">
        <f t="shared" si="10"/>
        <v>0</v>
      </c>
      <c r="Y105" s="7">
        <f t="shared" si="10"/>
        <v>0</v>
      </c>
      <c r="Z105" s="7">
        <f t="shared" si="10"/>
        <v>0</v>
      </c>
      <c r="AA105" s="7">
        <f t="shared" si="10"/>
        <v>0</v>
      </c>
      <c r="AB105" s="7">
        <f t="shared" si="10"/>
        <v>0</v>
      </c>
      <c r="AC105" s="7">
        <f t="shared" si="10"/>
        <v>0</v>
      </c>
      <c r="AD105" s="7">
        <f t="shared" si="10"/>
        <v>0</v>
      </c>
      <c r="AE105" s="7">
        <f t="shared" si="10"/>
        <v>0</v>
      </c>
      <c r="AF105" s="7">
        <f t="shared" si="10"/>
        <v>0</v>
      </c>
      <c r="AG105" s="7">
        <f t="shared" si="10"/>
        <v>0</v>
      </c>
      <c r="AH105" s="7">
        <f t="shared" si="10"/>
        <v>0</v>
      </c>
      <c r="AI105" s="7">
        <f t="shared" si="10"/>
        <v>0</v>
      </c>
      <c r="AJ105" s="7">
        <f t="shared" si="10"/>
        <v>0</v>
      </c>
      <c r="AK105" s="7">
        <f t="shared" si="10"/>
        <v>0</v>
      </c>
      <c r="AL105" s="7">
        <f t="shared" si="10"/>
        <v>0</v>
      </c>
      <c r="AM105" s="7">
        <f t="shared" si="10"/>
        <v>0</v>
      </c>
      <c r="AN105" s="7">
        <f t="shared" si="10"/>
        <v>0</v>
      </c>
      <c r="AO105" s="7">
        <f t="shared" si="10"/>
        <v>0</v>
      </c>
      <c r="AP105" s="7">
        <f t="shared" si="10"/>
        <v>0</v>
      </c>
      <c r="AQ105" s="7">
        <f t="shared" si="10"/>
        <v>0</v>
      </c>
      <c r="AR105" s="7">
        <f t="shared" si="10"/>
        <v>0</v>
      </c>
      <c r="AS105" s="7">
        <f t="shared" si="10"/>
        <v>0</v>
      </c>
      <c r="AT105" s="7">
        <f t="shared" si="10"/>
        <v>0</v>
      </c>
      <c r="AU105" s="7">
        <f t="shared" si="10"/>
        <v>0</v>
      </c>
      <c r="AV105" s="7">
        <f t="shared" si="10"/>
        <v>0</v>
      </c>
      <c r="AW105" s="7">
        <f t="shared" si="10"/>
        <v>0</v>
      </c>
      <c r="AX105" s="7">
        <f t="shared" si="10"/>
        <v>0</v>
      </c>
      <c r="AY105" s="7">
        <f t="shared" si="10"/>
        <v>0</v>
      </c>
      <c r="AZ105" s="7">
        <f t="shared" si="10"/>
        <v>0</v>
      </c>
      <c r="BA105" s="7">
        <f t="shared" si="10"/>
        <v>0</v>
      </c>
      <c r="BB105" s="7">
        <f t="shared" si="10"/>
        <v>0</v>
      </c>
      <c r="BC105" s="7">
        <f t="shared" si="10"/>
        <v>0</v>
      </c>
      <c r="BD105" s="7">
        <f t="shared" si="10"/>
        <v>0</v>
      </c>
      <c r="BE105" s="7">
        <f t="shared" si="10"/>
        <v>0</v>
      </c>
      <c r="BF105" s="7">
        <f t="shared" si="10"/>
        <v>0</v>
      </c>
      <c r="BG105" s="7">
        <f t="shared" si="10"/>
        <v>0</v>
      </c>
      <c r="BH105" s="7">
        <f t="shared" si="10"/>
        <v>0</v>
      </c>
      <c r="BI105" s="7">
        <f t="shared" si="10"/>
        <v>0</v>
      </c>
      <c r="BJ105" s="7">
        <f t="shared" si="10"/>
        <v>0</v>
      </c>
      <c r="BK105" s="7">
        <f t="shared" si="10"/>
        <v>0</v>
      </c>
      <c r="BL105" s="7">
        <f t="shared" si="10"/>
        <v>0</v>
      </c>
      <c r="BM105" s="7">
        <f t="shared" si="10"/>
        <v>0</v>
      </c>
      <c r="BN105" s="7">
        <f t="shared" si="10"/>
        <v>0</v>
      </c>
      <c r="BO105" s="7">
        <f t="shared" si="10"/>
        <v>0</v>
      </c>
      <c r="BP105" s="7">
        <f t="shared" ref="BP105:CX105" si="11">SUM(BP9:BP32)</f>
        <v>0</v>
      </c>
      <c r="BQ105" s="7">
        <f t="shared" si="11"/>
        <v>0</v>
      </c>
      <c r="BR105" s="7">
        <f t="shared" si="11"/>
        <v>0</v>
      </c>
      <c r="BS105" s="7">
        <f t="shared" si="11"/>
        <v>0</v>
      </c>
      <c r="BT105" s="7">
        <f t="shared" si="11"/>
        <v>0</v>
      </c>
      <c r="BU105" s="7">
        <f t="shared" si="11"/>
        <v>0</v>
      </c>
      <c r="BV105" s="7">
        <f t="shared" si="11"/>
        <v>0</v>
      </c>
      <c r="BW105" s="7">
        <f t="shared" si="11"/>
        <v>0</v>
      </c>
      <c r="BX105" s="7">
        <f t="shared" si="11"/>
        <v>0</v>
      </c>
      <c r="BY105" s="7">
        <f t="shared" si="11"/>
        <v>0</v>
      </c>
      <c r="BZ105" s="7">
        <f t="shared" si="11"/>
        <v>0</v>
      </c>
      <c r="CA105" s="7">
        <f t="shared" si="11"/>
        <v>0</v>
      </c>
      <c r="CB105" s="7">
        <f t="shared" si="11"/>
        <v>0</v>
      </c>
      <c r="CC105" s="7">
        <f t="shared" si="11"/>
        <v>0</v>
      </c>
      <c r="CD105" s="7">
        <f t="shared" si="11"/>
        <v>0</v>
      </c>
      <c r="CE105" s="7">
        <f t="shared" si="11"/>
        <v>0</v>
      </c>
      <c r="CF105" s="7">
        <f t="shared" si="11"/>
        <v>0</v>
      </c>
      <c r="CG105" s="7">
        <f t="shared" si="11"/>
        <v>0</v>
      </c>
      <c r="CH105" s="7">
        <f t="shared" si="11"/>
        <v>0</v>
      </c>
      <c r="CI105" s="7">
        <f t="shared" si="11"/>
        <v>0</v>
      </c>
      <c r="CJ105" s="7">
        <f t="shared" si="11"/>
        <v>0</v>
      </c>
      <c r="CK105" s="7">
        <f t="shared" si="11"/>
        <v>0</v>
      </c>
      <c r="CL105" s="7">
        <f t="shared" si="11"/>
        <v>0</v>
      </c>
      <c r="CM105" s="7">
        <f t="shared" si="11"/>
        <v>0</v>
      </c>
      <c r="CN105" s="7">
        <f t="shared" si="11"/>
        <v>0</v>
      </c>
      <c r="CO105" s="7">
        <f t="shared" si="11"/>
        <v>0</v>
      </c>
      <c r="CP105" s="7">
        <f t="shared" si="11"/>
        <v>0</v>
      </c>
      <c r="CQ105" s="7">
        <f t="shared" si="11"/>
        <v>0</v>
      </c>
      <c r="CR105" s="7">
        <f t="shared" si="11"/>
        <v>0</v>
      </c>
      <c r="CS105" s="7">
        <f t="shared" si="11"/>
        <v>0</v>
      </c>
      <c r="CT105" s="7">
        <f t="shared" si="11"/>
        <v>0</v>
      </c>
      <c r="CU105" s="7">
        <f t="shared" si="11"/>
        <v>0</v>
      </c>
      <c r="CV105" s="7">
        <f t="shared" si="11"/>
        <v>0</v>
      </c>
      <c r="CW105" s="7">
        <f t="shared" si="11"/>
        <v>0</v>
      </c>
      <c r="CX105" s="7">
        <f t="shared" si="11"/>
        <v>0</v>
      </c>
      <c r="CY105" s="7">
        <f t="shared" ref="CY105:DR105" si="12">SUM(CY9:CY32)</f>
        <v>0</v>
      </c>
      <c r="CZ105" s="7">
        <f t="shared" si="12"/>
        <v>0</v>
      </c>
      <c r="DA105" s="7">
        <f t="shared" si="12"/>
        <v>0</v>
      </c>
      <c r="DB105" s="7">
        <f t="shared" si="12"/>
        <v>0</v>
      </c>
      <c r="DC105" s="7">
        <f t="shared" si="12"/>
        <v>0</v>
      </c>
      <c r="DD105" s="7">
        <f t="shared" si="12"/>
        <v>0</v>
      </c>
      <c r="DE105" s="7">
        <f t="shared" si="12"/>
        <v>0</v>
      </c>
      <c r="DF105" s="7">
        <f t="shared" si="12"/>
        <v>0</v>
      </c>
      <c r="DG105" s="7">
        <f t="shared" si="12"/>
        <v>0</v>
      </c>
      <c r="DH105" s="7">
        <f t="shared" si="12"/>
        <v>0</v>
      </c>
      <c r="DI105" s="7">
        <f t="shared" si="12"/>
        <v>0</v>
      </c>
      <c r="DJ105" s="7">
        <f t="shared" si="12"/>
        <v>0</v>
      </c>
      <c r="DK105" s="7">
        <f t="shared" si="12"/>
        <v>0</v>
      </c>
      <c r="DL105" s="7">
        <f t="shared" si="12"/>
        <v>0</v>
      </c>
      <c r="DM105" s="7">
        <f t="shared" si="12"/>
        <v>0</v>
      </c>
      <c r="DN105" s="7">
        <f t="shared" si="12"/>
        <v>0</v>
      </c>
      <c r="DO105" s="7">
        <f t="shared" si="12"/>
        <v>0</v>
      </c>
      <c r="DP105" s="7">
        <f t="shared" si="12"/>
        <v>0</v>
      </c>
      <c r="DQ105" s="7">
        <f t="shared" si="12"/>
        <v>0</v>
      </c>
      <c r="DR105" s="7">
        <f t="shared" si="12"/>
        <v>0</v>
      </c>
      <c r="DS105" s="8"/>
      <c r="DT105" s="9"/>
      <c r="DU105" s="9"/>
      <c r="DV105" s="9"/>
      <c r="DW105" s="9"/>
      <c r="DX105" s="9"/>
      <c r="DY105" s="9"/>
      <c r="DZ105" s="9"/>
      <c r="EA105" s="9"/>
      <c r="EB105" s="9"/>
      <c r="EC105" s="86"/>
      <c r="ED105" s="86"/>
      <c r="EE105" s="10"/>
      <c r="EF105" s="10"/>
      <c r="EG105" s="10"/>
      <c r="EH105" s="10"/>
    </row>
    <row r="106" spans="2:138" ht="20.25" customHeight="1" x14ac:dyDescent="0.3">
      <c r="B106" s="6" t="s">
        <v>122</v>
      </c>
      <c r="C106" s="7">
        <f>SUM(C33:C56)</f>
        <v>0</v>
      </c>
      <c r="D106" s="7">
        <f t="shared" ref="D106:BO106" si="13">SUM(D33:D56)</f>
        <v>0</v>
      </c>
      <c r="E106" s="7">
        <f t="shared" si="13"/>
        <v>0</v>
      </c>
      <c r="F106" s="7">
        <f t="shared" si="13"/>
        <v>0</v>
      </c>
      <c r="G106" s="7">
        <f t="shared" si="13"/>
        <v>0</v>
      </c>
      <c r="H106" s="7">
        <f t="shared" si="13"/>
        <v>0</v>
      </c>
      <c r="I106" s="7">
        <f t="shared" si="13"/>
        <v>0</v>
      </c>
      <c r="J106" s="7">
        <f t="shared" si="13"/>
        <v>0</v>
      </c>
      <c r="K106" s="7">
        <f t="shared" si="13"/>
        <v>0</v>
      </c>
      <c r="L106" s="7">
        <f t="shared" si="13"/>
        <v>0</v>
      </c>
      <c r="M106" s="7">
        <f t="shared" si="13"/>
        <v>0</v>
      </c>
      <c r="N106" s="7">
        <f t="shared" si="13"/>
        <v>0</v>
      </c>
      <c r="O106" s="7">
        <f t="shared" si="13"/>
        <v>0</v>
      </c>
      <c r="P106" s="7">
        <f t="shared" si="13"/>
        <v>0</v>
      </c>
      <c r="Q106" s="7">
        <f t="shared" si="13"/>
        <v>0</v>
      </c>
      <c r="R106" s="7">
        <f t="shared" si="13"/>
        <v>0</v>
      </c>
      <c r="S106" s="7">
        <f t="shared" si="13"/>
        <v>0</v>
      </c>
      <c r="T106" s="7">
        <f t="shared" si="13"/>
        <v>0</v>
      </c>
      <c r="U106" s="7">
        <f t="shared" si="13"/>
        <v>0</v>
      </c>
      <c r="V106" s="7">
        <f t="shared" si="13"/>
        <v>0</v>
      </c>
      <c r="W106" s="7">
        <f t="shared" si="13"/>
        <v>0</v>
      </c>
      <c r="X106" s="7">
        <f t="shared" si="13"/>
        <v>0</v>
      </c>
      <c r="Y106" s="7">
        <f t="shared" si="13"/>
        <v>0</v>
      </c>
      <c r="Z106" s="7">
        <f t="shared" si="13"/>
        <v>0</v>
      </c>
      <c r="AA106" s="7">
        <f t="shared" si="13"/>
        <v>0</v>
      </c>
      <c r="AB106" s="7">
        <f t="shared" si="13"/>
        <v>0</v>
      </c>
      <c r="AC106" s="7">
        <f t="shared" si="13"/>
        <v>0</v>
      </c>
      <c r="AD106" s="7">
        <f t="shared" si="13"/>
        <v>0</v>
      </c>
      <c r="AE106" s="7">
        <f t="shared" si="13"/>
        <v>0</v>
      </c>
      <c r="AF106" s="7">
        <f t="shared" si="13"/>
        <v>0</v>
      </c>
      <c r="AG106" s="7">
        <f t="shared" si="13"/>
        <v>0</v>
      </c>
      <c r="AH106" s="7">
        <f t="shared" si="13"/>
        <v>0</v>
      </c>
      <c r="AI106" s="7">
        <f t="shared" si="13"/>
        <v>0</v>
      </c>
      <c r="AJ106" s="7">
        <f t="shared" si="13"/>
        <v>0</v>
      </c>
      <c r="AK106" s="7">
        <f t="shared" si="13"/>
        <v>0</v>
      </c>
      <c r="AL106" s="7">
        <f t="shared" si="13"/>
        <v>0</v>
      </c>
      <c r="AM106" s="7">
        <f t="shared" si="13"/>
        <v>0</v>
      </c>
      <c r="AN106" s="7">
        <f t="shared" si="13"/>
        <v>0</v>
      </c>
      <c r="AO106" s="7">
        <f t="shared" si="13"/>
        <v>0</v>
      </c>
      <c r="AP106" s="7">
        <f t="shared" si="13"/>
        <v>0</v>
      </c>
      <c r="AQ106" s="7">
        <f t="shared" si="13"/>
        <v>0</v>
      </c>
      <c r="AR106" s="7">
        <f t="shared" si="13"/>
        <v>0</v>
      </c>
      <c r="AS106" s="7">
        <f t="shared" si="13"/>
        <v>0</v>
      </c>
      <c r="AT106" s="7">
        <f t="shared" si="13"/>
        <v>0</v>
      </c>
      <c r="AU106" s="7">
        <f t="shared" si="13"/>
        <v>0</v>
      </c>
      <c r="AV106" s="7">
        <f t="shared" si="13"/>
        <v>0</v>
      </c>
      <c r="AW106" s="7">
        <f t="shared" si="13"/>
        <v>0</v>
      </c>
      <c r="AX106" s="7">
        <f t="shared" si="13"/>
        <v>0</v>
      </c>
      <c r="AY106" s="7">
        <f t="shared" si="13"/>
        <v>0</v>
      </c>
      <c r="AZ106" s="7">
        <f t="shared" si="13"/>
        <v>0</v>
      </c>
      <c r="BA106" s="7">
        <f t="shared" si="13"/>
        <v>0</v>
      </c>
      <c r="BB106" s="7">
        <f t="shared" si="13"/>
        <v>0</v>
      </c>
      <c r="BC106" s="7">
        <f t="shared" si="13"/>
        <v>0</v>
      </c>
      <c r="BD106" s="7">
        <f t="shared" si="13"/>
        <v>0</v>
      </c>
      <c r="BE106" s="7">
        <f t="shared" si="13"/>
        <v>0</v>
      </c>
      <c r="BF106" s="7">
        <f t="shared" si="13"/>
        <v>0</v>
      </c>
      <c r="BG106" s="7">
        <f t="shared" si="13"/>
        <v>0</v>
      </c>
      <c r="BH106" s="7">
        <f t="shared" si="13"/>
        <v>0</v>
      </c>
      <c r="BI106" s="7">
        <f t="shared" si="13"/>
        <v>0</v>
      </c>
      <c r="BJ106" s="7">
        <f t="shared" si="13"/>
        <v>0</v>
      </c>
      <c r="BK106" s="7">
        <f t="shared" si="13"/>
        <v>0</v>
      </c>
      <c r="BL106" s="7">
        <f t="shared" si="13"/>
        <v>0</v>
      </c>
      <c r="BM106" s="7">
        <f t="shared" si="13"/>
        <v>0</v>
      </c>
      <c r="BN106" s="7">
        <f t="shared" si="13"/>
        <v>0</v>
      </c>
      <c r="BO106" s="7">
        <f t="shared" si="13"/>
        <v>0</v>
      </c>
      <c r="BP106" s="7">
        <f t="shared" ref="BP106:CX106" si="14">SUM(BP33:BP56)</f>
        <v>0</v>
      </c>
      <c r="BQ106" s="7">
        <f t="shared" si="14"/>
        <v>0</v>
      </c>
      <c r="BR106" s="7">
        <f t="shared" si="14"/>
        <v>0</v>
      </c>
      <c r="BS106" s="7">
        <f t="shared" si="14"/>
        <v>0</v>
      </c>
      <c r="BT106" s="7">
        <f t="shared" si="14"/>
        <v>0</v>
      </c>
      <c r="BU106" s="7">
        <f t="shared" si="14"/>
        <v>0</v>
      </c>
      <c r="BV106" s="7">
        <f t="shared" si="14"/>
        <v>0</v>
      </c>
      <c r="BW106" s="7">
        <f t="shared" si="14"/>
        <v>0</v>
      </c>
      <c r="BX106" s="7">
        <f t="shared" si="14"/>
        <v>0</v>
      </c>
      <c r="BY106" s="7">
        <f t="shared" si="14"/>
        <v>0</v>
      </c>
      <c r="BZ106" s="7">
        <f t="shared" si="14"/>
        <v>0</v>
      </c>
      <c r="CA106" s="7">
        <f t="shared" si="14"/>
        <v>0</v>
      </c>
      <c r="CB106" s="7">
        <f t="shared" si="14"/>
        <v>0</v>
      </c>
      <c r="CC106" s="7">
        <f t="shared" si="14"/>
        <v>0</v>
      </c>
      <c r="CD106" s="7">
        <f t="shared" si="14"/>
        <v>0</v>
      </c>
      <c r="CE106" s="7">
        <f t="shared" si="14"/>
        <v>0</v>
      </c>
      <c r="CF106" s="7">
        <f t="shared" si="14"/>
        <v>0</v>
      </c>
      <c r="CG106" s="7">
        <f t="shared" si="14"/>
        <v>0</v>
      </c>
      <c r="CH106" s="7">
        <f t="shared" si="14"/>
        <v>0</v>
      </c>
      <c r="CI106" s="7">
        <f t="shared" si="14"/>
        <v>0</v>
      </c>
      <c r="CJ106" s="7">
        <f t="shared" si="14"/>
        <v>0</v>
      </c>
      <c r="CK106" s="7">
        <f t="shared" si="14"/>
        <v>0</v>
      </c>
      <c r="CL106" s="7">
        <f t="shared" si="14"/>
        <v>0</v>
      </c>
      <c r="CM106" s="7">
        <f t="shared" si="14"/>
        <v>0</v>
      </c>
      <c r="CN106" s="7">
        <f t="shared" si="14"/>
        <v>0</v>
      </c>
      <c r="CO106" s="7">
        <f t="shared" si="14"/>
        <v>0</v>
      </c>
      <c r="CP106" s="7">
        <f t="shared" si="14"/>
        <v>0</v>
      </c>
      <c r="CQ106" s="7">
        <f t="shared" si="14"/>
        <v>0</v>
      </c>
      <c r="CR106" s="7">
        <f t="shared" si="14"/>
        <v>0</v>
      </c>
      <c r="CS106" s="7">
        <f t="shared" si="14"/>
        <v>0</v>
      </c>
      <c r="CT106" s="7">
        <f t="shared" si="14"/>
        <v>0</v>
      </c>
      <c r="CU106" s="7">
        <f t="shared" si="14"/>
        <v>0</v>
      </c>
      <c r="CV106" s="7">
        <f t="shared" si="14"/>
        <v>0</v>
      </c>
      <c r="CW106" s="7">
        <f t="shared" si="14"/>
        <v>0</v>
      </c>
      <c r="CX106" s="7">
        <f t="shared" si="14"/>
        <v>0</v>
      </c>
      <c r="CY106" s="7">
        <f t="shared" ref="CY106:DR106" si="15">SUM(CY33:CY56)</f>
        <v>0</v>
      </c>
      <c r="CZ106" s="7">
        <f t="shared" si="15"/>
        <v>0</v>
      </c>
      <c r="DA106" s="7">
        <f t="shared" si="15"/>
        <v>0</v>
      </c>
      <c r="DB106" s="7">
        <f t="shared" si="15"/>
        <v>0</v>
      </c>
      <c r="DC106" s="7">
        <f t="shared" si="15"/>
        <v>0</v>
      </c>
      <c r="DD106" s="7">
        <f t="shared" si="15"/>
        <v>0</v>
      </c>
      <c r="DE106" s="7">
        <f t="shared" si="15"/>
        <v>0</v>
      </c>
      <c r="DF106" s="7">
        <f t="shared" si="15"/>
        <v>0</v>
      </c>
      <c r="DG106" s="7">
        <f t="shared" si="15"/>
        <v>0</v>
      </c>
      <c r="DH106" s="7">
        <f t="shared" si="15"/>
        <v>0</v>
      </c>
      <c r="DI106" s="7">
        <f t="shared" si="15"/>
        <v>0</v>
      </c>
      <c r="DJ106" s="7">
        <f t="shared" si="15"/>
        <v>0</v>
      </c>
      <c r="DK106" s="7">
        <f t="shared" si="15"/>
        <v>0</v>
      </c>
      <c r="DL106" s="7">
        <f t="shared" si="15"/>
        <v>0</v>
      </c>
      <c r="DM106" s="7">
        <f t="shared" si="15"/>
        <v>0</v>
      </c>
      <c r="DN106" s="7">
        <f t="shared" si="15"/>
        <v>0</v>
      </c>
      <c r="DO106" s="7">
        <f t="shared" si="15"/>
        <v>0</v>
      </c>
      <c r="DP106" s="7">
        <f t="shared" si="15"/>
        <v>0</v>
      </c>
      <c r="DQ106" s="7">
        <f t="shared" si="15"/>
        <v>0</v>
      </c>
      <c r="DR106" s="7">
        <f t="shared" si="15"/>
        <v>0</v>
      </c>
      <c r="DS106" s="11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0"/>
      <c r="EF106" s="10"/>
      <c r="EG106" s="10"/>
      <c r="EH106" s="10"/>
    </row>
    <row r="107" spans="2:138" ht="20.25" customHeight="1" x14ac:dyDescent="0.3">
      <c r="B107" s="6" t="s">
        <v>123</v>
      </c>
      <c r="C107" s="7">
        <f>SUM(C57:C80)</f>
        <v>0</v>
      </c>
      <c r="D107" s="7">
        <f t="shared" ref="D107:BO107" si="16">SUM(D57:D80)</f>
        <v>0</v>
      </c>
      <c r="E107" s="7">
        <f t="shared" si="16"/>
        <v>0</v>
      </c>
      <c r="F107" s="7">
        <f t="shared" si="16"/>
        <v>0</v>
      </c>
      <c r="G107" s="7">
        <f t="shared" si="16"/>
        <v>0</v>
      </c>
      <c r="H107" s="7">
        <f t="shared" si="16"/>
        <v>0</v>
      </c>
      <c r="I107" s="7">
        <f t="shared" si="16"/>
        <v>0</v>
      </c>
      <c r="J107" s="7">
        <f t="shared" si="16"/>
        <v>0</v>
      </c>
      <c r="K107" s="7">
        <f t="shared" si="16"/>
        <v>0</v>
      </c>
      <c r="L107" s="7">
        <f t="shared" si="16"/>
        <v>0</v>
      </c>
      <c r="M107" s="7">
        <f t="shared" si="16"/>
        <v>0</v>
      </c>
      <c r="N107" s="7">
        <f t="shared" si="16"/>
        <v>0</v>
      </c>
      <c r="O107" s="7">
        <f t="shared" si="16"/>
        <v>0</v>
      </c>
      <c r="P107" s="7">
        <f t="shared" si="16"/>
        <v>0</v>
      </c>
      <c r="Q107" s="7">
        <f t="shared" si="16"/>
        <v>0</v>
      </c>
      <c r="R107" s="7">
        <f t="shared" si="16"/>
        <v>0</v>
      </c>
      <c r="S107" s="7">
        <f t="shared" si="16"/>
        <v>0</v>
      </c>
      <c r="T107" s="7">
        <f t="shared" si="16"/>
        <v>0</v>
      </c>
      <c r="U107" s="7">
        <f t="shared" si="16"/>
        <v>0</v>
      </c>
      <c r="V107" s="7">
        <f t="shared" si="16"/>
        <v>0</v>
      </c>
      <c r="W107" s="7">
        <f t="shared" si="16"/>
        <v>0</v>
      </c>
      <c r="X107" s="7">
        <f t="shared" si="16"/>
        <v>0</v>
      </c>
      <c r="Y107" s="7">
        <f t="shared" si="16"/>
        <v>0</v>
      </c>
      <c r="Z107" s="7">
        <f t="shared" si="16"/>
        <v>0</v>
      </c>
      <c r="AA107" s="7">
        <f t="shared" si="16"/>
        <v>0</v>
      </c>
      <c r="AB107" s="7">
        <f t="shared" si="16"/>
        <v>0</v>
      </c>
      <c r="AC107" s="7">
        <f t="shared" si="16"/>
        <v>0</v>
      </c>
      <c r="AD107" s="7">
        <f t="shared" si="16"/>
        <v>0</v>
      </c>
      <c r="AE107" s="7">
        <f t="shared" si="16"/>
        <v>0</v>
      </c>
      <c r="AF107" s="7">
        <f t="shared" si="16"/>
        <v>0</v>
      </c>
      <c r="AG107" s="7">
        <f t="shared" si="16"/>
        <v>0</v>
      </c>
      <c r="AH107" s="7">
        <f t="shared" si="16"/>
        <v>0</v>
      </c>
      <c r="AI107" s="7">
        <f t="shared" si="16"/>
        <v>0</v>
      </c>
      <c r="AJ107" s="7">
        <f t="shared" si="16"/>
        <v>0</v>
      </c>
      <c r="AK107" s="7">
        <f t="shared" si="16"/>
        <v>0</v>
      </c>
      <c r="AL107" s="7">
        <f t="shared" si="16"/>
        <v>0</v>
      </c>
      <c r="AM107" s="7">
        <f t="shared" si="16"/>
        <v>0</v>
      </c>
      <c r="AN107" s="7">
        <f t="shared" si="16"/>
        <v>0</v>
      </c>
      <c r="AO107" s="7">
        <f t="shared" si="16"/>
        <v>0</v>
      </c>
      <c r="AP107" s="7">
        <f t="shared" si="16"/>
        <v>0</v>
      </c>
      <c r="AQ107" s="7">
        <f t="shared" si="16"/>
        <v>0</v>
      </c>
      <c r="AR107" s="7">
        <f t="shared" si="16"/>
        <v>0</v>
      </c>
      <c r="AS107" s="7">
        <f t="shared" si="16"/>
        <v>0</v>
      </c>
      <c r="AT107" s="7">
        <f t="shared" si="16"/>
        <v>0</v>
      </c>
      <c r="AU107" s="7">
        <f t="shared" si="16"/>
        <v>0</v>
      </c>
      <c r="AV107" s="7">
        <f t="shared" si="16"/>
        <v>0</v>
      </c>
      <c r="AW107" s="7">
        <f t="shared" si="16"/>
        <v>0</v>
      </c>
      <c r="AX107" s="7">
        <f t="shared" si="16"/>
        <v>0</v>
      </c>
      <c r="AY107" s="7">
        <f t="shared" si="16"/>
        <v>0</v>
      </c>
      <c r="AZ107" s="7">
        <f t="shared" si="16"/>
        <v>0</v>
      </c>
      <c r="BA107" s="7">
        <f t="shared" si="16"/>
        <v>0</v>
      </c>
      <c r="BB107" s="7">
        <f t="shared" si="16"/>
        <v>0</v>
      </c>
      <c r="BC107" s="7">
        <f t="shared" si="16"/>
        <v>0</v>
      </c>
      <c r="BD107" s="7">
        <f t="shared" si="16"/>
        <v>0</v>
      </c>
      <c r="BE107" s="7">
        <f t="shared" si="16"/>
        <v>0</v>
      </c>
      <c r="BF107" s="7">
        <f t="shared" si="16"/>
        <v>0</v>
      </c>
      <c r="BG107" s="7">
        <f t="shared" si="16"/>
        <v>0</v>
      </c>
      <c r="BH107" s="7">
        <f t="shared" si="16"/>
        <v>0</v>
      </c>
      <c r="BI107" s="7">
        <f t="shared" si="16"/>
        <v>0</v>
      </c>
      <c r="BJ107" s="7">
        <f t="shared" si="16"/>
        <v>0</v>
      </c>
      <c r="BK107" s="7">
        <f t="shared" si="16"/>
        <v>0</v>
      </c>
      <c r="BL107" s="7">
        <f t="shared" si="16"/>
        <v>0</v>
      </c>
      <c r="BM107" s="7">
        <f t="shared" si="16"/>
        <v>0</v>
      </c>
      <c r="BN107" s="7">
        <f t="shared" si="16"/>
        <v>0</v>
      </c>
      <c r="BO107" s="7">
        <f t="shared" si="16"/>
        <v>0</v>
      </c>
      <c r="BP107" s="7">
        <f t="shared" ref="BP107:CX107" si="17">SUM(BP57:BP80)</f>
        <v>0</v>
      </c>
      <c r="BQ107" s="7">
        <f t="shared" si="17"/>
        <v>0</v>
      </c>
      <c r="BR107" s="7">
        <f t="shared" si="17"/>
        <v>0</v>
      </c>
      <c r="BS107" s="7">
        <f t="shared" si="17"/>
        <v>0</v>
      </c>
      <c r="BT107" s="7">
        <f t="shared" si="17"/>
        <v>0</v>
      </c>
      <c r="BU107" s="7">
        <f t="shared" si="17"/>
        <v>0</v>
      </c>
      <c r="BV107" s="7">
        <f t="shared" si="17"/>
        <v>0</v>
      </c>
      <c r="BW107" s="7">
        <f t="shared" si="17"/>
        <v>0</v>
      </c>
      <c r="BX107" s="7">
        <f t="shared" si="17"/>
        <v>0</v>
      </c>
      <c r="BY107" s="7">
        <f t="shared" si="17"/>
        <v>0</v>
      </c>
      <c r="BZ107" s="7">
        <f t="shared" si="17"/>
        <v>0</v>
      </c>
      <c r="CA107" s="7">
        <f t="shared" si="17"/>
        <v>0</v>
      </c>
      <c r="CB107" s="7">
        <f t="shared" si="17"/>
        <v>0</v>
      </c>
      <c r="CC107" s="7">
        <f t="shared" si="17"/>
        <v>0</v>
      </c>
      <c r="CD107" s="7">
        <f t="shared" si="17"/>
        <v>0</v>
      </c>
      <c r="CE107" s="7">
        <f t="shared" si="17"/>
        <v>0</v>
      </c>
      <c r="CF107" s="7">
        <f t="shared" si="17"/>
        <v>0</v>
      </c>
      <c r="CG107" s="7">
        <f t="shared" si="17"/>
        <v>0</v>
      </c>
      <c r="CH107" s="7">
        <f t="shared" si="17"/>
        <v>0</v>
      </c>
      <c r="CI107" s="7">
        <f t="shared" si="17"/>
        <v>0</v>
      </c>
      <c r="CJ107" s="7">
        <f t="shared" si="17"/>
        <v>0</v>
      </c>
      <c r="CK107" s="7">
        <f t="shared" si="17"/>
        <v>0</v>
      </c>
      <c r="CL107" s="7">
        <f t="shared" si="17"/>
        <v>0</v>
      </c>
      <c r="CM107" s="7">
        <f t="shared" si="17"/>
        <v>0</v>
      </c>
      <c r="CN107" s="7">
        <f t="shared" si="17"/>
        <v>0</v>
      </c>
      <c r="CO107" s="7">
        <f t="shared" si="17"/>
        <v>0</v>
      </c>
      <c r="CP107" s="7">
        <f t="shared" si="17"/>
        <v>0</v>
      </c>
      <c r="CQ107" s="7">
        <f t="shared" si="17"/>
        <v>0</v>
      </c>
      <c r="CR107" s="7">
        <f t="shared" si="17"/>
        <v>0</v>
      </c>
      <c r="CS107" s="7">
        <f t="shared" si="17"/>
        <v>0</v>
      </c>
      <c r="CT107" s="7">
        <f t="shared" si="17"/>
        <v>0</v>
      </c>
      <c r="CU107" s="7">
        <f t="shared" si="17"/>
        <v>0</v>
      </c>
      <c r="CV107" s="7">
        <f t="shared" si="17"/>
        <v>0</v>
      </c>
      <c r="CW107" s="7">
        <f t="shared" si="17"/>
        <v>0</v>
      </c>
      <c r="CX107" s="7">
        <f t="shared" si="17"/>
        <v>0</v>
      </c>
      <c r="CY107" s="7">
        <f t="shared" ref="CY107:DR107" si="18">SUM(CY57:CY80)</f>
        <v>0</v>
      </c>
      <c r="CZ107" s="7">
        <f t="shared" si="18"/>
        <v>0</v>
      </c>
      <c r="DA107" s="7">
        <f t="shared" si="18"/>
        <v>0</v>
      </c>
      <c r="DB107" s="7">
        <f t="shared" si="18"/>
        <v>0</v>
      </c>
      <c r="DC107" s="7">
        <f t="shared" si="18"/>
        <v>0</v>
      </c>
      <c r="DD107" s="7">
        <f t="shared" si="18"/>
        <v>0</v>
      </c>
      <c r="DE107" s="7">
        <f t="shared" si="18"/>
        <v>0</v>
      </c>
      <c r="DF107" s="7">
        <f t="shared" si="18"/>
        <v>0</v>
      </c>
      <c r="DG107" s="7">
        <f t="shared" si="18"/>
        <v>0</v>
      </c>
      <c r="DH107" s="7">
        <f t="shared" si="18"/>
        <v>0</v>
      </c>
      <c r="DI107" s="7">
        <f t="shared" si="18"/>
        <v>0</v>
      </c>
      <c r="DJ107" s="7">
        <f t="shared" si="18"/>
        <v>0</v>
      </c>
      <c r="DK107" s="7">
        <f t="shared" si="18"/>
        <v>0</v>
      </c>
      <c r="DL107" s="7">
        <f t="shared" si="18"/>
        <v>0</v>
      </c>
      <c r="DM107" s="7">
        <f t="shared" si="18"/>
        <v>0</v>
      </c>
      <c r="DN107" s="7">
        <f t="shared" si="18"/>
        <v>0</v>
      </c>
      <c r="DO107" s="7">
        <f t="shared" si="18"/>
        <v>0</v>
      </c>
      <c r="DP107" s="7">
        <f t="shared" si="18"/>
        <v>0</v>
      </c>
      <c r="DQ107" s="7">
        <f t="shared" si="18"/>
        <v>0</v>
      </c>
      <c r="DR107" s="7">
        <f t="shared" si="18"/>
        <v>0</v>
      </c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0"/>
      <c r="EF107" s="10"/>
      <c r="EG107" s="10"/>
      <c r="EH107" s="10"/>
    </row>
    <row r="108" spans="2:138" ht="20.25" customHeight="1" x14ac:dyDescent="0.3">
      <c r="B108" s="6" t="s">
        <v>124</v>
      </c>
      <c r="C108" s="7">
        <f>SUM(C81:C104)</f>
        <v>0</v>
      </c>
      <c r="D108" s="7">
        <f t="shared" ref="D108:BO108" si="19">SUM(D81:D104)</f>
        <v>0</v>
      </c>
      <c r="E108" s="7">
        <f t="shared" si="19"/>
        <v>0</v>
      </c>
      <c r="F108" s="7">
        <f t="shared" si="19"/>
        <v>0</v>
      </c>
      <c r="G108" s="7">
        <f t="shared" si="19"/>
        <v>0</v>
      </c>
      <c r="H108" s="7">
        <f t="shared" si="19"/>
        <v>0</v>
      </c>
      <c r="I108" s="7">
        <f t="shared" si="19"/>
        <v>0</v>
      </c>
      <c r="J108" s="7">
        <f t="shared" si="19"/>
        <v>0</v>
      </c>
      <c r="K108" s="7">
        <f t="shared" si="19"/>
        <v>0</v>
      </c>
      <c r="L108" s="7">
        <f t="shared" si="19"/>
        <v>0</v>
      </c>
      <c r="M108" s="7">
        <f t="shared" si="19"/>
        <v>0</v>
      </c>
      <c r="N108" s="7">
        <f t="shared" si="19"/>
        <v>0</v>
      </c>
      <c r="O108" s="7">
        <f t="shared" si="19"/>
        <v>0</v>
      </c>
      <c r="P108" s="7">
        <f t="shared" si="19"/>
        <v>0</v>
      </c>
      <c r="Q108" s="7">
        <f t="shared" si="19"/>
        <v>0</v>
      </c>
      <c r="R108" s="7">
        <f t="shared" si="19"/>
        <v>0</v>
      </c>
      <c r="S108" s="7">
        <f t="shared" si="19"/>
        <v>0</v>
      </c>
      <c r="T108" s="7">
        <f t="shared" si="19"/>
        <v>0</v>
      </c>
      <c r="U108" s="7">
        <f t="shared" si="19"/>
        <v>0</v>
      </c>
      <c r="V108" s="7">
        <f t="shared" si="19"/>
        <v>0</v>
      </c>
      <c r="W108" s="7">
        <f t="shared" si="19"/>
        <v>0</v>
      </c>
      <c r="X108" s="7">
        <f t="shared" si="19"/>
        <v>0</v>
      </c>
      <c r="Y108" s="7">
        <f t="shared" si="19"/>
        <v>0</v>
      </c>
      <c r="Z108" s="7">
        <f t="shared" si="19"/>
        <v>0</v>
      </c>
      <c r="AA108" s="7">
        <f t="shared" si="19"/>
        <v>0</v>
      </c>
      <c r="AB108" s="7">
        <f t="shared" si="19"/>
        <v>0</v>
      </c>
      <c r="AC108" s="7">
        <f t="shared" si="19"/>
        <v>0</v>
      </c>
      <c r="AD108" s="7">
        <f t="shared" si="19"/>
        <v>0</v>
      </c>
      <c r="AE108" s="7">
        <f t="shared" si="19"/>
        <v>0</v>
      </c>
      <c r="AF108" s="7">
        <f t="shared" si="19"/>
        <v>0</v>
      </c>
      <c r="AG108" s="7">
        <f t="shared" si="19"/>
        <v>0</v>
      </c>
      <c r="AH108" s="7">
        <f t="shared" si="19"/>
        <v>0</v>
      </c>
      <c r="AI108" s="7">
        <f t="shared" si="19"/>
        <v>0</v>
      </c>
      <c r="AJ108" s="7">
        <f t="shared" si="19"/>
        <v>0</v>
      </c>
      <c r="AK108" s="7">
        <f t="shared" si="19"/>
        <v>0</v>
      </c>
      <c r="AL108" s="7">
        <f t="shared" si="19"/>
        <v>0</v>
      </c>
      <c r="AM108" s="7">
        <f t="shared" si="19"/>
        <v>0</v>
      </c>
      <c r="AN108" s="7">
        <f t="shared" si="19"/>
        <v>0</v>
      </c>
      <c r="AO108" s="7">
        <f t="shared" si="19"/>
        <v>0</v>
      </c>
      <c r="AP108" s="7">
        <f t="shared" si="19"/>
        <v>0</v>
      </c>
      <c r="AQ108" s="7">
        <f t="shared" si="19"/>
        <v>0</v>
      </c>
      <c r="AR108" s="7">
        <f t="shared" si="19"/>
        <v>0</v>
      </c>
      <c r="AS108" s="7">
        <f t="shared" si="19"/>
        <v>0</v>
      </c>
      <c r="AT108" s="7">
        <f t="shared" si="19"/>
        <v>0</v>
      </c>
      <c r="AU108" s="7">
        <f t="shared" si="19"/>
        <v>0</v>
      </c>
      <c r="AV108" s="7">
        <f t="shared" si="19"/>
        <v>0</v>
      </c>
      <c r="AW108" s="7">
        <f t="shared" si="19"/>
        <v>0</v>
      </c>
      <c r="AX108" s="7">
        <f t="shared" si="19"/>
        <v>0</v>
      </c>
      <c r="AY108" s="7">
        <f t="shared" si="19"/>
        <v>0</v>
      </c>
      <c r="AZ108" s="7">
        <f t="shared" si="19"/>
        <v>0</v>
      </c>
      <c r="BA108" s="7">
        <f t="shared" si="19"/>
        <v>0</v>
      </c>
      <c r="BB108" s="7">
        <f t="shared" si="19"/>
        <v>0</v>
      </c>
      <c r="BC108" s="7">
        <f t="shared" si="19"/>
        <v>0</v>
      </c>
      <c r="BD108" s="7">
        <f t="shared" si="19"/>
        <v>0</v>
      </c>
      <c r="BE108" s="7">
        <f t="shared" si="19"/>
        <v>0</v>
      </c>
      <c r="BF108" s="7">
        <f t="shared" si="19"/>
        <v>0</v>
      </c>
      <c r="BG108" s="7">
        <f t="shared" si="19"/>
        <v>0</v>
      </c>
      <c r="BH108" s="7">
        <f t="shared" si="19"/>
        <v>0</v>
      </c>
      <c r="BI108" s="7">
        <f t="shared" si="19"/>
        <v>0</v>
      </c>
      <c r="BJ108" s="7">
        <f t="shared" si="19"/>
        <v>0</v>
      </c>
      <c r="BK108" s="7">
        <f t="shared" si="19"/>
        <v>0</v>
      </c>
      <c r="BL108" s="7">
        <f t="shared" si="19"/>
        <v>0</v>
      </c>
      <c r="BM108" s="7">
        <f t="shared" si="19"/>
        <v>0</v>
      </c>
      <c r="BN108" s="7">
        <f t="shared" si="19"/>
        <v>0</v>
      </c>
      <c r="BO108" s="7">
        <f t="shared" si="19"/>
        <v>0</v>
      </c>
      <c r="BP108" s="7">
        <f t="shared" ref="BP108:CX108" si="20">SUM(BP81:BP104)</f>
        <v>0</v>
      </c>
      <c r="BQ108" s="7">
        <f t="shared" si="20"/>
        <v>0</v>
      </c>
      <c r="BR108" s="7">
        <f t="shared" si="20"/>
        <v>0</v>
      </c>
      <c r="BS108" s="7">
        <f t="shared" si="20"/>
        <v>0</v>
      </c>
      <c r="BT108" s="7">
        <f t="shared" si="20"/>
        <v>0</v>
      </c>
      <c r="BU108" s="7">
        <f t="shared" si="20"/>
        <v>0</v>
      </c>
      <c r="BV108" s="7">
        <f t="shared" si="20"/>
        <v>0</v>
      </c>
      <c r="BW108" s="7">
        <f t="shared" si="20"/>
        <v>0</v>
      </c>
      <c r="BX108" s="7">
        <f t="shared" si="20"/>
        <v>0</v>
      </c>
      <c r="BY108" s="7">
        <f t="shared" si="20"/>
        <v>0</v>
      </c>
      <c r="BZ108" s="7">
        <f t="shared" si="20"/>
        <v>0</v>
      </c>
      <c r="CA108" s="7">
        <f t="shared" si="20"/>
        <v>0</v>
      </c>
      <c r="CB108" s="7">
        <f t="shared" si="20"/>
        <v>0</v>
      </c>
      <c r="CC108" s="7">
        <f t="shared" si="20"/>
        <v>0</v>
      </c>
      <c r="CD108" s="7">
        <f t="shared" si="20"/>
        <v>0</v>
      </c>
      <c r="CE108" s="7">
        <f t="shared" si="20"/>
        <v>0</v>
      </c>
      <c r="CF108" s="7">
        <f t="shared" si="20"/>
        <v>0</v>
      </c>
      <c r="CG108" s="7">
        <f t="shared" si="20"/>
        <v>0</v>
      </c>
      <c r="CH108" s="7">
        <f t="shared" si="20"/>
        <v>0</v>
      </c>
      <c r="CI108" s="7">
        <f t="shared" si="20"/>
        <v>0</v>
      </c>
      <c r="CJ108" s="7">
        <f t="shared" si="20"/>
        <v>0</v>
      </c>
      <c r="CK108" s="7">
        <f t="shared" si="20"/>
        <v>0</v>
      </c>
      <c r="CL108" s="7">
        <f t="shared" si="20"/>
        <v>0</v>
      </c>
      <c r="CM108" s="7">
        <f t="shared" si="20"/>
        <v>0</v>
      </c>
      <c r="CN108" s="7">
        <f t="shared" si="20"/>
        <v>0</v>
      </c>
      <c r="CO108" s="7">
        <f t="shared" si="20"/>
        <v>0</v>
      </c>
      <c r="CP108" s="7">
        <f t="shared" si="20"/>
        <v>0</v>
      </c>
      <c r="CQ108" s="7">
        <f t="shared" si="20"/>
        <v>0</v>
      </c>
      <c r="CR108" s="7">
        <f t="shared" si="20"/>
        <v>0</v>
      </c>
      <c r="CS108" s="7">
        <f t="shared" si="20"/>
        <v>0</v>
      </c>
      <c r="CT108" s="7">
        <f t="shared" si="20"/>
        <v>0</v>
      </c>
      <c r="CU108" s="7">
        <f t="shared" si="20"/>
        <v>0</v>
      </c>
      <c r="CV108" s="7">
        <f t="shared" si="20"/>
        <v>0</v>
      </c>
      <c r="CW108" s="7">
        <f t="shared" si="20"/>
        <v>0</v>
      </c>
      <c r="CX108" s="7">
        <f t="shared" si="20"/>
        <v>0</v>
      </c>
      <c r="CY108" s="7">
        <f t="shared" ref="CY108:DR108" si="21">SUM(CY81:CY104)</f>
        <v>0</v>
      </c>
      <c r="CZ108" s="7">
        <f t="shared" si="21"/>
        <v>0</v>
      </c>
      <c r="DA108" s="7">
        <f t="shared" si="21"/>
        <v>0</v>
      </c>
      <c r="DB108" s="7">
        <f t="shared" si="21"/>
        <v>0</v>
      </c>
      <c r="DC108" s="7">
        <f t="shared" si="21"/>
        <v>0</v>
      </c>
      <c r="DD108" s="7">
        <f t="shared" si="21"/>
        <v>0</v>
      </c>
      <c r="DE108" s="7">
        <f t="shared" si="21"/>
        <v>0</v>
      </c>
      <c r="DF108" s="7">
        <f t="shared" si="21"/>
        <v>0</v>
      </c>
      <c r="DG108" s="7">
        <f t="shared" si="21"/>
        <v>0</v>
      </c>
      <c r="DH108" s="7">
        <f t="shared" si="21"/>
        <v>0</v>
      </c>
      <c r="DI108" s="7">
        <f t="shared" si="21"/>
        <v>0</v>
      </c>
      <c r="DJ108" s="7">
        <f t="shared" si="21"/>
        <v>0</v>
      </c>
      <c r="DK108" s="7">
        <f t="shared" si="21"/>
        <v>0</v>
      </c>
      <c r="DL108" s="7">
        <f t="shared" si="21"/>
        <v>0</v>
      </c>
      <c r="DM108" s="7">
        <f t="shared" si="21"/>
        <v>0</v>
      </c>
      <c r="DN108" s="7">
        <f t="shared" si="21"/>
        <v>0</v>
      </c>
      <c r="DO108" s="7">
        <f t="shared" si="21"/>
        <v>0</v>
      </c>
      <c r="DP108" s="7">
        <f t="shared" si="21"/>
        <v>0</v>
      </c>
      <c r="DQ108" s="7">
        <f t="shared" si="21"/>
        <v>0</v>
      </c>
      <c r="DR108" s="7">
        <f t="shared" si="21"/>
        <v>0</v>
      </c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0"/>
      <c r="EF108" s="10"/>
      <c r="EG108" s="10"/>
      <c r="EH108" s="10"/>
    </row>
    <row r="109" spans="2:138" ht="20.25" x14ac:dyDescent="0.3">
      <c r="EH109" s="10"/>
    </row>
  </sheetData>
  <mergeCells count="29">
    <mergeCell ref="EG7:EG8"/>
    <mergeCell ref="C7:L7"/>
    <mergeCell ref="M7:V7"/>
    <mergeCell ref="W7:AF7"/>
    <mergeCell ref="AG7:AP7"/>
    <mergeCell ref="AQ7:AZ7"/>
    <mergeCell ref="BA7:BJ7"/>
    <mergeCell ref="BK7:BT7"/>
    <mergeCell ref="BU7:CD7"/>
    <mergeCell ref="CE7:CN7"/>
    <mergeCell ref="CO7:CX7"/>
    <mergeCell ref="CY7:DH7"/>
    <mergeCell ref="DI7:DR7"/>
    <mergeCell ref="DS7:ED7"/>
    <mergeCell ref="EE7:EE8"/>
    <mergeCell ref="B2:EH2"/>
    <mergeCell ref="L3:EH5"/>
    <mergeCell ref="B6:EH6"/>
    <mergeCell ref="B3:C3"/>
    <mergeCell ref="D3:K3"/>
    <mergeCell ref="B4:C4"/>
    <mergeCell ref="D4:K4"/>
    <mergeCell ref="B5:C5"/>
    <mergeCell ref="D5:E5"/>
    <mergeCell ref="F5:G5"/>
    <mergeCell ref="H5:K5"/>
    <mergeCell ref="EH7:EH8"/>
    <mergeCell ref="EF7:EF8"/>
    <mergeCell ref="B7:B8"/>
  </mergeCells>
  <pageMargins left="0.7" right="0.7" top="0.75" bottom="0.75" header="0.3" footer="0.3"/>
  <ignoredErrors>
    <ignoredError sqref="EG9:EG10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B1:EH109"/>
  <sheetViews>
    <sheetView zoomScale="70" zoomScaleNormal="70" workbookViewId="0"/>
  </sheetViews>
  <sheetFormatPr baseColWidth="10" defaultColWidth="9.140625" defaultRowHeight="15" x14ac:dyDescent="0.25"/>
  <cols>
    <col min="1" max="1" width="13.5703125" bestFit="1" customWidth="1"/>
    <col min="2" max="2" width="17" bestFit="1" customWidth="1"/>
    <col min="3" max="102" width="13.5703125" style="1" bestFit="1" customWidth="1"/>
    <col min="103" max="122" width="13.5703125" style="84" customWidth="1"/>
    <col min="123" max="132" width="13.5703125" style="1" bestFit="1" customWidth="1"/>
    <col min="133" max="134" width="13.5703125" style="84" customWidth="1"/>
    <col min="135" max="137" width="13.5703125" style="2" bestFit="1" customWidth="1"/>
    <col min="138" max="138" width="13.5703125" style="1" bestFit="1" customWidth="1"/>
  </cols>
  <sheetData>
    <row r="1" spans="2:138" ht="18.75" customHeight="1" x14ac:dyDescent="0.25"/>
    <row r="2" spans="2:138" ht="30" customHeight="1" x14ac:dyDescent="0.4">
      <c r="B2" s="198" t="s">
        <v>22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99"/>
      <c r="BT2" s="1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  <c r="CS2" s="199"/>
      <c r="CT2" s="199"/>
      <c r="CU2" s="199"/>
      <c r="CV2" s="199"/>
      <c r="CW2" s="199"/>
      <c r="CX2" s="199"/>
      <c r="CY2" s="199"/>
      <c r="CZ2" s="199"/>
      <c r="DA2" s="199"/>
      <c r="DB2" s="199"/>
      <c r="DC2" s="199"/>
      <c r="DD2" s="199"/>
      <c r="DE2" s="199"/>
      <c r="DF2" s="199"/>
      <c r="DG2" s="199"/>
      <c r="DH2" s="199"/>
      <c r="DI2" s="199"/>
      <c r="DJ2" s="199"/>
      <c r="DK2" s="199"/>
      <c r="DL2" s="199"/>
      <c r="DM2" s="199"/>
      <c r="DN2" s="199"/>
      <c r="DO2" s="199"/>
      <c r="DP2" s="199"/>
      <c r="DQ2" s="199"/>
      <c r="DR2" s="199"/>
      <c r="DS2" s="199"/>
      <c r="DT2" s="199"/>
      <c r="DU2" s="199"/>
      <c r="DV2" s="199"/>
      <c r="DW2" s="199"/>
      <c r="DX2" s="199"/>
      <c r="DY2" s="199"/>
      <c r="DZ2" s="199"/>
      <c r="EA2" s="199"/>
      <c r="EB2" s="199"/>
      <c r="EC2" s="199"/>
      <c r="ED2" s="199"/>
      <c r="EE2" s="199"/>
      <c r="EF2" s="199"/>
      <c r="EG2" s="199"/>
      <c r="EH2" s="200"/>
    </row>
    <row r="3" spans="2:138" ht="20.25" customHeight="1" x14ac:dyDescent="0.3">
      <c r="B3" s="201" t="s">
        <v>125</v>
      </c>
      <c r="C3" s="202"/>
      <c r="D3" s="203" t="str">
        <f>Inicio!G5</f>
        <v/>
      </c>
      <c r="E3" s="203"/>
      <c r="F3" s="203"/>
      <c r="G3" s="203"/>
      <c r="H3" s="203"/>
      <c r="I3" s="203"/>
      <c r="J3" s="203"/>
      <c r="K3" s="203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5"/>
      <c r="DM3" s="205"/>
      <c r="DN3" s="205"/>
      <c r="DO3" s="205"/>
      <c r="DP3" s="205"/>
      <c r="DQ3" s="205"/>
      <c r="DR3" s="205"/>
      <c r="DS3" s="205"/>
      <c r="DT3" s="205"/>
      <c r="DU3" s="205"/>
      <c r="DV3" s="205"/>
      <c r="DW3" s="205"/>
      <c r="DX3" s="205"/>
      <c r="DY3" s="205"/>
      <c r="DZ3" s="205"/>
      <c r="EA3" s="205"/>
      <c r="EB3" s="205"/>
      <c r="EC3" s="205"/>
      <c r="ED3" s="205"/>
      <c r="EE3" s="205"/>
      <c r="EF3" s="205"/>
      <c r="EG3" s="205"/>
      <c r="EH3" s="206"/>
    </row>
    <row r="4" spans="2:138" ht="20.25" customHeight="1" x14ac:dyDescent="0.3">
      <c r="B4" s="201" t="s">
        <v>126</v>
      </c>
      <c r="C4" s="202"/>
      <c r="D4" s="204">
        <f>Inicio!G6</f>
        <v>45658</v>
      </c>
      <c r="E4" s="204"/>
      <c r="F4" s="204"/>
      <c r="G4" s="204"/>
      <c r="H4" s="204"/>
      <c r="I4" s="204"/>
      <c r="J4" s="204"/>
      <c r="K4" s="204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6"/>
    </row>
    <row r="5" spans="2:138" ht="20.25" customHeight="1" x14ac:dyDescent="0.3">
      <c r="B5" s="201" t="s">
        <v>127</v>
      </c>
      <c r="C5" s="202"/>
      <c r="D5" s="207" t="str">
        <f>Inicio!G8</f>
        <v>MIÉRCOLES</v>
      </c>
      <c r="E5" s="207"/>
      <c r="F5" s="202" t="s">
        <v>128</v>
      </c>
      <c r="G5" s="202"/>
      <c r="H5" s="207" t="str">
        <f>Inicio!G9</f>
        <v/>
      </c>
      <c r="I5" s="207"/>
      <c r="J5" s="207"/>
      <c r="K5" s="207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6"/>
    </row>
    <row r="6" spans="2:138" ht="20.25" customHeight="1" x14ac:dyDescent="0.3">
      <c r="B6" s="208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209"/>
      <c r="DJ6" s="209"/>
      <c r="DK6" s="209"/>
      <c r="DL6" s="209"/>
      <c r="DM6" s="209"/>
      <c r="DN6" s="209"/>
      <c r="DO6" s="209"/>
      <c r="DP6" s="209"/>
      <c r="DQ6" s="209"/>
      <c r="DR6" s="209"/>
      <c r="DS6" s="209"/>
      <c r="DT6" s="209"/>
      <c r="DU6" s="209"/>
      <c r="DV6" s="209"/>
      <c r="DW6" s="209"/>
      <c r="DX6" s="209"/>
      <c r="DY6" s="209"/>
      <c r="DZ6" s="209"/>
      <c r="EA6" s="209"/>
      <c r="EB6" s="209"/>
      <c r="EC6" s="209"/>
      <c r="ED6" s="209"/>
      <c r="EE6" s="209"/>
      <c r="EF6" s="209"/>
      <c r="EG6" s="209"/>
      <c r="EH6" s="210"/>
    </row>
    <row r="7" spans="2:138" ht="22.5" customHeight="1" x14ac:dyDescent="0.35">
      <c r="B7" s="217" t="s">
        <v>23</v>
      </c>
      <c r="C7" s="193" t="str">
        <f>Inicio!V4</f>
        <v>Auto</v>
      </c>
      <c r="D7" s="194"/>
      <c r="E7" s="194"/>
      <c r="F7" s="194"/>
      <c r="G7" s="194"/>
      <c r="H7" s="194"/>
      <c r="I7" s="194"/>
      <c r="J7" s="194"/>
      <c r="K7" s="194"/>
      <c r="L7" s="195"/>
      <c r="M7" s="193" t="str">
        <f>Inicio!V5</f>
        <v>Moto</v>
      </c>
      <c r="N7" s="194"/>
      <c r="O7" s="194"/>
      <c r="P7" s="194"/>
      <c r="Q7" s="194"/>
      <c r="R7" s="194"/>
      <c r="S7" s="194"/>
      <c r="T7" s="194"/>
      <c r="U7" s="194"/>
      <c r="V7" s="195"/>
      <c r="W7" s="193" t="str">
        <f>Inicio!V6</f>
        <v>Bus</v>
      </c>
      <c r="X7" s="194"/>
      <c r="Y7" s="194"/>
      <c r="Z7" s="194"/>
      <c r="AA7" s="194"/>
      <c r="AB7" s="194"/>
      <c r="AC7" s="194"/>
      <c r="AD7" s="194"/>
      <c r="AE7" s="194"/>
      <c r="AF7" s="195"/>
      <c r="AG7" s="220" t="str">
        <f>Inicio!V7</f>
        <v>Camion</v>
      </c>
      <c r="AH7" s="221"/>
      <c r="AI7" s="221"/>
      <c r="AJ7" s="221"/>
      <c r="AK7" s="221"/>
      <c r="AL7" s="221"/>
      <c r="AM7" s="221"/>
      <c r="AN7" s="221"/>
      <c r="AO7" s="221"/>
      <c r="AP7" s="222"/>
      <c r="AQ7" s="220" t="str">
        <f>Inicio!V8</f>
        <v>Bicicleta</v>
      </c>
      <c r="AR7" s="221"/>
      <c r="AS7" s="221"/>
      <c r="AT7" s="221"/>
      <c r="AU7" s="221"/>
      <c r="AV7" s="221"/>
      <c r="AW7" s="221"/>
      <c r="AX7" s="221"/>
      <c r="AY7" s="221"/>
      <c r="AZ7" s="222"/>
      <c r="BA7" s="220" t="str">
        <f>Inicio!V9</f>
        <v>Taxi</v>
      </c>
      <c r="BB7" s="221"/>
      <c r="BC7" s="221"/>
      <c r="BD7" s="221"/>
      <c r="BE7" s="221"/>
      <c r="BF7" s="221"/>
      <c r="BG7" s="221"/>
      <c r="BH7" s="221"/>
      <c r="BI7" s="221"/>
      <c r="BJ7" s="222"/>
      <c r="BK7" s="220" t="str">
        <f>Inicio!V10</f>
        <v>Van</v>
      </c>
      <c r="BL7" s="221"/>
      <c r="BM7" s="221"/>
      <c r="BN7" s="221"/>
      <c r="BO7" s="221"/>
      <c r="BP7" s="221"/>
      <c r="BQ7" s="221"/>
      <c r="BR7" s="221"/>
      <c r="BS7" s="221"/>
      <c r="BT7" s="222"/>
      <c r="BU7" s="220" t="str">
        <f>Inicio!V11</f>
        <v>Combi</v>
      </c>
      <c r="BV7" s="221"/>
      <c r="BW7" s="221"/>
      <c r="BX7" s="221"/>
      <c r="BY7" s="221"/>
      <c r="BZ7" s="221"/>
      <c r="CA7" s="221"/>
      <c r="CB7" s="221"/>
      <c r="CC7" s="221"/>
      <c r="CD7" s="222"/>
      <c r="CE7" s="220" t="str">
        <f>Inicio!V12</f>
        <v>Microbus</v>
      </c>
      <c r="CF7" s="221"/>
      <c r="CG7" s="221"/>
      <c r="CH7" s="221"/>
      <c r="CI7" s="221"/>
      <c r="CJ7" s="221"/>
      <c r="CK7" s="221"/>
      <c r="CL7" s="221"/>
      <c r="CM7" s="221"/>
      <c r="CN7" s="222"/>
      <c r="CO7" s="220" t="str">
        <f>Inicio!V13</f>
        <v>Mototaxi</v>
      </c>
      <c r="CP7" s="221"/>
      <c r="CQ7" s="221"/>
      <c r="CR7" s="221"/>
      <c r="CS7" s="221"/>
      <c r="CT7" s="221"/>
      <c r="CU7" s="221"/>
      <c r="CV7" s="221"/>
      <c r="CW7" s="221"/>
      <c r="CX7" s="222"/>
      <c r="CY7" s="220" t="str">
        <f>Inicio!V14</f>
        <v>Semi-trailer</v>
      </c>
      <c r="CZ7" s="221"/>
      <c r="DA7" s="221"/>
      <c r="DB7" s="221"/>
      <c r="DC7" s="221"/>
      <c r="DD7" s="221"/>
      <c r="DE7" s="221"/>
      <c r="DF7" s="221"/>
      <c r="DG7" s="221"/>
      <c r="DH7" s="222"/>
      <c r="DI7" s="220" t="str">
        <f>Inicio!V15</f>
        <v>Otros</v>
      </c>
      <c r="DJ7" s="221"/>
      <c r="DK7" s="221"/>
      <c r="DL7" s="221"/>
      <c r="DM7" s="221"/>
      <c r="DN7" s="221"/>
      <c r="DO7" s="221"/>
      <c r="DP7" s="221"/>
      <c r="DQ7" s="221"/>
      <c r="DR7" s="222"/>
      <c r="DS7" s="211" t="s">
        <v>24</v>
      </c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3"/>
      <c r="EE7" s="196" t="s">
        <v>136</v>
      </c>
      <c r="EF7" s="196" t="s">
        <v>135</v>
      </c>
      <c r="EG7" s="196" t="s">
        <v>137</v>
      </c>
      <c r="EH7" s="196" t="s">
        <v>138</v>
      </c>
    </row>
    <row r="8" spans="2:138" ht="23.25" customHeight="1" x14ac:dyDescent="0.35">
      <c r="B8" s="219"/>
      <c r="C8" s="14" t="str">
        <f>IF(Inicio!$G24 = 0,"",Inicio!$G24)</f>
        <v/>
      </c>
      <c r="D8" s="14" t="str">
        <f>IF(Inicio!$G25 = 0,"",Inicio!$G25)</f>
        <v/>
      </c>
      <c r="E8" s="14" t="str">
        <f>IF(Inicio!$G26 = 0,"",Inicio!$G26)</f>
        <v/>
      </c>
      <c r="F8" s="14" t="str">
        <f>IF(Inicio!$G27 = 0,"",Inicio!$G27)</f>
        <v/>
      </c>
      <c r="G8" s="14" t="str">
        <f>IF(Inicio!$G28 = 0,"",Inicio!$G28)</f>
        <v/>
      </c>
      <c r="H8" s="14" t="str">
        <f>IF(Inicio!$G29 = 0,"",Inicio!$G29)</f>
        <v/>
      </c>
      <c r="I8" s="14" t="str">
        <f>IF(Inicio!$G30 = 0,"",Inicio!$G30)</f>
        <v/>
      </c>
      <c r="J8" s="14" t="str">
        <f>IF(Inicio!$G31 = 0,"",Inicio!$G31)</f>
        <v/>
      </c>
      <c r="K8" s="14" t="str">
        <f>IF(Inicio!$G32 = 0,"",Inicio!$G32)</f>
        <v/>
      </c>
      <c r="L8" s="14" t="str">
        <f>IF(Inicio!$G33 = 0,"",Inicio!$G33)</f>
        <v/>
      </c>
      <c r="M8" s="14" t="str">
        <f>IF(Inicio!$G24 = 0,"",Inicio!$G24)</f>
        <v/>
      </c>
      <c r="N8" s="14" t="str">
        <f>IF(Inicio!$G25 = 0,"",Inicio!$G25)</f>
        <v/>
      </c>
      <c r="O8" s="14" t="str">
        <f>IF(Inicio!$G26 = 0,"",Inicio!$G26)</f>
        <v/>
      </c>
      <c r="P8" s="14" t="str">
        <f>IF(Inicio!$G27 = 0,"",Inicio!$G27)</f>
        <v/>
      </c>
      <c r="Q8" s="14" t="str">
        <f>IF(Inicio!$G28 = 0,"",Inicio!$G28)</f>
        <v/>
      </c>
      <c r="R8" s="14" t="str">
        <f>IF(Inicio!$G29 = 0,"",Inicio!$G29)</f>
        <v/>
      </c>
      <c r="S8" s="14" t="str">
        <f>IF(Inicio!$G30 = 0,"",Inicio!$G30)</f>
        <v/>
      </c>
      <c r="T8" s="14" t="str">
        <f>IF(Inicio!$G31 = 0,"",Inicio!$G31)</f>
        <v/>
      </c>
      <c r="U8" s="14" t="str">
        <f>IF(Inicio!$G32 = 0,"",Inicio!$G32)</f>
        <v/>
      </c>
      <c r="V8" s="14" t="str">
        <f>IF(Inicio!$G33 = 0,"",Inicio!$G33)</f>
        <v/>
      </c>
      <c r="W8" s="14" t="str">
        <f>IF(Inicio!$G24 = 0,"",Inicio!$G24)</f>
        <v/>
      </c>
      <c r="X8" s="14" t="str">
        <f>IF(Inicio!$G25 = 0,"",Inicio!$G25)</f>
        <v/>
      </c>
      <c r="Y8" s="14" t="str">
        <f>IF(Inicio!$G26 = 0,"",Inicio!$G26)</f>
        <v/>
      </c>
      <c r="Z8" s="14" t="str">
        <f>IF(Inicio!$G27 = 0,"",Inicio!$G27)</f>
        <v/>
      </c>
      <c r="AA8" s="14" t="str">
        <f>IF(Inicio!$G28 = 0,"",Inicio!$G28)</f>
        <v/>
      </c>
      <c r="AB8" s="14" t="str">
        <f>IF(Inicio!$G29 = 0,"",Inicio!$G29)</f>
        <v/>
      </c>
      <c r="AC8" s="14" t="str">
        <f>IF(Inicio!$G30 = 0,"",Inicio!$G30)</f>
        <v/>
      </c>
      <c r="AD8" s="14" t="str">
        <f>IF(Inicio!$G31 = 0,"",Inicio!$G31)</f>
        <v/>
      </c>
      <c r="AE8" s="14" t="str">
        <f>IF(Inicio!$G32 = 0,"",Inicio!$G32)</f>
        <v/>
      </c>
      <c r="AF8" s="14" t="str">
        <f>IF(Inicio!$G33 = 0,"",Inicio!$G33)</f>
        <v/>
      </c>
      <c r="AG8" s="14" t="str">
        <f>IF(Inicio!$G24 = 0,"",Inicio!$G24)</f>
        <v/>
      </c>
      <c r="AH8" s="14" t="str">
        <f>IF(Inicio!$G25 = 0,"",Inicio!$G25)</f>
        <v/>
      </c>
      <c r="AI8" s="14" t="str">
        <f>IF(Inicio!$G26 = 0,"",Inicio!$G26)</f>
        <v/>
      </c>
      <c r="AJ8" s="14" t="str">
        <f>IF(Inicio!$G27 = 0,"",Inicio!$G27)</f>
        <v/>
      </c>
      <c r="AK8" s="14" t="str">
        <f>IF(Inicio!$G28 = 0,"",Inicio!$G28)</f>
        <v/>
      </c>
      <c r="AL8" s="14" t="str">
        <f>IF(Inicio!$G29 = 0,"",Inicio!$G29)</f>
        <v/>
      </c>
      <c r="AM8" s="14" t="str">
        <f>IF(Inicio!$G30 = 0,"",Inicio!$G30)</f>
        <v/>
      </c>
      <c r="AN8" s="14" t="str">
        <f>IF(Inicio!$G31 = 0,"",Inicio!$G31)</f>
        <v/>
      </c>
      <c r="AO8" s="14" t="str">
        <f>IF(Inicio!$G32 = 0,"",Inicio!$G32)</f>
        <v/>
      </c>
      <c r="AP8" s="14" t="str">
        <f>IF(Inicio!$G33 = 0,"",Inicio!$G33)</f>
        <v/>
      </c>
      <c r="AQ8" s="14" t="str">
        <f>IF(Inicio!$G24 = 0,"",Inicio!$G24)</f>
        <v/>
      </c>
      <c r="AR8" s="14" t="str">
        <f>IF(Inicio!$G25 = 0,"",Inicio!$G25)</f>
        <v/>
      </c>
      <c r="AS8" s="14" t="str">
        <f>IF(Inicio!$G26 = 0,"",Inicio!$G26)</f>
        <v/>
      </c>
      <c r="AT8" s="14" t="str">
        <f>IF(Inicio!$G27 = 0,"",Inicio!$G27)</f>
        <v/>
      </c>
      <c r="AU8" s="14" t="str">
        <f>IF(Inicio!$G28 = 0,"",Inicio!$G28)</f>
        <v/>
      </c>
      <c r="AV8" s="14" t="str">
        <f>IF(Inicio!$G29 = 0,"",Inicio!$G29)</f>
        <v/>
      </c>
      <c r="AW8" s="14" t="str">
        <f>IF(Inicio!$G30 = 0,"",Inicio!$G30)</f>
        <v/>
      </c>
      <c r="AX8" s="14" t="str">
        <f>IF(Inicio!$G31 = 0,"",Inicio!$G31)</f>
        <v/>
      </c>
      <c r="AY8" s="14" t="str">
        <f>IF(Inicio!$G32 = 0,"",Inicio!$G32)</f>
        <v/>
      </c>
      <c r="AZ8" s="14" t="str">
        <f>IF(Inicio!$G33 = 0,"",Inicio!$G33)</f>
        <v/>
      </c>
      <c r="BA8" s="14" t="str">
        <f>IF(Inicio!$G24 = 0,"",Inicio!$G24)</f>
        <v/>
      </c>
      <c r="BB8" s="14" t="str">
        <f>IF(Inicio!$G25 = 0,"",Inicio!$G25)</f>
        <v/>
      </c>
      <c r="BC8" s="14" t="str">
        <f>IF(Inicio!$G26 = 0,"",Inicio!$G26)</f>
        <v/>
      </c>
      <c r="BD8" s="14" t="str">
        <f>IF(Inicio!$G27 = 0,"",Inicio!$G27)</f>
        <v/>
      </c>
      <c r="BE8" s="14" t="str">
        <f>IF(Inicio!$G28 = 0,"",Inicio!$G28)</f>
        <v/>
      </c>
      <c r="BF8" s="14" t="str">
        <f>IF(Inicio!$G29 = 0,"",Inicio!$G29)</f>
        <v/>
      </c>
      <c r="BG8" s="14" t="str">
        <f>IF(Inicio!$G30 = 0,"",Inicio!$G30)</f>
        <v/>
      </c>
      <c r="BH8" s="14" t="str">
        <f>IF(Inicio!$G31 = 0,"",Inicio!$G31)</f>
        <v/>
      </c>
      <c r="BI8" s="14" t="str">
        <f>IF(Inicio!$G32 = 0,"",Inicio!$G32)</f>
        <v/>
      </c>
      <c r="BJ8" s="14" t="str">
        <f>IF(Inicio!$G33 = 0,"",Inicio!$G33)</f>
        <v/>
      </c>
      <c r="BK8" s="14" t="str">
        <f>IF(Inicio!$G24 = 0,"",Inicio!$G24)</f>
        <v/>
      </c>
      <c r="BL8" s="14" t="str">
        <f>IF(Inicio!$G25 = 0,"",Inicio!$G25)</f>
        <v/>
      </c>
      <c r="BM8" s="14" t="str">
        <f>IF(Inicio!$G26 = 0,"",Inicio!$G26)</f>
        <v/>
      </c>
      <c r="BN8" s="14" t="str">
        <f>IF(Inicio!$G27 = 0,"",Inicio!$G27)</f>
        <v/>
      </c>
      <c r="BO8" s="14" t="str">
        <f>IF(Inicio!$G28 = 0,"",Inicio!$G28)</f>
        <v/>
      </c>
      <c r="BP8" s="14" t="str">
        <f>IF(Inicio!$G29 = 0,"",Inicio!$G29)</f>
        <v/>
      </c>
      <c r="BQ8" s="14" t="str">
        <f>IF(Inicio!$G30 = 0,"",Inicio!$G30)</f>
        <v/>
      </c>
      <c r="BR8" s="14" t="str">
        <f>IF(Inicio!$G31 = 0,"",Inicio!$G31)</f>
        <v/>
      </c>
      <c r="BS8" s="14" t="str">
        <f>IF(Inicio!$G32 = 0,"",Inicio!$G32)</f>
        <v/>
      </c>
      <c r="BT8" s="14" t="str">
        <f>IF(Inicio!$G33 = 0,"",Inicio!$G33)</f>
        <v/>
      </c>
      <c r="BU8" s="14" t="str">
        <f>IF(Inicio!$G24 = 0,"",Inicio!$G24)</f>
        <v/>
      </c>
      <c r="BV8" s="14" t="str">
        <f>IF(Inicio!$G25 = 0,"",Inicio!$G25)</f>
        <v/>
      </c>
      <c r="BW8" s="14" t="str">
        <f>IF(Inicio!$G26 = 0,"",Inicio!$G26)</f>
        <v/>
      </c>
      <c r="BX8" s="14" t="str">
        <f>IF(Inicio!$G27 = 0,"",Inicio!$G27)</f>
        <v/>
      </c>
      <c r="BY8" s="14" t="str">
        <f>IF(Inicio!$G28 = 0,"",Inicio!$G28)</f>
        <v/>
      </c>
      <c r="BZ8" s="14" t="str">
        <f>IF(Inicio!$G29 = 0,"",Inicio!$G29)</f>
        <v/>
      </c>
      <c r="CA8" s="14" t="str">
        <f>IF(Inicio!$G30 = 0,"",Inicio!$G30)</f>
        <v/>
      </c>
      <c r="CB8" s="14" t="str">
        <f>IF(Inicio!$G31 = 0,"",Inicio!$G31)</f>
        <v/>
      </c>
      <c r="CC8" s="14" t="str">
        <f>IF(Inicio!$G32 = 0,"",Inicio!$G32)</f>
        <v/>
      </c>
      <c r="CD8" s="14" t="str">
        <f>IF(Inicio!$G33 = 0,"",Inicio!$G33)</f>
        <v/>
      </c>
      <c r="CE8" s="14" t="str">
        <f>IF(Inicio!$G24 = 0,"",Inicio!$G24)</f>
        <v/>
      </c>
      <c r="CF8" s="14" t="str">
        <f>IF(Inicio!$G25 = 0,"",Inicio!$G25)</f>
        <v/>
      </c>
      <c r="CG8" s="14" t="str">
        <f>IF(Inicio!$G26 = 0,"",Inicio!$G26)</f>
        <v/>
      </c>
      <c r="CH8" s="14" t="str">
        <f>IF(Inicio!$G27 = 0,"",Inicio!$G27)</f>
        <v/>
      </c>
      <c r="CI8" s="14" t="str">
        <f>IF(Inicio!$G28 = 0,"",Inicio!$G28)</f>
        <v/>
      </c>
      <c r="CJ8" s="14" t="str">
        <f>IF(Inicio!$G29 = 0,"",Inicio!$G29)</f>
        <v/>
      </c>
      <c r="CK8" s="14" t="str">
        <f>IF(Inicio!$G30 = 0,"",Inicio!$G30)</f>
        <v/>
      </c>
      <c r="CL8" s="14" t="str">
        <f>IF(Inicio!$G31 = 0,"",Inicio!$G31)</f>
        <v/>
      </c>
      <c r="CM8" s="14" t="str">
        <f>IF(Inicio!$G32 = 0,"",Inicio!$G32)</f>
        <v/>
      </c>
      <c r="CN8" s="14" t="str">
        <f>IF(Inicio!$G33 = 0,"",Inicio!$G33)</f>
        <v/>
      </c>
      <c r="CO8" s="14" t="str">
        <f>IF(Inicio!$G24 = 0,"",Inicio!$G24)</f>
        <v/>
      </c>
      <c r="CP8" s="14" t="str">
        <f>IF(Inicio!$G25 = 0,"",Inicio!$G25)</f>
        <v/>
      </c>
      <c r="CQ8" s="14" t="str">
        <f>IF(Inicio!$G26 = 0,"",Inicio!$G26)</f>
        <v/>
      </c>
      <c r="CR8" s="14" t="str">
        <f>IF(Inicio!$G27 = 0,"",Inicio!$G27)</f>
        <v/>
      </c>
      <c r="CS8" s="14" t="str">
        <f>IF(Inicio!$G28 = 0,"",Inicio!$G28)</f>
        <v/>
      </c>
      <c r="CT8" s="14" t="str">
        <f>IF(Inicio!$G29 = 0,"",Inicio!$G29)</f>
        <v/>
      </c>
      <c r="CU8" s="14" t="str">
        <f>IF(Inicio!$G30 = 0,"",Inicio!$G30)</f>
        <v/>
      </c>
      <c r="CV8" s="14" t="str">
        <f>IF(Inicio!$G31 = 0,"",Inicio!$G31)</f>
        <v/>
      </c>
      <c r="CW8" s="14" t="str">
        <f>IF(Inicio!$G32 = 0,"",Inicio!$G32)</f>
        <v/>
      </c>
      <c r="CX8" s="14" t="str">
        <f>IF(Inicio!$G33 = 0,"",Inicio!$G33)</f>
        <v/>
      </c>
      <c r="CY8" s="14" t="str">
        <f>IF(Inicio!$G24 = 0,"",Inicio!$G24)</f>
        <v/>
      </c>
      <c r="CZ8" s="14" t="str">
        <f>IF(Inicio!$G25 = 0,"",Inicio!$G25)</f>
        <v/>
      </c>
      <c r="DA8" s="14" t="str">
        <f>IF(Inicio!$G26 = 0,"",Inicio!$G26)</f>
        <v/>
      </c>
      <c r="DB8" s="14" t="str">
        <f>IF(Inicio!$G27 = 0,"",Inicio!$G27)</f>
        <v/>
      </c>
      <c r="DC8" s="14" t="str">
        <f>IF(Inicio!$G28 = 0,"",Inicio!$G28)</f>
        <v/>
      </c>
      <c r="DD8" s="14" t="str">
        <f>IF(Inicio!$G29 = 0,"",Inicio!$G29)</f>
        <v/>
      </c>
      <c r="DE8" s="14" t="str">
        <f>IF(Inicio!$G30 = 0,"",Inicio!$G30)</f>
        <v/>
      </c>
      <c r="DF8" s="14" t="str">
        <f>IF(Inicio!$G31 = 0,"",Inicio!$G31)</f>
        <v/>
      </c>
      <c r="DG8" s="14" t="str">
        <f>IF(Inicio!$G32 = 0,"",Inicio!$G32)</f>
        <v/>
      </c>
      <c r="DH8" s="14" t="str">
        <f>IF(Inicio!$G33 = 0,"",Inicio!$G33)</f>
        <v/>
      </c>
      <c r="DI8" s="14" t="str">
        <f>IF(Inicio!$G24 = 0,"",Inicio!$G24)</f>
        <v/>
      </c>
      <c r="DJ8" s="14" t="str">
        <f>IF(Inicio!$G25 = 0,"",Inicio!$G25)</f>
        <v/>
      </c>
      <c r="DK8" s="14" t="str">
        <f>IF(Inicio!$G26 = 0,"",Inicio!$G26)</f>
        <v/>
      </c>
      <c r="DL8" s="14" t="str">
        <f>IF(Inicio!$G27 = 0,"",Inicio!$G27)</f>
        <v/>
      </c>
      <c r="DM8" s="14" t="str">
        <f>IF(Inicio!$G28 = 0,"",Inicio!$G28)</f>
        <v/>
      </c>
      <c r="DN8" s="14" t="str">
        <f>IF(Inicio!$G29 = 0,"",Inicio!$G29)</f>
        <v/>
      </c>
      <c r="DO8" s="14" t="str">
        <f>IF(Inicio!$G30 = 0,"",Inicio!$G30)</f>
        <v/>
      </c>
      <c r="DP8" s="14" t="str">
        <f>IF(Inicio!$G31 = 0,"",Inicio!$G31)</f>
        <v/>
      </c>
      <c r="DQ8" s="14" t="str">
        <f>IF(Inicio!$G32 = 0,"",Inicio!$G32)</f>
        <v/>
      </c>
      <c r="DR8" s="14" t="str">
        <f>IF(Inicio!$G33 = 0,"",Inicio!$G33)</f>
        <v/>
      </c>
      <c r="DS8" s="52" t="str">
        <f>C7</f>
        <v>Auto</v>
      </c>
      <c r="DT8" s="52" t="str">
        <f>M7</f>
        <v>Moto</v>
      </c>
      <c r="DU8" s="52" t="str">
        <f>W7</f>
        <v>Bus</v>
      </c>
      <c r="DV8" s="52" t="str">
        <f>AG7</f>
        <v>Camion</v>
      </c>
      <c r="DW8" s="52" t="str">
        <f>AQ7</f>
        <v>Bicicleta</v>
      </c>
      <c r="DX8" s="52" t="str">
        <f>BA7</f>
        <v>Taxi</v>
      </c>
      <c r="DY8" s="52" t="str">
        <f>BK7</f>
        <v>Van</v>
      </c>
      <c r="DZ8" s="52" t="str">
        <f>BU7</f>
        <v>Combi</v>
      </c>
      <c r="EA8" s="52" t="str">
        <f>CE7</f>
        <v>Microbus</v>
      </c>
      <c r="EB8" s="52" t="str">
        <f>CO7</f>
        <v>Mototaxi</v>
      </c>
      <c r="EC8" s="52" t="str">
        <f>CY7</f>
        <v>Semi-trailer</v>
      </c>
      <c r="ED8" s="52" t="str">
        <f>DI7</f>
        <v>Otros</v>
      </c>
      <c r="EE8" s="197"/>
      <c r="EF8" s="197"/>
      <c r="EG8" s="197"/>
      <c r="EH8" s="197"/>
    </row>
    <row r="9" spans="2:138" ht="20.25" customHeight="1" x14ac:dyDescent="0.3">
      <c r="B9" s="23" t="s">
        <v>25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3">
        <f>SUM(C9:L9)*Inicio!$W$4</f>
        <v>0</v>
      </c>
      <c r="DT9" s="3">
        <f>SUM(M9:V9)*Inicio!$W$5</f>
        <v>0</v>
      </c>
      <c r="DU9" s="3">
        <f>SUM(W9:AF9)*Inicio!$W$6</f>
        <v>0</v>
      </c>
      <c r="DV9" s="3">
        <f>SUM(AG9:AP9)*Inicio!$W$7</f>
        <v>0</v>
      </c>
      <c r="DW9" s="3">
        <f>SUM(AQ9:AZ9)*Inicio!$W$8</f>
        <v>0</v>
      </c>
      <c r="DX9" s="3">
        <f>SUM(BA9:BJ9)*Inicio!$W$9</f>
        <v>0</v>
      </c>
      <c r="DY9" s="3">
        <f>SUM(BK9:BT9)*Inicio!$W$10</f>
        <v>0</v>
      </c>
      <c r="DZ9" s="3">
        <f>SUM(BU9:CD9)*Inicio!$W$11</f>
        <v>0</v>
      </c>
      <c r="EA9" s="3">
        <f>SUM(CE9:CN9)*Inicio!$W$12</f>
        <v>0</v>
      </c>
      <c r="EB9" s="3">
        <f>SUM(CO9:CX9)*Inicio!$W$13</f>
        <v>0</v>
      </c>
      <c r="EC9" s="3">
        <f>SUM(CY9:DH9)*Inicio!$W$11</f>
        <v>0</v>
      </c>
      <c r="ED9" s="3">
        <f>SUM(DI9:DR9)*Inicio!$W$12</f>
        <v>0</v>
      </c>
      <c r="EE9" s="3">
        <f>SUM(C9:DR9)</f>
        <v>0</v>
      </c>
      <c r="EF9" s="3">
        <f>EE9</f>
        <v>0</v>
      </c>
      <c r="EG9" s="3">
        <f>SUM(DS9:ED9)</f>
        <v>0</v>
      </c>
      <c r="EH9" s="3">
        <f>EG9</f>
        <v>0</v>
      </c>
    </row>
    <row r="10" spans="2:138" ht="20.25" customHeight="1" x14ac:dyDescent="0.3">
      <c r="B10" s="24" t="s">
        <v>26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4">
        <f>SUM(C10:L10)*Inicio!$W$4</f>
        <v>0</v>
      </c>
      <c r="DT10" s="4">
        <f>SUM(M10:V10)*Inicio!$W$5</f>
        <v>0</v>
      </c>
      <c r="DU10" s="4">
        <f>SUM(W10:AF10)*Inicio!$W$6</f>
        <v>0</v>
      </c>
      <c r="DV10" s="4">
        <f>SUM(AG10:AP10)*Inicio!$W$7</f>
        <v>0</v>
      </c>
      <c r="DW10" s="4">
        <f>SUM(AQ10:AZ10)*Inicio!$W$8</f>
        <v>0</v>
      </c>
      <c r="DX10" s="4">
        <f>SUM(BA10:BJ10)*Inicio!$W$9</f>
        <v>0</v>
      </c>
      <c r="DY10" s="4">
        <f>SUM(BK10:BT10)*Inicio!$W$10</f>
        <v>0</v>
      </c>
      <c r="DZ10" s="4">
        <f>SUM(BU10:CD10)*Inicio!$W$11</f>
        <v>0</v>
      </c>
      <c r="EA10" s="4">
        <f>SUM(CE10:CN10)*Inicio!$W$12</f>
        <v>0</v>
      </c>
      <c r="EB10" s="4">
        <f>SUM(CO10:CX10)*Inicio!$W$13</f>
        <v>0</v>
      </c>
      <c r="EC10" s="4">
        <f>SUM(CY10:DH10)*Inicio!$W$11</f>
        <v>0</v>
      </c>
      <c r="ED10" s="4">
        <f>SUM(DI10:DR10)*Inicio!$W$12</f>
        <v>0</v>
      </c>
      <c r="EE10" s="4">
        <f t="shared" ref="EE10:EE73" si="0">SUM(C10:DR10)</f>
        <v>0</v>
      </c>
      <c r="EF10" s="4">
        <f>SUM(EE9:EE10)</f>
        <v>0</v>
      </c>
      <c r="EG10" s="4">
        <f t="shared" ref="EG10:EG73" si="1">SUM(DS10:ED10)</f>
        <v>0</v>
      </c>
      <c r="EH10" s="4">
        <f>SUM(EG9:EG10)</f>
        <v>0</v>
      </c>
    </row>
    <row r="11" spans="2:138" ht="20.25" customHeight="1" x14ac:dyDescent="0.3">
      <c r="B11" s="24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4">
        <f>SUM(C11:L11)*Inicio!$W$4</f>
        <v>0</v>
      </c>
      <c r="DT11" s="4">
        <f>SUM(M11:V11)*Inicio!$W$5</f>
        <v>0</v>
      </c>
      <c r="DU11" s="4">
        <f>SUM(W11:AF11)*Inicio!$W$6</f>
        <v>0</v>
      </c>
      <c r="DV11" s="4">
        <f>SUM(AG11:AP11)*Inicio!$W$7</f>
        <v>0</v>
      </c>
      <c r="DW11" s="4">
        <f>SUM(AQ11:AZ11)*Inicio!$W$8</f>
        <v>0</v>
      </c>
      <c r="DX11" s="4">
        <f>SUM(BA11:BJ11)*Inicio!$W$9</f>
        <v>0</v>
      </c>
      <c r="DY11" s="4">
        <f>SUM(BK11:BT11)*Inicio!$W$10</f>
        <v>0</v>
      </c>
      <c r="DZ11" s="4">
        <f>SUM(BU11:CD11)*Inicio!$W$11</f>
        <v>0</v>
      </c>
      <c r="EA11" s="4">
        <f>SUM(CE11:CN11)*Inicio!$W$12</f>
        <v>0</v>
      </c>
      <c r="EB11" s="4">
        <f>SUM(CO11:CX11)*Inicio!$W$13</f>
        <v>0</v>
      </c>
      <c r="EC11" s="4">
        <f>SUM(CY11:DH11)*Inicio!$W$11</f>
        <v>0</v>
      </c>
      <c r="ED11" s="4">
        <f>SUM(DI11:DR11)*Inicio!$W$12</f>
        <v>0</v>
      </c>
      <c r="EE11" s="4">
        <f t="shared" si="0"/>
        <v>0</v>
      </c>
      <c r="EF11" s="4">
        <f>SUM(EE9:EE11)</f>
        <v>0</v>
      </c>
      <c r="EG11" s="4">
        <f t="shared" si="1"/>
        <v>0</v>
      </c>
      <c r="EH11" s="4">
        <f>SUM(EG9:EG11)</f>
        <v>0</v>
      </c>
    </row>
    <row r="12" spans="2:138" ht="20.25" customHeight="1" x14ac:dyDescent="0.3">
      <c r="B12" s="25" t="s">
        <v>28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5">
        <f>SUM(C12:L12)*Inicio!$W$4</f>
        <v>0</v>
      </c>
      <c r="DT12" s="5">
        <f>SUM(M12:V12)*Inicio!$W$5</f>
        <v>0</v>
      </c>
      <c r="DU12" s="5">
        <f>SUM(W12:AF12)*Inicio!$W$6</f>
        <v>0</v>
      </c>
      <c r="DV12" s="5">
        <f>SUM(AG12:AP12)*Inicio!$W$7</f>
        <v>0</v>
      </c>
      <c r="DW12" s="5">
        <f>SUM(AQ12:AZ12)*Inicio!$W$8</f>
        <v>0</v>
      </c>
      <c r="DX12" s="5">
        <f>SUM(BA12:BJ12)*Inicio!$W$9</f>
        <v>0</v>
      </c>
      <c r="DY12" s="5">
        <f>SUM(BK12:BT12)*Inicio!$W$10</f>
        <v>0</v>
      </c>
      <c r="DZ12" s="5">
        <f>SUM(BU12:CD12)*Inicio!$W$11</f>
        <v>0</v>
      </c>
      <c r="EA12" s="5">
        <f>SUM(CE12:CN12)*Inicio!$W$12</f>
        <v>0</v>
      </c>
      <c r="EB12" s="5">
        <f>SUM(CO12:CX12)*Inicio!$W$13</f>
        <v>0</v>
      </c>
      <c r="EC12" s="85">
        <f>SUM(CY12:DH12)*Inicio!$W$11</f>
        <v>0</v>
      </c>
      <c r="ED12" s="85">
        <f>SUM(DI12:DR12)*Inicio!$W$12</f>
        <v>0</v>
      </c>
      <c r="EE12" s="4">
        <f t="shared" si="0"/>
        <v>0</v>
      </c>
      <c r="EF12" s="5">
        <f>SUM(EE9:EE12)</f>
        <v>0</v>
      </c>
      <c r="EG12" s="5">
        <f t="shared" si="1"/>
        <v>0</v>
      </c>
      <c r="EH12" s="5">
        <f>SUM(EG9:EG12)</f>
        <v>0</v>
      </c>
    </row>
    <row r="13" spans="2:138" ht="20.25" customHeight="1" x14ac:dyDescent="0.3">
      <c r="B13" s="23" t="s">
        <v>29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3">
        <f>SUM(C13:L13)*Inicio!$W$4</f>
        <v>0</v>
      </c>
      <c r="DT13" s="3">
        <f>SUM(M13:V13)*Inicio!$W$5</f>
        <v>0</v>
      </c>
      <c r="DU13" s="3">
        <f>SUM(W13:AF13)*Inicio!$W$6</f>
        <v>0</v>
      </c>
      <c r="DV13" s="3">
        <f>SUM(AG13:AP13)*Inicio!$W$7</f>
        <v>0</v>
      </c>
      <c r="DW13" s="3">
        <f>SUM(AQ13:AZ13)*Inicio!$W$8</f>
        <v>0</v>
      </c>
      <c r="DX13" s="3">
        <f>SUM(BA13:BJ13)*Inicio!$W$9</f>
        <v>0</v>
      </c>
      <c r="DY13" s="3">
        <f>SUM(BK13:BT13)*Inicio!$W$10</f>
        <v>0</v>
      </c>
      <c r="DZ13" s="3">
        <f>SUM(BU13:CD13)*Inicio!$W$11</f>
        <v>0</v>
      </c>
      <c r="EA13" s="3">
        <f>SUM(CE13:CN13)*Inicio!$W$12</f>
        <v>0</v>
      </c>
      <c r="EB13" s="3">
        <f>SUM(CO13:CX13)*Inicio!$W$13</f>
        <v>0</v>
      </c>
      <c r="EC13" s="3">
        <f>SUM(CY13:DH13)*Inicio!$W$11</f>
        <v>0</v>
      </c>
      <c r="ED13" s="3">
        <f>SUM(DI13:DR13)*Inicio!$W$12</f>
        <v>0</v>
      </c>
      <c r="EE13" s="3">
        <f t="shared" si="0"/>
        <v>0</v>
      </c>
      <c r="EF13" s="3">
        <f>SUM(EE10:EE13)</f>
        <v>0</v>
      </c>
      <c r="EG13" s="3">
        <f t="shared" si="1"/>
        <v>0</v>
      </c>
      <c r="EH13" s="3">
        <f>SUM(EG10:EG13)</f>
        <v>0</v>
      </c>
    </row>
    <row r="14" spans="2:138" ht="20.25" customHeight="1" x14ac:dyDescent="0.3">
      <c r="B14" s="24" t="s">
        <v>30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4">
        <f>SUM(C14:L14)*Inicio!$W$4</f>
        <v>0</v>
      </c>
      <c r="DT14" s="4">
        <f>SUM(M14:V14)*Inicio!$W$5</f>
        <v>0</v>
      </c>
      <c r="DU14" s="4">
        <f>SUM(W14:AF14)*Inicio!$W$6</f>
        <v>0</v>
      </c>
      <c r="DV14" s="4">
        <f>SUM(AG14:AP14)*Inicio!$W$7</f>
        <v>0</v>
      </c>
      <c r="DW14" s="4">
        <f>SUM(AQ14:AZ14)*Inicio!$W$8</f>
        <v>0</v>
      </c>
      <c r="DX14" s="4">
        <f>SUM(BA14:BJ14)*Inicio!$W$9</f>
        <v>0</v>
      </c>
      <c r="DY14" s="4">
        <f>SUM(BK14:BT14)*Inicio!$W$10</f>
        <v>0</v>
      </c>
      <c r="DZ14" s="4">
        <f>SUM(BU14:CD14)*Inicio!$W$11</f>
        <v>0</v>
      </c>
      <c r="EA14" s="4">
        <f>SUM(CE14:CN14)*Inicio!$W$12</f>
        <v>0</v>
      </c>
      <c r="EB14" s="4">
        <f>SUM(CO14:CX14)*Inicio!$W$13</f>
        <v>0</v>
      </c>
      <c r="EC14" s="4">
        <f>SUM(CY14:DH14)*Inicio!$W$11</f>
        <v>0</v>
      </c>
      <c r="ED14" s="4">
        <f>SUM(DI14:DR14)*Inicio!$W$12</f>
        <v>0</v>
      </c>
      <c r="EE14" s="4">
        <f t="shared" si="0"/>
        <v>0</v>
      </c>
      <c r="EF14" s="4">
        <f t="shared" ref="EF14:EH29" si="2">SUM(EE11:EE14)</f>
        <v>0</v>
      </c>
      <c r="EG14" s="4">
        <f t="shared" si="1"/>
        <v>0</v>
      </c>
      <c r="EH14" s="4">
        <f t="shared" si="2"/>
        <v>0</v>
      </c>
    </row>
    <row r="15" spans="2:138" ht="20.25" customHeight="1" x14ac:dyDescent="0.3">
      <c r="B15" s="24" t="s">
        <v>31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4">
        <f>SUM(C15:L15)*Inicio!$W$4</f>
        <v>0</v>
      </c>
      <c r="DT15" s="4">
        <f>SUM(M15:V15)*Inicio!$W$5</f>
        <v>0</v>
      </c>
      <c r="DU15" s="4">
        <f>SUM(W15:AF15)*Inicio!$W$6</f>
        <v>0</v>
      </c>
      <c r="DV15" s="4">
        <f>SUM(AG15:AP15)*Inicio!$W$7</f>
        <v>0</v>
      </c>
      <c r="DW15" s="4">
        <f>SUM(AQ15:AZ15)*Inicio!$W$8</f>
        <v>0</v>
      </c>
      <c r="DX15" s="4">
        <f>SUM(BA15:BJ15)*Inicio!$W$9</f>
        <v>0</v>
      </c>
      <c r="DY15" s="4">
        <f>SUM(BK15:BT15)*Inicio!$W$10</f>
        <v>0</v>
      </c>
      <c r="DZ15" s="4">
        <f>SUM(BU15:CD15)*Inicio!$W$11</f>
        <v>0</v>
      </c>
      <c r="EA15" s="4">
        <f>SUM(CE15:CN15)*Inicio!$W$12</f>
        <v>0</v>
      </c>
      <c r="EB15" s="4">
        <f>SUM(CO15:CX15)*Inicio!$W$13</f>
        <v>0</v>
      </c>
      <c r="EC15" s="4">
        <f>SUM(CY15:DH15)*Inicio!$W$11</f>
        <v>0</v>
      </c>
      <c r="ED15" s="4">
        <f>SUM(DI15:DR15)*Inicio!$W$12</f>
        <v>0</v>
      </c>
      <c r="EE15" s="4">
        <f t="shared" si="0"/>
        <v>0</v>
      </c>
      <c r="EF15" s="4">
        <f t="shared" si="2"/>
        <v>0</v>
      </c>
      <c r="EG15" s="4">
        <f t="shared" si="1"/>
        <v>0</v>
      </c>
      <c r="EH15" s="4">
        <f t="shared" si="2"/>
        <v>0</v>
      </c>
    </row>
    <row r="16" spans="2:138" ht="20.25" customHeight="1" x14ac:dyDescent="0.3">
      <c r="B16" s="25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5">
        <f>SUM(C16:L16)*Inicio!$W$4</f>
        <v>0</v>
      </c>
      <c r="DT16" s="5">
        <f>SUM(M16:V16)*Inicio!$W$5</f>
        <v>0</v>
      </c>
      <c r="DU16" s="5">
        <f>SUM(W16:AF16)*Inicio!$W$6</f>
        <v>0</v>
      </c>
      <c r="DV16" s="5">
        <f>SUM(AG16:AP16)*Inicio!$W$7</f>
        <v>0</v>
      </c>
      <c r="DW16" s="5">
        <f>SUM(AQ16:AZ16)*Inicio!$W$8</f>
        <v>0</v>
      </c>
      <c r="DX16" s="5">
        <f>SUM(BA16:BJ16)*Inicio!$W$9</f>
        <v>0</v>
      </c>
      <c r="DY16" s="5">
        <f>SUM(BK16:BT16)*Inicio!$W$10</f>
        <v>0</v>
      </c>
      <c r="DZ16" s="5">
        <f>SUM(BU16:CD16)*Inicio!$W$11</f>
        <v>0</v>
      </c>
      <c r="EA16" s="5">
        <f>SUM(CE16:CN16)*Inicio!$W$12</f>
        <v>0</v>
      </c>
      <c r="EB16" s="5">
        <f>SUM(CO16:CX16)*Inicio!$W$13</f>
        <v>0</v>
      </c>
      <c r="EC16" s="5">
        <f>SUM(CY16:DH16)*Inicio!$W$11</f>
        <v>0</v>
      </c>
      <c r="ED16" s="5">
        <f>SUM(DI16:DR16)*Inicio!$W$12</f>
        <v>0</v>
      </c>
      <c r="EE16" s="5">
        <f t="shared" si="0"/>
        <v>0</v>
      </c>
      <c r="EF16" s="5">
        <f t="shared" si="2"/>
        <v>0</v>
      </c>
      <c r="EG16" s="5">
        <f t="shared" si="1"/>
        <v>0</v>
      </c>
      <c r="EH16" s="5">
        <f t="shared" si="2"/>
        <v>0</v>
      </c>
    </row>
    <row r="17" spans="2:138" ht="20.25" customHeight="1" x14ac:dyDescent="0.3">
      <c r="B17" s="23" t="s">
        <v>33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3">
        <f>SUM(C17:L17)*Inicio!$W$4</f>
        <v>0</v>
      </c>
      <c r="DT17" s="3">
        <f>SUM(M17:V17)*Inicio!$W$5</f>
        <v>0</v>
      </c>
      <c r="DU17" s="3">
        <f>SUM(W17:AF17)*Inicio!$W$6</f>
        <v>0</v>
      </c>
      <c r="DV17" s="3">
        <f>SUM(AG17:AP17)*Inicio!$W$7</f>
        <v>0</v>
      </c>
      <c r="DW17" s="3">
        <f>SUM(AQ17:AZ17)*Inicio!$W$8</f>
        <v>0</v>
      </c>
      <c r="DX17" s="3">
        <f>SUM(BA17:BJ17)*Inicio!$W$9</f>
        <v>0</v>
      </c>
      <c r="DY17" s="3">
        <f>SUM(BK17:BT17)*Inicio!$W$10</f>
        <v>0</v>
      </c>
      <c r="DZ17" s="3">
        <f>SUM(BU17:CD17)*Inicio!$W$11</f>
        <v>0</v>
      </c>
      <c r="EA17" s="3">
        <f>SUM(CE17:CN17)*Inicio!$W$12</f>
        <v>0</v>
      </c>
      <c r="EB17" s="3">
        <f>SUM(CO17:CX17)*Inicio!$W$13</f>
        <v>0</v>
      </c>
      <c r="EC17" s="3">
        <f>SUM(CY17:DH17)*Inicio!$W$11</f>
        <v>0</v>
      </c>
      <c r="ED17" s="3">
        <f>SUM(DI17:DR17)*Inicio!$W$12</f>
        <v>0</v>
      </c>
      <c r="EE17" s="3">
        <f t="shared" si="0"/>
        <v>0</v>
      </c>
      <c r="EF17" s="3">
        <f t="shared" si="2"/>
        <v>0</v>
      </c>
      <c r="EG17" s="3">
        <f t="shared" si="1"/>
        <v>0</v>
      </c>
      <c r="EH17" s="3">
        <f t="shared" si="2"/>
        <v>0</v>
      </c>
    </row>
    <row r="18" spans="2:138" ht="20.25" customHeight="1" x14ac:dyDescent="0.3">
      <c r="B18" s="24" t="s">
        <v>34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4">
        <f>SUM(C18:L18)*Inicio!$W$4</f>
        <v>0</v>
      </c>
      <c r="DT18" s="4">
        <f>SUM(M18:V18)*Inicio!$W$5</f>
        <v>0</v>
      </c>
      <c r="DU18" s="4">
        <f>SUM(W18:AF18)*Inicio!$W$6</f>
        <v>0</v>
      </c>
      <c r="DV18" s="4">
        <f>SUM(AG18:AP18)*Inicio!$W$7</f>
        <v>0</v>
      </c>
      <c r="DW18" s="4">
        <f>SUM(AQ18:AZ18)*Inicio!$W$8</f>
        <v>0</v>
      </c>
      <c r="DX18" s="4">
        <f>SUM(BA18:BJ18)*Inicio!$W$9</f>
        <v>0</v>
      </c>
      <c r="DY18" s="4">
        <f>SUM(BK18:BT18)*Inicio!$W$10</f>
        <v>0</v>
      </c>
      <c r="DZ18" s="4">
        <f>SUM(BU18:CD18)*Inicio!$W$11</f>
        <v>0</v>
      </c>
      <c r="EA18" s="4">
        <f>SUM(CE18:CN18)*Inicio!$W$12</f>
        <v>0</v>
      </c>
      <c r="EB18" s="4">
        <f>SUM(CO18:CX18)*Inicio!$W$13</f>
        <v>0</v>
      </c>
      <c r="EC18" s="4">
        <f>SUM(CY18:DH18)*Inicio!$W$11</f>
        <v>0</v>
      </c>
      <c r="ED18" s="4">
        <f>SUM(DI18:DR18)*Inicio!$W$12</f>
        <v>0</v>
      </c>
      <c r="EE18" s="4">
        <f t="shared" si="0"/>
        <v>0</v>
      </c>
      <c r="EF18" s="4">
        <f t="shared" si="2"/>
        <v>0</v>
      </c>
      <c r="EG18" s="4">
        <f t="shared" si="1"/>
        <v>0</v>
      </c>
      <c r="EH18" s="4">
        <f t="shared" si="2"/>
        <v>0</v>
      </c>
    </row>
    <row r="19" spans="2:138" ht="20.25" customHeight="1" x14ac:dyDescent="0.3">
      <c r="B19" s="24" t="s">
        <v>35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4">
        <f>SUM(C19:L19)*Inicio!$W$4</f>
        <v>0</v>
      </c>
      <c r="DT19" s="4">
        <f>SUM(M19:V19)*Inicio!$W$5</f>
        <v>0</v>
      </c>
      <c r="DU19" s="4">
        <f>SUM(W19:AF19)*Inicio!$W$6</f>
        <v>0</v>
      </c>
      <c r="DV19" s="4">
        <f>SUM(AG19:AP19)*Inicio!$W$7</f>
        <v>0</v>
      </c>
      <c r="DW19" s="4">
        <f>SUM(AQ19:AZ19)*Inicio!$W$8</f>
        <v>0</v>
      </c>
      <c r="DX19" s="4">
        <f>SUM(BA19:BJ19)*Inicio!$W$9</f>
        <v>0</v>
      </c>
      <c r="DY19" s="4">
        <f>SUM(BK19:BT19)*Inicio!$W$10</f>
        <v>0</v>
      </c>
      <c r="DZ19" s="4">
        <f>SUM(BU19:CD19)*Inicio!$W$11</f>
        <v>0</v>
      </c>
      <c r="EA19" s="4">
        <f>SUM(CE19:CN19)*Inicio!$W$12</f>
        <v>0</v>
      </c>
      <c r="EB19" s="4">
        <f>SUM(CO19:CX19)*Inicio!$W$13</f>
        <v>0</v>
      </c>
      <c r="EC19" s="4">
        <f>SUM(CY19:DH19)*Inicio!$W$11</f>
        <v>0</v>
      </c>
      <c r="ED19" s="4">
        <f>SUM(DI19:DR19)*Inicio!$W$12</f>
        <v>0</v>
      </c>
      <c r="EE19" s="4">
        <f t="shared" si="0"/>
        <v>0</v>
      </c>
      <c r="EF19" s="4">
        <f t="shared" si="2"/>
        <v>0</v>
      </c>
      <c r="EG19" s="4">
        <f t="shared" si="1"/>
        <v>0</v>
      </c>
      <c r="EH19" s="4">
        <f t="shared" si="2"/>
        <v>0</v>
      </c>
    </row>
    <row r="20" spans="2:138" ht="20.25" customHeight="1" x14ac:dyDescent="0.3">
      <c r="B20" s="25" t="s">
        <v>36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5">
        <f>SUM(C20:L20)*Inicio!$W$4</f>
        <v>0</v>
      </c>
      <c r="DT20" s="5">
        <f>SUM(M20:V20)*Inicio!$W$5</f>
        <v>0</v>
      </c>
      <c r="DU20" s="5">
        <f>SUM(W20:AF20)*Inicio!$W$6</f>
        <v>0</v>
      </c>
      <c r="DV20" s="5">
        <f>SUM(AG20:AP20)*Inicio!$W$7</f>
        <v>0</v>
      </c>
      <c r="DW20" s="5">
        <f>SUM(AQ20:AZ20)*Inicio!$W$8</f>
        <v>0</v>
      </c>
      <c r="DX20" s="5">
        <f>SUM(BA20:BJ20)*Inicio!$W$9</f>
        <v>0</v>
      </c>
      <c r="DY20" s="5">
        <f>SUM(BK20:BT20)*Inicio!$W$10</f>
        <v>0</v>
      </c>
      <c r="DZ20" s="5">
        <f>SUM(BU20:CD20)*Inicio!$W$11</f>
        <v>0</v>
      </c>
      <c r="EA20" s="5">
        <f>SUM(CE20:CN20)*Inicio!$W$12</f>
        <v>0</v>
      </c>
      <c r="EB20" s="5">
        <f>SUM(CO20:CX20)*Inicio!$W$13</f>
        <v>0</v>
      </c>
      <c r="EC20" s="5">
        <f>SUM(CY20:DH20)*Inicio!$W$11</f>
        <v>0</v>
      </c>
      <c r="ED20" s="5">
        <f>SUM(DI20:DR20)*Inicio!$W$12</f>
        <v>0</v>
      </c>
      <c r="EE20" s="5">
        <f t="shared" si="0"/>
        <v>0</v>
      </c>
      <c r="EF20" s="5">
        <f t="shared" si="2"/>
        <v>0</v>
      </c>
      <c r="EG20" s="5">
        <f t="shared" si="1"/>
        <v>0</v>
      </c>
      <c r="EH20" s="5">
        <f t="shared" si="2"/>
        <v>0</v>
      </c>
    </row>
    <row r="21" spans="2:138" ht="20.25" customHeight="1" x14ac:dyDescent="0.3">
      <c r="B21" s="23" t="s">
        <v>37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3">
        <f>SUM(C21:L21)*Inicio!$W$4</f>
        <v>0</v>
      </c>
      <c r="DT21" s="3">
        <f>SUM(M21:V21)*Inicio!$W$5</f>
        <v>0</v>
      </c>
      <c r="DU21" s="3">
        <f>SUM(W21:AF21)*Inicio!$W$6</f>
        <v>0</v>
      </c>
      <c r="DV21" s="3">
        <f>SUM(AG21:AP21)*Inicio!$W$7</f>
        <v>0</v>
      </c>
      <c r="DW21" s="3">
        <f>SUM(AQ21:AZ21)*Inicio!$W$8</f>
        <v>0</v>
      </c>
      <c r="DX21" s="3">
        <f>SUM(BA21:BJ21)*Inicio!$W$9</f>
        <v>0</v>
      </c>
      <c r="DY21" s="3">
        <f>SUM(BK21:BT21)*Inicio!$W$10</f>
        <v>0</v>
      </c>
      <c r="DZ21" s="3">
        <f>SUM(BU21:CD21)*Inicio!$W$11</f>
        <v>0</v>
      </c>
      <c r="EA21" s="3">
        <f>SUM(CE21:CN21)*Inicio!$W$12</f>
        <v>0</v>
      </c>
      <c r="EB21" s="3">
        <f>SUM(CO21:CX21)*Inicio!$W$13</f>
        <v>0</v>
      </c>
      <c r="EC21" s="3">
        <f>SUM(CY21:DH21)*Inicio!$W$11</f>
        <v>0</v>
      </c>
      <c r="ED21" s="3">
        <f>SUM(DI21:DR21)*Inicio!$W$12</f>
        <v>0</v>
      </c>
      <c r="EE21" s="3">
        <f t="shared" si="0"/>
        <v>0</v>
      </c>
      <c r="EF21" s="3">
        <f t="shared" si="2"/>
        <v>0</v>
      </c>
      <c r="EG21" s="3">
        <f t="shared" si="1"/>
        <v>0</v>
      </c>
      <c r="EH21" s="3">
        <f t="shared" si="2"/>
        <v>0</v>
      </c>
    </row>
    <row r="22" spans="2:138" ht="20.25" customHeight="1" x14ac:dyDescent="0.3">
      <c r="B22" s="24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4">
        <f>SUM(C22:L22)*Inicio!$W$4</f>
        <v>0</v>
      </c>
      <c r="DT22" s="4">
        <f>SUM(M22:V22)*Inicio!$W$5</f>
        <v>0</v>
      </c>
      <c r="DU22" s="4">
        <f>SUM(W22:AF22)*Inicio!$W$6</f>
        <v>0</v>
      </c>
      <c r="DV22" s="4">
        <f>SUM(AG22:AP22)*Inicio!$W$7</f>
        <v>0</v>
      </c>
      <c r="DW22" s="4">
        <f>SUM(AQ22:AZ22)*Inicio!$W$8</f>
        <v>0</v>
      </c>
      <c r="DX22" s="4">
        <f>SUM(BA22:BJ22)*Inicio!$W$9</f>
        <v>0</v>
      </c>
      <c r="DY22" s="4">
        <f>SUM(BK22:BT22)*Inicio!$W$10</f>
        <v>0</v>
      </c>
      <c r="DZ22" s="4">
        <f>SUM(BU22:CD22)*Inicio!$W$11</f>
        <v>0</v>
      </c>
      <c r="EA22" s="4">
        <f>SUM(CE22:CN22)*Inicio!$W$12</f>
        <v>0</v>
      </c>
      <c r="EB22" s="4">
        <f>SUM(CO22:CX22)*Inicio!$W$13</f>
        <v>0</v>
      </c>
      <c r="EC22" s="4">
        <f>SUM(CY22:DH22)*Inicio!$W$11</f>
        <v>0</v>
      </c>
      <c r="ED22" s="4">
        <f>SUM(DI22:DR22)*Inicio!$W$12</f>
        <v>0</v>
      </c>
      <c r="EE22" s="4">
        <f t="shared" si="0"/>
        <v>0</v>
      </c>
      <c r="EF22" s="4">
        <f t="shared" si="2"/>
        <v>0</v>
      </c>
      <c r="EG22" s="4">
        <f t="shared" si="1"/>
        <v>0</v>
      </c>
      <c r="EH22" s="4">
        <f t="shared" si="2"/>
        <v>0</v>
      </c>
    </row>
    <row r="23" spans="2:138" ht="20.25" customHeight="1" x14ac:dyDescent="0.3">
      <c r="B23" s="24" t="s">
        <v>39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4">
        <f>SUM(C23:L23)*Inicio!$W$4</f>
        <v>0</v>
      </c>
      <c r="DT23" s="4">
        <f>SUM(M23:V23)*Inicio!$W$5</f>
        <v>0</v>
      </c>
      <c r="DU23" s="4">
        <f>SUM(W23:AF23)*Inicio!$W$6</f>
        <v>0</v>
      </c>
      <c r="DV23" s="4">
        <f>SUM(AG23:AP23)*Inicio!$W$7</f>
        <v>0</v>
      </c>
      <c r="DW23" s="4">
        <f>SUM(AQ23:AZ23)*Inicio!$W$8</f>
        <v>0</v>
      </c>
      <c r="DX23" s="4">
        <f>SUM(BA23:BJ23)*Inicio!$W$9</f>
        <v>0</v>
      </c>
      <c r="DY23" s="4">
        <f>SUM(BK23:BT23)*Inicio!$W$10</f>
        <v>0</v>
      </c>
      <c r="DZ23" s="4">
        <f>SUM(BU23:CD23)*Inicio!$W$11</f>
        <v>0</v>
      </c>
      <c r="EA23" s="4">
        <f>SUM(CE23:CN23)*Inicio!$W$12</f>
        <v>0</v>
      </c>
      <c r="EB23" s="4">
        <f>SUM(CO23:CX23)*Inicio!$W$13</f>
        <v>0</v>
      </c>
      <c r="EC23" s="4">
        <f>SUM(CY23:DH23)*Inicio!$W$11</f>
        <v>0</v>
      </c>
      <c r="ED23" s="4">
        <f>SUM(DI23:DR23)*Inicio!$W$12</f>
        <v>0</v>
      </c>
      <c r="EE23" s="4">
        <f t="shared" si="0"/>
        <v>0</v>
      </c>
      <c r="EF23" s="4">
        <f t="shared" si="2"/>
        <v>0</v>
      </c>
      <c r="EG23" s="4">
        <f t="shared" si="1"/>
        <v>0</v>
      </c>
      <c r="EH23" s="4">
        <f t="shared" si="2"/>
        <v>0</v>
      </c>
    </row>
    <row r="24" spans="2:138" ht="20.25" customHeight="1" x14ac:dyDescent="0.3">
      <c r="B24" s="25" t="s">
        <v>40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5">
        <f>SUM(C24:L24)*Inicio!$W$4</f>
        <v>0</v>
      </c>
      <c r="DT24" s="5">
        <f>SUM(M24:V24)*Inicio!$W$5</f>
        <v>0</v>
      </c>
      <c r="DU24" s="5">
        <f>SUM(W24:AF24)*Inicio!$W$6</f>
        <v>0</v>
      </c>
      <c r="DV24" s="5">
        <f>SUM(AG24:AP24)*Inicio!$W$7</f>
        <v>0</v>
      </c>
      <c r="DW24" s="5">
        <f>SUM(AQ24:AZ24)*Inicio!$W$8</f>
        <v>0</v>
      </c>
      <c r="DX24" s="5">
        <f>SUM(BA24:BJ24)*Inicio!$W$9</f>
        <v>0</v>
      </c>
      <c r="DY24" s="5">
        <f>SUM(BK24:BT24)*Inicio!$W$10</f>
        <v>0</v>
      </c>
      <c r="DZ24" s="5">
        <f>SUM(BU24:CD24)*Inicio!$W$11</f>
        <v>0</v>
      </c>
      <c r="EA24" s="5">
        <f>SUM(CE24:CN24)*Inicio!$W$12</f>
        <v>0</v>
      </c>
      <c r="EB24" s="5">
        <f>SUM(CO24:CX24)*Inicio!$W$13</f>
        <v>0</v>
      </c>
      <c r="EC24" s="5">
        <f>SUM(CY24:DH24)*Inicio!$W$11</f>
        <v>0</v>
      </c>
      <c r="ED24" s="5">
        <f>SUM(DI24:DR24)*Inicio!$W$12</f>
        <v>0</v>
      </c>
      <c r="EE24" s="5">
        <f t="shared" si="0"/>
        <v>0</v>
      </c>
      <c r="EF24" s="5">
        <f t="shared" si="2"/>
        <v>0</v>
      </c>
      <c r="EG24" s="5">
        <f t="shared" si="1"/>
        <v>0</v>
      </c>
      <c r="EH24" s="5">
        <f t="shared" si="2"/>
        <v>0</v>
      </c>
    </row>
    <row r="25" spans="2:138" ht="20.25" customHeight="1" x14ac:dyDescent="0.3">
      <c r="B25" s="23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3">
        <f>SUM(C25:L25)*Inicio!$W$4</f>
        <v>0</v>
      </c>
      <c r="DT25" s="3">
        <f>SUM(M25:V25)*Inicio!$W$5</f>
        <v>0</v>
      </c>
      <c r="DU25" s="3">
        <f>SUM(W25:AF25)*Inicio!$W$6</f>
        <v>0</v>
      </c>
      <c r="DV25" s="3">
        <f>SUM(AG25:AP25)*Inicio!$W$7</f>
        <v>0</v>
      </c>
      <c r="DW25" s="3">
        <f>SUM(AQ25:AZ25)*Inicio!$W$8</f>
        <v>0</v>
      </c>
      <c r="DX25" s="3">
        <f>SUM(BA25:BJ25)*Inicio!$W$9</f>
        <v>0</v>
      </c>
      <c r="DY25" s="3">
        <f>SUM(BK25:BT25)*Inicio!$W$10</f>
        <v>0</v>
      </c>
      <c r="DZ25" s="3">
        <f>SUM(BU25:CD25)*Inicio!$W$11</f>
        <v>0</v>
      </c>
      <c r="EA25" s="3">
        <f>SUM(CE25:CN25)*Inicio!$W$12</f>
        <v>0</v>
      </c>
      <c r="EB25" s="3">
        <f>SUM(CO25:CX25)*Inicio!$W$13</f>
        <v>0</v>
      </c>
      <c r="EC25" s="3">
        <f>SUM(CY25:DH25)*Inicio!$W$11</f>
        <v>0</v>
      </c>
      <c r="ED25" s="3">
        <f>SUM(DI25:DR25)*Inicio!$W$12</f>
        <v>0</v>
      </c>
      <c r="EE25" s="3">
        <f t="shared" si="0"/>
        <v>0</v>
      </c>
      <c r="EF25" s="3">
        <f t="shared" si="2"/>
        <v>0</v>
      </c>
      <c r="EG25" s="3">
        <f t="shared" si="1"/>
        <v>0</v>
      </c>
      <c r="EH25" s="3">
        <f t="shared" si="2"/>
        <v>0</v>
      </c>
    </row>
    <row r="26" spans="2:138" ht="20.25" customHeight="1" x14ac:dyDescent="0.3">
      <c r="B26" s="24" t="s">
        <v>42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4">
        <f>SUM(C26:L26)*Inicio!$W$4</f>
        <v>0</v>
      </c>
      <c r="DT26" s="4">
        <f>SUM(M26:V26)*Inicio!$W$5</f>
        <v>0</v>
      </c>
      <c r="DU26" s="4">
        <f>SUM(W26:AF26)*Inicio!$W$6</f>
        <v>0</v>
      </c>
      <c r="DV26" s="4">
        <f>SUM(AG26:AP26)*Inicio!$W$7</f>
        <v>0</v>
      </c>
      <c r="DW26" s="4">
        <f>SUM(AQ26:AZ26)*Inicio!$W$8</f>
        <v>0</v>
      </c>
      <c r="DX26" s="4">
        <f>SUM(BA26:BJ26)*Inicio!$W$9</f>
        <v>0</v>
      </c>
      <c r="DY26" s="4">
        <f>SUM(BK26:BT26)*Inicio!$W$10</f>
        <v>0</v>
      </c>
      <c r="DZ26" s="4">
        <f>SUM(BU26:CD26)*Inicio!$W$11</f>
        <v>0</v>
      </c>
      <c r="EA26" s="4">
        <f>SUM(CE26:CN26)*Inicio!$W$12</f>
        <v>0</v>
      </c>
      <c r="EB26" s="4">
        <f>SUM(CO26:CX26)*Inicio!$W$13</f>
        <v>0</v>
      </c>
      <c r="EC26" s="4">
        <f>SUM(CY26:DH26)*Inicio!$W$11</f>
        <v>0</v>
      </c>
      <c r="ED26" s="4">
        <f>SUM(DI26:DR26)*Inicio!$W$12</f>
        <v>0</v>
      </c>
      <c r="EE26" s="4">
        <f t="shared" si="0"/>
        <v>0</v>
      </c>
      <c r="EF26" s="4">
        <f t="shared" si="2"/>
        <v>0</v>
      </c>
      <c r="EG26" s="4">
        <f t="shared" si="1"/>
        <v>0</v>
      </c>
      <c r="EH26" s="4">
        <f t="shared" si="2"/>
        <v>0</v>
      </c>
    </row>
    <row r="27" spans="2:138" ht="20.25" customHeight="1" x14ac:dyDescent="0.3">
      <c r="B27" s="24" t="s">
        <v>43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4">
        <f>SUM(C27:L27)*Inicio!$W$4</f>
        <v>0</v>
      </c>
      <c r="DT27" s="4">
        <f>SUM(M27:V27)*Inicio!$W$5</f>
        <v>0</v>
      </c>
      <c r="DU27" s="4">
        <f>SUM(W27:AF27)*Inicio!$W$6</f>
        <v>0</v>
      </c>
      <c r="DV27" s="4">
        <f>SUM(AG27:AP27)*Inicio!$W$7</f>
        <v>0</v>
      </c>
      <c r="DW27" s="4">
        <f>SUM(AQ27:AZ27)*Inicio!$W$8</f>
        <v>0</v>
      </c>
      <c r="DX27" s="4">
        <f>SUM(BA27:BJ27)*Inicio!$W$9</f>
        <v>0</v>
      </c>
      <c r="DY27" s="4">
        <f>SUM(BK27:BT27)*Inicio!$W$10</f>
        <v>0</v>
      </c>
      <c r="DZ27" s="4">
        <f>SUM(BU27:CD27)*Inicio!$W$11</f>
        <v>0</v>
      </c>
      <c r="EA27" s="4">
        <f>SUM(CE27:CN27)*Inicio!$W$12</f>
        <v>0</v>
      </c>
      <c r="EB27" s="4">
        <f>SUM(CO27:CX27)*Inicio!$W$13</f>
        <v>0</v>
      </c>
      <c r="EC27" s="4">
        <f>SUM(CY27:DH27)*Inicio!$W$11</f>
        <v>0</v>
      </c>
      <c r="ED27" s="4">
        <f>SUM(DI27:DR27)*Inicio!$W$12</f>
        <v>0</v>
      </c>
      <c r="EE27" s="4">
        <f t="shared" si="0"/>
        <v>0</v>
      </c>
      <c r="EF27" s="4">
        <f t="shared" si="2"/>
        <v>0</v>
      </c>
      <c r="EG27" s="4">
        <f t="shared" si="1"/>
        <v>0</v>
      </c>
      <c r="EH27" s="4">
        <f t="shared" si="2"/>
        <v>0</v>
      </c>
    </row>
    <row r="28" spans="2:138" ht="20.25" customHeight="1" x14ac:dyDescent="0.3">
      <c r="B28" s="25" t="s">
        <v>44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5">
        <f>SUM(C28:L28)*Inicio!$W$4</f>
        <v>0</v>
      </c>
      <c r="DT28" s="5">
        <f>SUM(M28:V28)*Inicio!$W$5</f>
        <v>0</v>
      </c>
      <c r="DU28" s="5">
        <f>SUM(W28:AF28)*Inicio!$W$6</f>
        <v>0</v>
      </c>
      <c r="DV28" s="5">
        <f>SUM(AG28:AP28)*Inicio!$W$7</f>
        <v>0</v>
      </c>
      <c r="DW28" s="5">
        <f>SUM(AQ28:AZ28)*Inicio!$W$8</f>
        <v>0</v>
      </c>
      <c r="DX28" s="5">
        <f>SUM(BA28:BJ28)*Inicio!$W$9</f>
        <v>0</v>
      </c>
      <c r="DY28" s="5">
        <f>SUM(BK28:BT28)*Inicio!$W$10</f>
        <v>0</v>
      </c>
      <c r="DZ28" s="5">
        <f>SUM(BU28:CD28)*Inicio!$W$11</f>
        <v>0</v>
      </c>
      <c r="EA28" s="5">
        <f>SUM(CE28:CN28)*Inicio!$W$12</f>
        <v>0</v>
      </c>
      <c r="EB28" s="5">
        <f>SUM(CO28:CX28)*Inicio!$W$13</f>
        <v>0</v>
      </c>
      <c r="EC28" s="5">
        <f>SUM(CY28:DH28)*Inicio!$W$11</f>
        <v>0</v>
      </c>
      <c r="ED28" s="5">
        <f>SUM(DI28:DR28)*Inicio!$W$12</f>
        <v>0</v>
      </c>
      <c r="EE28" s="5">
        <f t="shared" si="0"/>
        <v>0</v>
      </c>
      <c r="EF28" s="5">
        <f t="shared" si="2"/>
        <v>0</v>
      </c>
      <c r="EG28" s="5">
        <f t="shared" si="1"/>
        <v>0</v>
      </c>
      <c r="EH28" s="5">
        <f t="shared" si="2"/>
        <v>0</v>
      </c>
    </row>
    <row r="29" spans="2:138" ht="20.25" customHeight="1" x14ac:dyDescent="0.3">
      <c r="B29" s="23" t="s">
        <v>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3">
        <f>SUM(C29:L29)*Inicio!$W$4</f>
        <v>0</v>
      </c>
      <c r="DT29" s="3">
        <f>SUM(M29:V29)*Inicio!$W$5</f>
        <v>0</v>
      </c>
      <c r="DU29" s="3">
        <f>SUM(W29:AF29)*Inicio!$W$6</f>
        <v>0</v>
      </c>
      <c r="DV29" s="3">
        <f>SUM(AG29:AP29)*Inicio!$W$7</f>
        <v>0</v>
      </c>
      <c r="DW29" s="3">
        <f>SUM(AQ29:AZ29)*Inicio!$W$8</f>
        <v>0</v>
      </c>
      <c r="DX29" s="3">
        <f>SUM(BA29:BJ29)*Inicio!$W$9</f>
        <v>0</v>
      </c>
      <c r="DY29" s="3">
        <f>SUM(BK29:BT29)*Inicio!$W$10</f>
        <v>0</v>
      </c>
      <c r="DZ29" s="3">
        <f>SUM(BU29:CD29)*Inicio!$W$11</f>
        <v>0</v>
      </c>
      <c r="EA29" s="3">
        <f>SUM(CE29:CN29)*Inicio!$W$12</f>
        <v>0</v>
      </c>
      <c r="EB29" s="3">
        <f>SUM(CO29:CX29)*Inicio!$W$13</f>
        <v>0</v>
      </c>
      <c r="EC29" s="3">
        <f>SUM(CY29:DH29)*Inicio!$W$11</f>
        <v>0</v>
      </c>
      <c r="ED29" s="3">
        <f>SUM(DI29:DR29)*Inicio!$W$12</f>
        <v>0</v>
      </c>
      <c r="EE29" s="3">
        <f t="shared" si="0"/>
        <v>0</v>
      </c>
      <c r="EF29" s="3">
        <f t="shared" si="2"/>
        <v>0</v>
      </c>
      <c r="EG29" s="3">
        <f t="shared" si="1"/>
        <v>0</v>
      </c>
      <c r="EH29" s="3">
        <f t="shared" si="2"/>
        <v>0</v>
      </c>
    </row>
    <row r="30" spans="2:138" ht="20.25" customHeight="1" x14ac:dyDescent="0.3">
      <c r="B30" s="24" t="s">
        <v>46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4">
        <f>SUM(C30:L30)*Inicio!$W$4</f>
        <v>0</v>
      </c>
      <c r="DT30" s="4">
        <f>SUM(M30:V30)*Inicio!$W$5</f>
        <v>0</v>
      </c>
      <c r="DU30" s="4">
        <f>SUM(W30:AF30)*Inicio!$W$6</f>
        <v>0</v>
      </c>
      <c r="DV30" s="4">
        <f>SUM(AG30:AP30)*Inicio!$W$7</f>
        <v>0</v>
      </c>
      <c r="DW30" s="4">
        <f>SUM(AQ30:AZ30)*Inicio!$W$8</f>
        <v>0</v>
      </c>
      <c r="DX30" s="4">
        <f>SUM(BA30:BJ30)*Inicio!$W$9</f>
        <v>0</v>
      </c>
      <c r="DY30" s="4">
        <f>SUM(BK30:BT30)*Inicio!$W$10</f>
        <v>0</v>
      </c>
      <c r="DZ30" s="4">
        <f>SUM(BU30:CD30)*Inicio!$W$11</f>
        <v>0</v>
      </c>
      <c r="EA30" s="4">
        <f>SUM(CE30:CN30)*Inicio!$W$12</f>
        <v>0</v>
      </c>
      <c r="EB30" s="4">
        <f>SUM(CO30:CX30)*Inicio!$W$13</f>
        <v>0</v>
      </c>
      <c r="EC30" s="4">
        <f>SUM(CY30:DH30)*Inicio!$W$11</f>
        <v>0</v>
      </c>
      <c r="ED30" s="4">
        <f>SUM(DI30:DR30)*Inicio!$W$12</f>
        <v>0</v>
      </c>
      <c r="EE30" s="4">
        <f t="shared" si="0"/>
        <v>0</v>
      </c>
      <c r="EF30" s="4">
        <f t="shared" ref="EF30:EH45" si="3">SUM(EE27:EE30)</f>
        <v>0</v>
      </c>
      <c r="EG30" s="4">
        <f t="shared" si="1"/>
        <v>0</v>
      </c>
      <c r="EH30" s="4">
        <f t="shared" si="3"/>
        <v>0</v>
      </c>
    </row>
    <row r="31" spans="2:138" ht="20.25" customHeight="1" x14ac:dyDescent="0.3">
      <c r="B31" s="24" t="s">
        <v>47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4">
        <f>SUM(C31:L31)*Inicio!$W$4</f>
        <v>0</v>
      </c>
      <c r="DT31" s="4">
        <f>SUM(M31:V31)*Inicio!$W$5</f>
        <v>0</v>
      </c>
      <c r="DU31" s="4">
        <f>SUM(W31:AF31)*Inicio!$W$6</f>
        <v>0</v>
      </c>
      <c r="DV31" s="4">
        <f>SUM(AG31:AP31)*Inicio!$W$7</f>
        <v>0</v>
      </c>
      <c r="DW31" s="4">
        <f>SUM(AQ31:AZ31)*Inicio!$W$8</f>
        <v>0</v>
      </c>
      <c r="DX31" s="4">
        <f>SUM(BA31:BJ31)*Inicio!$W$9</f>
        <v>0</v>
      </c>
      <c r="DY31" s="4">
        <f>SUM(BK31:BT31)*Inicio!$W$10</f>
        <v>0</v>
      </c>
      <c r="DZ31" s="4">
        <f>SUM(BU31:CD31)*Inicio!$W$11</f>
        <v>0</v>
      </c>
      <c r="EA31" s="4">
        <f>SUM(CE31:CN31)*Inicio!$W$12</f>
        <v>0</v>
      </c>
      <c r="EB31" s="4">
        <f>SUM(CO31:CX31)*Inicio!$W$13</f>
        <v>0</v>
      </c>
      <c r="EC31" s="4">
        <f>SUM(CY31:DH31)*Inicio!$W$11</f>
        <v>0</v>
      </c>
      <c r="ED31" s="4">
        <f>SUM(DI31:DR31)*Inicio!$W$12</f>
        <v>0</v>
      </c>
      <c r="EE31" s="4">
        <f t="shared" si="0"/>
        <v>0</v>
      </c>
      <c r="EF31" s="4">
        <f t="shared" si="3"/>
        <v>0</v>
      </c>
      <c r="EG31" s="4">
        <f t="shared" si="1"/>
        <v>0</v>
      </c>
      <c r="EH31" s="4">
        <f t="shared" si="3"/>
        <v>0</v>
      </c>
    </row>
    <row r="32" spans="2:138" ht="20.25" customHeight="1" x14ac:dyDescent="0.3">
      <c r="B32" s="25" t="s">
        <v>48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5">
        <f>SUM(C32:L32)*Inicio!$W$4</f>
        <v>0</v>
      </c>
      <c r="DT32" s="5">
        <f>SUM(M32:V32)*Inicio!$W$5</f>
        <v>0</v>
      </c>
      <c r="DU32" s="5">
        <f>SUM(W32:AF32)*Inicio!$W$6</f>
        <v>0</v>
      </c>
      <c r="DV32" s="5">
        <f>SUM(AG32:AP32)*Inicio!$W$7</f>
        <v>0</v>
      </c>
      <c r="DW32" s="5">
        <f>SUM(AQ32:AZ32)*Inicio!$W$8</f>
        <v>0</v>
      </c>
      <c r="DX32" s="5">
        <f>SUM(BA32:BJ32)*Inicio!$W$9</f>
        <v>0</v>
      </c>
      <c r="DY32" s="5">
        <f>SUM(BK32:BT32)*Inicio!$W$10</f>
        <v>0</v>
      </c>
      <c r="DZ32" s="5">
        <f>SUM(BU32:CD32)*Inicio!$W$11</f>
        <v>0</v>
      </c>
      <c r="EA32" s="5">
        <f>SUM(CE32:CN32)*Inicio!$W$12</f>
        <v>0</v>
      </c>
      <c r="EB32" s="5">
        <f>SUM(CO32:CX32)*Inicio!$W$13</f>
        <v>0</v>
      </c>
      <c r="EC32" s="5">
        <f>SUM(CY32:DH32)*Inicio!$W$11</f>
        <v>0</v>
      </c>
      <c r="ED32" s="5">
        <f>SUM(DI32:DR32)*Inicio!$W$12</f>
        <v>0</v>
      </c>
      <c r="EE32" s="5">
        <f t="shared" si="0"/>
        <v>0</v>
      </c>
      <c r="EF32" s="5">
        <f t="shared" si="3"/>
        <v>0</v>
      </c>
      <c r="EG32" s="5">
        <f t="shared" si="1"/>
        <v>0</v>
      </c>
      <c r="EH32" s="5">
        <f t="shared" si="3"/>
        <v>0</v>
      </c>
    </row>
    <row r="33" spans="2:138" ht="20.25" customHeight="1" x14ac:dyDescent="0.3">
      <c r="B33" s="23" t="s">
        <v>49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3">
        <f>SUM(C33:L33)*Inicio!$W$4</f>
        <v>0</v>
      </c>
      <c r="DT33" s="3">
        <f>SUM(M33:V33)*Inicio!$W$5</f>
        <v>0</v>
      </c>
      <c r="DU33" s="3">
        <f>SUM(W33:AF33)*Inicio!$W$6</f>
        <v>0</v>
      </c>
      <c r="DV33" s="3">
        <f>SUM(AG33:AP33)*Inicio!$W$7</f>
        <v>0</v>
      </c>
      <c r="DW33" s="3">
        <f>SUM(AQ33:AZ33)*Inicio!$W$8</f>
        <v>0</v>
      </c>
      <c r="DX33" s="3">
        <f>SUM(BA33:BJ33)*Inicio!$W$9</f>
        <v>0</v>
      </c>
      <c r="DY33" s="3">
        <f>SUM(BK33:BT33)*Inicio!$W$10</f>
        <v>0</v>
      </c>
      <c r="DZ33" s="3">
        <f>SUM(BU33:CD33)*Inicio!$W$11</f>
        <v>0</v>
      </c>
      <c r="EA33" s="3">
        <f>SUM(CE33:CN33)*Inicio!$W$12</f>
        <v>0</v>
      </c>
      <c r="EB33" s="3">
        <f>SUM(CO33:CX33)*Inicio!$W$13</f>
        <v>0</v>
      </c>
      <c r="EC33" s="3">
        <f>SUM(CY33:DH33)*Inicio!$W$11</f>
        <v>0</v>
      </c>
      <c r="ED33" s="3">
        <f>SUM(DI33:DR33)*Inicio!$W$12</f>
        <v>0</v>
      </c>
      <c r="EE33" s="3">
        <f t="shared" si="0"/>
        <v>0</v>
      </c>
      <c r="EF33" s="3">
        <f t="shared" si="3"/>
        <v>0</v>
      </c>
      <c r="EG33" s="3">
        <f t="shared" si="1"/>
        <v>0</v>
      </c>
      <c r="EH33" s="3">
        <f t="shared" si="3"/>
        <v>0</v>
      </c>
    </row>
    <row r="34" spans="2:138" ht="20.25" customHeight="1" x14ac:dyDescent="0.3">
      <c r="B34" s="24" t="s">
        <v>50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4">
        <f>SUM(C34:L34)*Inicio!$W$4</f>
        <v>0</v>
      </c>
      <c r="DT34" s="4">
        <f>SUM(M34:V34)*Inicio!$W$5</f>
        <v>0</v>
      </c>
      <c r="DU34" s="4">
        <f>SUM(W34:AF34)*Inicio!$W$6</f>
        <v>0</v>
      </c>
      <c r="DV34" s="4">
        <f>SUM(AG34:AP34)*Inicio!$W$7</f>
        <v>0</v>
      </c>
      <c r="DW34" s="4">
        <f>SUM(AQ34:AZ34)*Inicio!$W$8</f>
        <v>0</v>
      </c>
      <c r="DX34" s="4">
        <f>SUM(BA34:BJ34)*Inicio!$W$9</f>
        <v>0</v>
      </c>
      <c r="DY34" s="4">
        <f>SUM(BK34:BT34)*Inicio!$W$10</f>
        <v>0</v>
      </c>
      <c r="DZ34" s="4">
        <f>SUM(BU34:CD34)*Inicio!$W$11</f>
        <v>0</v>
      </c>
      <c r="EA34" s="4">
        <f>SUM(CE34:CN34)*Inicio!$W$12</f>
        <v>0</v>
      </c>
      <c r="EB34" s="4">
        <f>SUM(CO34:CX34)*Inicio!$W$13</f>
        <v>0</v>
      </c>
      <c r="EC34" s="4">
        <f>SUM(CY34:DH34)*Inicio!$W$11</f>
        <v>0</v>
      </c>
      <c r="ED34" s="4">
        <f>SUM(DI34:DR34)*Inicio!$W$12</f>
        <v>0</v>
      </c>
      <c r="EE34" s="4">
        <f t="shared" si="0"/>
        <v>0</v>
      </c>
      <c r="EF34" s="4">
        <f t="shared" si="3"/>
        <v>0</v>
      </c>
      <c r="EG34" s="4">
        <f t="shared" si="1"/>
        <v>0</v>
      </c>
      <c r="EH34" s="4">
        <f t="shared" si="3"/>
        <v>0</v>
      </c>
    </row>
    <row r="35" spans="2:138" ht="20.25" customHeight="1" x14ac:dyDescent="0.3">
      <c r="B35" s="24" t="s">
        <v>51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4">
        <f>SUM(C35:L35)*Inicio!$W$4</f>
        <v>0</v>
      </c>
      <c r="DT35" s="4">
        <f>SUM(M35:V35)*Inicio!$W$5</f>
        <v>0</v>
      </c>
      <c r="DU35" s="4">
        <f>SUM(W35:AF35)*Inicio!$W$6</f>
        <v>0</v>
      </c>
      <c r="DV35" s="4">
        <f>SUM(AG35:AP35)*Inicio!$W$7</f>
        <v>0</v>
      </c>
      <c r="DW35" s="4">
        <f>SUM(AQ35:AZ35)*Inicio!$W$8</f>
        <v>0</v>
      </c>
      <c r="DX35" s="4">
        <f>SUM(BA35:BJ35)*Inicio!$W$9</f>
        <v>0</v>
      </c>
      <c r="DY35" s="4">
        <f>SUM(BK35:BT35)*Inicio!$W$10</f>
        <v>0</v>
      </c>
      <c r="DZ35" s="4">
        <f>SUM(BU35:CD35)*Inicio!$W$11</f>
        <v>0</v>
      </c>
      <c r="EA35" s="4">
        <f>SUM(CE35:CN35)*Inicio!$W$12</f>
        <v>0</v>
      </c>
      <c r="EB35" s="4">
        <f>SUM(CO35:CX35)*Inicio!$W$13</f>
        <v>0</v>
      </c>
      <c r="EC35" s="4">
        <f>SUM(CY35:DH35)*Inicio!$W$11</f>
        <v>0</v>
      </c>
      <c r="ED35" s="4">
        <f>SUM(DI35:DR35)*Inicio!$W$12</f>
        <v>0</v>
      </c>
      <c r="EE35" s="4">
        <f t="shared" si="0"/>
        <v>0</v>
      </c>
      <c r="EF35" s="4">
        <f t="shared" si="3"/>
        <v>0</v>
      </c>
      <c r="EG35" s="4">
        <f t="shared" si="1"/>
        <v>0</v>
      </c>
      <c r="EH35" s="4">
        <f t="shared" si="3"/>
        <v>0</v>
      </c>
    </row>
    <row r="36" spans="2:138" ht="20.25" customHeight="1" x14ac:dyDescent="0.3">
      <c r="B36" s="26" t="s">
        <v>52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5">
        <f>SUM(C36:L36)*Inicio!$W$4</f>
        <v>0</v>
      </c>
      <c r="DT36" s="5">
        <f>SUM(M36:V36)*Inicio!$W$5</f>
        <v>0</v>
      </c>
      <c r="DU36" s="5">
        <f>SUM(W36:AF36)*Inicio!$W$6</f>
        <v>0</v>
      </c>
      <c r="DV36" s="5">
        <f>SUM(AG36:AP36)*Inicio!$W$7</f>
        <v>0</v>
      </c>
      <c r="DW36" s="5">
        <f>SUM(AQ36:AZ36)*Inicio!$W$8</f>
        <v>0</v>
      </c>
      <c r="DX36" s="5">
        <f>SUM(BA36:BJ36)*Inicio!$W$9</f>
        <v>0</v>
      </c>
      <c r="DY36" s="5">
        <f>SUM(BK36:BT36)*Inicio!$W$10</f>
        <v>0</v>
      </c>
      <c r="DZ36" s="5">
        <f>SUM(BU36:CD36)*Inicio!$W$11</f>
        <v>0</v>
      </c>
      <c r="EA36" s="5">
        <f>SUM(CE36:CN36)*Inicio!$W$12</f>
        <v>0</v>
      </c>
      <c r="EB36" s="5">
        <f>SUM(CO36:CX36)*Inicio!$W$13</f>
        <v>0</v>
      </c>
      <c r="EC36" s="5">
        <f>SUM(CY36:DH36)*Inicio!$W$11</f>
        <v>0</v>
      </c>
      <c r="ED36" s="5">
        <f>SUM(DI36:DR36)*Inicio!$W$12</f>
        <v>0</v>
      </c>
      <c r="EE36" s="5">
        <f t="shared" si="0"/>
        <v>0</v>
      </c>
      <c r="EF36" s="5">
        <f t="shared" si="3"/>
        <v>0</v>
      </c>
      <c r="EG36" s="5">
        <f t="shared" si="1"/>
        <v>0</v>
      </c>
      <c r="EH36" s="5">
        <f t="shared" si="3"/>
        <v>0</v>
      </c>
    </row>
    <row r="37" spans="2:138" ht="20.25" customHeight="1" x14ac:dyDescent="0.3">
      <c r="B37" s="27" t="s">
        <v>53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3">
        <f>SUM(C37:L37)*Inicio!$W$4</f>
        <v>0</v>
      </c>
      <c r="DT37" s="3">
        <f>SUM(M37:V37)*Inicio!$W$5</f>
        <v>0</v>
      </c>
      <c r="DU37" s="3">
        <f>SUM(W37:AF37)*Inicio!$W$6</f>
        <v>0</v>
      </c>
      <c r="DV37" s="3">
        <f>SUM(AG37:AP37)*Inicio!$W$7</f>
        <v>0</v>
      </c>
      <c r="DW37" s="3">
        <f>SUM(AQ37:AZ37)*Inicio!$W$8</f>
        <v>0</v>
      </c>
      <c r="DX37" s="3">
        <f>SUM(BA37:BJ37)*Inicio!$W$9</f>
        <v>0</v>
      </c>
      <c r="DY37" s="3">
        <f>SUM(BK37:BT37)*Inicio!$W$10</f>
        <v>0</v>
      </c>
      <c r="DZ37" s="3">
        <f>SUM(BU37:CD37)*Inicio!$W$11</f>
        <v>0</v>
      </c>
      <c r="EA37" s="3">
        <f>SUM(CE37:CN37)*Inicio!$W$12</f>
        <v>0</v>
      </c>
      <c r="EB37" s="3">
        <f>SUM(CO37:CX37)*Inicio!$W$13</f>
        <v>0</v>
      </c>
      <c r="EC37" s="3">
        <f>SUM(CY37:DH37)*Inicio!$W$11</f>
        <v>0</v>
      </c>
      <c r="ED37" s="3">
        <f>SUM(DI37:DR37)*Inicio!$W$12</f>
        <v>0</v>
      </c>
      <c r="EE37" s="3">
        <f t="shared" si="0"/>
        <v>0</v>
      </c>
      <c r="EF37" s="3">
        <f t="shared" si="3"/>
        <v>0</v>
      </c>
      <c r="EG37" s="3">
        <f t="shared" si="1"/>
        <v>0</v>
      </c>
      <c r="EH37" s="3">
        <f t="shared" si="3"/>
        <v>0</v>
      </c>
    </row>
    <row r="38" spans="2:138" ht="20.25" customHeight="1" x14ac:dyDescent="0.3">
      <c r="B38" s="28" t="s">
        <v>54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4">
        <f>SUM(C38:L38)*Inicio!$W$4</f>
        <v>0</v>
      </c>
      <c r="DT38" s="4">
        <f>SUM(M38:V38)*Inicio!$W$5</f>
        <v>0</v>
      </c>
      <c r="DU38" s="4">
        <f>SUM(W38:AF38)*Inicio!$W$6</f>
        <v>0</v>
      </c>
      <c r="DV38" s="4">
        <f>SUM(AG38:AP38)*Inicio!$W$7</f>
        <v>0</v>
      </c>
      <c r="DW38" s="4">
        <f>SUM(AQ38:AZ38)*Inicio!$W$8</f>
        <v>0</v>
      </c>
      <c r="DX38" s="4">
        <f>SUM(BA38:BJ38)*Inicio!$W$9</f>
        <v>0</v>
      </c>
      <c r="DY38" s="4">
        <f>SUM(BK38:BT38)*Inicio!$W$10</f>
        <v>0</v>
      </c>
      <c r="DZ38" s="4">
        <f>SUM(BU38:CD38)*Inicio!$W$11</f>
        <v>0</v>
      </c>
      <c r="EA38" s="4">
        <f>SUM(CE38:CN38)*Inicio!$W$12</f>
        <v>0</v>
      </c>
      <c r="EB38" s="4">
        <f>SUM(CO38:CX38)*Inicio!$W$13</f>
        <v>0</v>
      </c>
      <c r="EC38" s="4">
        <f>SUM(CY38:DH38)*Inicio!$W$11</f>
        <v>0</v>
      </c>
      <c r="ED38" s="4">
        <f>SUM(DI38:DR38)*Inicio!$W$12</f>
        <v>0</v>
      </c>
      <c r="EE38" s="4">
        <f t="shared" si="0"/>
        <v>0</v>
      </c>
      <c r="EF38" s="4">
        <f t="shared" si="3"/>
        <v>0</v>
      </c>
      <c r="EG38" s="4">
        <f t="shared" si="1"/>
        <v>0</v>
      </c>
      <c r="EH38" s="4">
        <f t="shared" si="3"/>
        <v>0</v>
      </c>
    </row>
    <row r="39" spans="2:138" ht="20.25" customHeight="1" x14ac:dyDescent="0.3">
      <c r="B39" s="28" t="s">
        <v>55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4">
        <f>SUM(C39:L39)*Inicio!$W$4</f>
        <v>0</v>
      </c>
      <c r="DT39" s="4">
        <f>SUM(M39:V39)*Inicio!$W$5</f>
        <v>0</v>
      </c>
      <c r="DU39" s="4">
        <f>SUM(W39:AF39)*Inicio!$W$6</f>
        <v>0</v>
      </c>
      <c r="DV39" s="4">
        <f>SUM(AG39:AP39)*Inicio!$W$7</f>
        <v>0</v>
      </c>
      <c r="DW39" s="4">
        <f>SUM(AQ39:AZ39)*Inicio!$W$8</f>
        <v>0</v>
      </c>
      <c r="DX39" s="4">
        <f>SUM(BA39:BJ39)*Inicio!$W$9</f>
        <v>0</v>
      </c>
      <c r="DY39" s="4">
        <f>SUM(BK39:BT39)*Inicio!$W$10</f>
        <v>0</v>
      </c>
      <c r="DZ39" s="4">
        <f>SUM(BU39:CD39)*Inicio!$W$11</f>
        <v>0</v>
      </c>
      <c r="EA39" s="4">
        <f>SUM(CE39:CN39)*Inicio!$W$12</f>
        <v>0</v>
      </c>
      <c r="EB39" s="4">
        <f>SUM(CO39:CX39)*Inicio!$W$13</f>
        <v>0</v>
      </c>
      <c r="EC39" s="4">
        <f>SUM(CY39:DH39)*Inicio!$W$11</f>
        <v>0</v>
      </c>
      <c r="ED39" s="4">
        <f>SUM(DI39:DR39)*Inicio!$W$12</f>
        <v>0</v>
      </c>
      <c r="EE39" s="4">
        <f t="shared" si="0"/>
        <v>0</v>
      </c>
      <c r="EF39" s="4">
        <f t="shared" si="3"/>
        <v>0</v>
      </c>
      <c r="EG39" s="4">
        <f t="shared" si="1"/>
        <v>0</v>
      </c>
      <c r="EH39" s="4">
        <f t="shared" si="3"/>
        <v>0</v>
      </c>
    </row>
    <row r="40" spans="2:138" ht="20.25" customHeight="1" x14ac:dyDescent="0.3">
      <c r="B40" s="26" t="s">
        <v>56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5">
        <f>SUM(C40:L40)*Inicio!$W$4</f>
        <v>0</v>
      </c>
      <c r="DT40" s="5">
        <f>SUM(M40:V40)*Inicio!$W$5</f>
        <v>0</v>
      </c>
      <c r="DU40" s="5">
        <f>SUM(W40:AF40)*Inicio!$W$6</f>
        <v>0</v>
      </c>
      <c r="DV40" s="5">
        <f>SUM(AG40:AP40)*Inicio!$W$7</f>
        <v>0</v>
      </c>
      <c r="DW40" s="5">
        <f>SUM(AQ40:AZ40)*Inicio!$W$8</f>
        <v>0</v>
      </c>
      <c r="DX40" s="5">
        <f>SUM(BA40:BJ40)*Inicio!$W$9</f>
        <v>0</v>
      </c>
      <c r="DY40" s="5">
        <f>SUM(BK40:BT40)*Inicio!$W$10</f>
        <v>0</v>
      </c>
      <c r="DZ40" s="5">
        <f>SUM(BU40:CD40)*Inicio!$W$11</f>
        <v>0</v>
      </c>
      <c r="EA40" s="5">
        <f>SUM(CE40:CN40)*Inicio!$W$12</f>
        <v>0</v>
      </c>
      <c r="EB40" s="5">
        <f>SUM(CO40:CX40)*Inicio!$W$13</f>
        <v>0</v>
      </c>
      <c r="EC40" s="5">
        <f>SUM(CY40:DH40)*Inicio!$W$11</f>
        <v>0</v>
      </c>
      <c r="ED40" s="5">
        <f>SUM(DI40:DR40)*Inicio!$W$12</f>
        <v>0</v>
      </c>
      <c r="EE40" s="5">
        <f t="shared" si="0"/>
        <v>0</v>
      </c>
      <c r="EF40" s="5">
        <f t="shared" si="3"/>
        <v>0</v>
      </c>
      <c r="EG40" s="5">
        <f t="shared" si="1"/>
        <v>0</v>
      </c>
      <c r="EH40" s="5">
        <f t="shared" si="3"/>
        <v>0</v>
      </c>
    </row>
    <row r="41" spans="2:138" ht="20.25" customHeight="1" x14ac:dyDescent="0.3">
      <c r="B41" s="27" t="s">
        <v>57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3">
        <f>SUM(C41:L41)*Inicio!$W$4</f>
        <v>0</v>
      </c>
      <c r="DT41" s="3">
        <f>SUM(M41:V41)*Inicio!$W$5</f>
        <v>0</v>
      </c>
      <c r="DU41" s="3">
        <f>SUM(W41:AF41)*Inicio!$W$6</f>
        <v>0</v>
      </c>
      <c r="DV41" s="3">
        <f>SUM(AG41:AP41)*Inicio!$W$7</f>
        <v>0</v>
      </c>
      <c r="DW41" s="3">
        <f>SUM(AQ41:AZ41)*Inicio!$W$8</f>
        <v>0</v>
      </c>
      <c r="DX41" s="3">
        <f>SUM(BA41:BJ41)*Inicio!$W$9</f>
        <v>0</v>
      </c>
      <c r="DY41" s="3">
        <f>SUM(BK41:BT41)*Inicio!$W$10</f>
        <v>0</v>
      </c>
      <c r="DZ41" s="3">
        <f>SUM(BU41:CD41)*Inicio!$W$11</f>
        <v>0</v>
      </c>
      <c r="EA41" s="3">
        <f>SUM(CE41:CN41)*Inicio!$W$12</f>
        <v>0</v>
      </c>
      <c r="EB41" s="3">
        <f>SUM(CO41:CX41)*Inicio!$W$13</f>
        <v>0</v>
      </c>
      <c r="EC41" s="3">
        <f>SUM(CY41:DH41)*Inicio!$W$11</f>
        <v>0</v>
      </c>
      <c r="ED41" s="3">
        <f>SUM(DI41:DR41)*Inicio!$W$12</f>
        <v>0</v>
      </c>
      <c r="EE41" s="3">
        <f t="shared" si="0"/>
        <v>0</v>
      </c>
      <c r="EF41" s="3">
        <f t="shared" si="3"/>
        <v>0</v>
      </c>
      <c r="EG41" s="3">
        <f t="shared" si="1"/>
        <v>0</v>
      </c>
      <c r="EH41" s="3">
        <f t="shared" si="3"/>
        <v>0</v>
      </c>
    </row>
    <row r="42" spans="2:138" ht="20.25" customHeight="1" x14ac:dyDescent="0.3">
      <c r="B42" s="28" t="s">
        <v>58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4">
        <f>SUM(C42:L42)*Inicio!$W$4</f>
        <v>0</v>
      </c>
      <c r="DT42" s="4">
        <f>SUM(M42:V42)*Inicio!$W$5</f>
        <v>0</v>
      </c>
      <c r="DU42" s="4">
        <f>SUM(W42:AF42)*Inicio!$W$6</f>
        <v>0</v>
      </c>
      <c r="DV42" s="4">
        <f>SUM(AG42:AP42)*Inicio!$W$7</f>
        <v>0</v>
      </c>
      <c r="DW42" s="4">
        <f>SUM(AQ42:AZ42)*Inicio!$W$8</f>
        <v>0</v>
      </c>
      <c r="DX42" s="4">
        <f>SUM(BA42:BJ42)*Inicio!$W$9</f>
        <v>0</v>
      </c>
      <c r="DY42" s="4">
        <f>SUM(BK42:BT42)*Inicio!$W$10</f>
        <v>0</v>
      </c>
      <c r="DZ42" s="4">
        <f>SUM(BU42:CD42)*Inicio!$W$11</f>
        <v>0</v>
      </c>
      <c r="EA42" s="4">
        <f>SUM(CE42:CN42)*Inicio!$W$12</f>
        <v>0</v>
      </c>
      <c r="EB42" s="4">
        <f>SUM(CO42:CX42)*Inicio!$W$13</f>
        <v>0</v>
      </c>
      <c r="EC42" s="4">
        <f>SUM(CY42:DH42)*Inicio!$W$11</f>
        <v>0</v>
      </c>
      <c r="ED42" s="4">
        <f>SUM(DI42:DR42)*Inicio!$W$12</f>
        <v>0</v>
      </c>
      <c r="EE42" s="4">
        <f t="shared" si="0"/>
        <v>0</v>
      </c>
      <c r="EF42" s="4">
        <f t="shared" si="3"/>
        <v>0</v>
      </c>
      <c r="EG42" s="4">
        <f t="shared" si="1"/>
        <v>0</v>
      </c>
      <c r="EH42" s="4">
        <f t="shared" si="3"/>
        <v>0</v>
      </c>
    </row>
    <row r="43" spans="2:138" ht="20.25" customHeight="1" x14ac:dyDescent="0.3">
      <c r="B43" s="28" t="s">
        <v>59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4">
        <f>SUM(C43:L43)*Inicio!$W$4</f>
        <v>0</v>
      </c>
      <c r="DT43" s="4">
        <f>SUM(M43:V43)*Inicio!$W$5</f>
        <v>0</v>
      </c>
      <c r="DU43" s="4">
        <f>SUM(W43:AF43)*Inicio!$W$6</f>
        <v>0</v>
      </c>
      <c r="DV43" s="4">
        <f>SUM(AG43:AP43)*Inicio!$W$7</f>
        <v>0</v>
      </c>
      <c r="DW43" s="4">
        <f>SUM(AQ43:AZ43)*Inicio!$W$8</f>
        <v>0</v>
      </c>
      <c r="DX43" s="4">
        <f>SUM(BA43:BJ43)*Inicio!$W$9</f>
        <v>0</v>
      </c>
      <c r="DY43" s="4">
        <f>SUM(BK43:BT43)*Inicio!$W$10</f>
        <v>0</v>
      </c>
      <c r="DZ43" s="4">
        <f>SUM(BU43:CD43)*Inicio!$W$11</f>
        <v>0</v>
      </c>
      <c r="EA43" s="4">
        <f>SUM(CE43:CN43)*Inicio!$W$12</f>
        <v>0</v>
      </c>
      <c r="EB43" s="4">
        <f>SUM(CO43:CX43)*Inicio!$W$13</f>
        <v>0</v>
      </c>
      <c r="EC43" s="4">
        <f>SUM(CY43:DH43)*Inicio!$W$11</f>
        <v>0</v>
      </c>
      <c r="ED43" s="4">
        <f>SUM(DI43:DR43)*Inicio!$W$12</f>
        <v>0</v>
      </c>
      <c r="EE43" s="4">
        <f t="shared" si="0"/>
        <v>0</v>
      </c>
      <c r="EF43" s="4">
        <f t="shared" si="3"/>
        <v>0</v>
      </c>
      <c r="EG43" s="4">
        <f t="shared" si="1"/>
        <v>0</v>
      </c>
      <c r="EH43" s="4">
        <f t="shared" si="3"/>
        <v>0</v>
      </c>
    </row>
    <row r="44" spans="2:138" ht="20.25" customHeight="1" x14ac:dyDescent="0.3">
      <c r="B44" s="26" t="s">
        <v>60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5">
        <f>SUM(C44:L44)*Inicio!$W$4</f>
        <v>0</v>
      </c>
      <c r="DT44" s="5">
        <f>SUM(M44:V44)*Inicio!$W$5</f>
        <v>0</v>
      </c>
      <c r="DU44" s="5">
        <f>SUM(W44:AF44)*Inicio!$W$6</f>
        <v>0</v>
      </c>
      <c r="DV44" s="5">
        <f>SUM(AG44:AP44)*Inicio!$W$7</f>
        <v>0</v>
      </c>
      <c r="DW44" s="5">
        <f>SUM(AQ44:AZ44)*Inicio!$W$8</f>
        <v>0</v>
      </c>
      <c r="DX44" s="5">
        <f>SUM(BA44:BJ44)*Inicio!$W$9</f>
        <v>0</v>
      </c>
      <c r="DY44" s="5">
        <f>SUM(BK44:BT44)*Inicio!$W$10</f>
        <v>0</v>
      </c>
      <c r="DZ44" s="5">
        <f>SUM(BU44:CD44)*Inicio!$W$11</f>
        <v>0</v>
      </c>
      <c r="EA44" s="5">
        <f>SUM(CE44:CN44)*Inicio!$W$12</f>
        <v>0</v>
      </c>
      <c r="EB44" s="5">
        <f>SUM(CO44:CX44)*Inicio!$W$13</f>
        <v>0</v>
      </c>
      <c r="EC44" s="5">
        <f>SUM(CY44:DH44)*Inicio!$W$11</f>
        <v>0</v>
      </c>
      <c r="ED44" s="5">
        <f>SUM(DI44:DR44)*Inicio!$W$12</f>
        <v>0</v>
      </c>
      <c r="EE44" s="5">
        <f t="shared" si="0"/>
        <v>0</v>
      </c>
      <c r="EF44" s="5">
        <f t="shared" si="3"/>
        <v>0</v>
      </c>
      <c r="EG44" s="5">
        <f t="shared" si="1"/>
        <v>0</v>
      </c>
      <c r="EH44" s="5">
        <f t="shared" si="3"/>
        <v>0</v>
      </c>
    </row>
    <row r="45" spans="2:138" ht="20.25" customHeight="1" x14ac:dyDescent="0.3">
      <c r="B45" s="27" t="s">
        <v>61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3">
        <f>SUM(C45:L45)*Inicio!$W$4</f>
        <v>0</v>
      </c>
      <c r="DT45" s="3">
        <f>SUM(M45:V45)*Inicio!$W$5</f>
        <v>0</v>
      </c>
      <c r="DU45" s="3">
        <f>SUM(W45:AF45)*Inicio!$W$6</f>
        <v>0</v>
      </c>
      <c r="DV45" s="3">
        <f>SUM(AG45:AP45)*Inicio!$W$7</f>
        <v>0</v>
      </c>
      <c r="DW45" s="3">
        <f>SUM(AQ45:AZ45)*Inicio!$W$8</f>
        <v>0</v>
      </c>
      <c r="DX45" s="3">
        <f>SUM(BA45:BJ45)*Inicio!$W$9</f>
        <v>0</v>
      </c>
      <c r="DY45" s="3">
        <f>SUM(BK45:BT45)*Inicio!$W$10</f>
        <v>0</v>
      </c>
      <c r="DZ45" s="3">
        <f>SUM(BU45:CD45)*Inicio!$W$11</f>
        <v>0</v>
      </c>
      <c r="EA45" s="3">
        <f>SUM(CE45:CN45)*Inicio!$W$12</f>
        <v>0</v>
      </c>
      <c r="EB45" s="3">
        <f>SUM(CO45:CX45)*Inicio!$W$13</f>
        <v>0</v>
      </c>
      <c r="EC45" s="3">
        <f>SUM(CY45:DH45)*Inicio!$W$11</f>
        <v>0</v>
      </c>
      <c r="ED45" s="3">
        <f>SUM(DI45:DR45)*Inicio!$W$12</f>
        <v>0</v>
      </c>
      <c r="EE45" s="3">
        <f t="shared" si="0"/>
        <v>0</v>
      </c>
      <c r="EF45" s="3">
        <f t="shared" si="3"/>
        <v>0</v>
      </c>
      <c r="EG45" s="3">
        <f t="shared" si="1"/>
        <v>0</v>
      </c>
      <c r="EH45" s="3">
        <f t="shared" si="3"/>
        <v>0</v>
      </c>
    </row>
    <row r="46" spans="2:138" ht="20.25" customHeight="1" x14ac:dyDescent="0.3">
      <c r="B46" s="28" t="s">
        <v>62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4">
        <f>SUM(C46:L46)*Inicio!$W$4</f>
        <v>0</v>
      </c>
      <c r="DT46" s="4">
        <f>SUM(M46:V46)*Inicio!$W$5</f>
        <v>0</v>
      </c>
      <c r="DU46" s="4">
        <f>SUM(W46:AF46)*Inicio!$W$6</f>
        <v>0</v>
      </c>
      <c r="DV46" s="4">
        <f>SUM(AG46:AP46)*Inicio!$W$7</f>
        <v>0</v>
      </c>
      <c r="DW46" s="4">
        <f>SUM(AQ46:AZ46)*Inicio!$W$8</f>
        <v>0</v>
      </c>
      <c r="DX46" s="4">
        <f>SUM(BA46:BJ46)*Inicio!$W$9</f>
        <v>0</v>
      </c>
      <c r="DY46" s="4">
        <f>SUM(BK46:BT46)*Inicio!$W$10</f>
        <v>0</v>
      </c>
      <c r="DZ46" s="4">
        <f>SUM(BU46:CD46)*Inicio!$W$11</f>
        <v>0</v>
      </c>
      <c r="EA46" s="4">
        <f>SUM(CE46:CN46)*Inicio!$W$12</f>
        <v>0</v>
      </c>
      <c r="EB46" s="4">
        <f>SUM(CO46:CX46)*Inicio!$W$13</f>
        <v>0</v>
      </c>
      <c r="EC46" s="4">
        <f>SUM(CY46:DH46)*Inicio!$W$11</f>
        <v>0</v>
      </c>
      <c r="ED46" s="4">
        <f>SUM(DI46:DR46)*Inicio!$W$12</f>
        <v>0</v>
      </c>
      <c r="EE46" s="4">
        <f t="shared" si="0"/>
        <v>0</v>
      </c>
      <c r="EF46" s="4">
        <f t="shared" ref="EF46:EH61" si="4">SUM(EE43:EE46)</f>
        <v>0</v>
      </c>
      <c r="EG46" s="4">
        <f t="shared" si="1"/>
        <v>0</v>
      </c>
      <c r="EH46" s="4">
        <f t="shared" si="4"/>
        <v>0</v>
      </c>
    </row>
    <row r="47" spans="2:138" ht="20.25" customHeight="1" x14ac:dyDescent="0.3">
      <c r="B47" s="28" t="s">
        <v>63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4">
        <f>SUM(C47:L47)*Inicio!$W$4</f>
        <v>0</v>
      </c>
      <c r="DT47" s="4">
        <f>SUM(M47:V47)*Inicio!$W$5</f>
        <v>0</v>
      </c>
      <c r="DU47" s="4">
        <f>SUM(W47:AF47)*Inicio!$W$6</f>
        <v>0</v>
      </c>
      <c r="DV47" s="4">
        <f>SUM(AG47:AP47)*Inicio!$W$7</f>
        <v>0</v>
      </c>
      <c r="DW47" s="4">
        <f>SUM(AQ47:AZ47)*Inicio!$W$8</f>
        <v>0</v>
      </c>
      <c r="DX47" s="4">
        <f>SUM(BA47:BJ47)*Inicio!$W$9</f>
        <v>0</v>
      </c>
      <c r="DY47" s="4">
        <f>SUM(BK47:BT47)*Inicio!$W$10</f>
        <v>0</v>
      </c>
      <c r="DZ47" s="4">
        <f>SUM(BU47:CD47)*Inicio!$W$11</f>
        <v>0</v>
      </c>
      <c r="EA47" s="4">
        <f>SUM(CE47:CN47)*Inicio!$W$12</f>
        <v>0</v>
      </c>
      <c r="EB47" s="4">
        <f>SUM(CO47:CX47)*Inicio!$W$13</f>
        <v>0</v>
      </c>
      <c r="EC47" s="4">
        <f>SUM(CY47:DH47)*Inicio!$W$11</f>
        <v>0</v>
      </c>
      <c r="ED47" s="4">
        <f>SUM(DI47:DR47)*Inicio!$W$12</f>
        <v>0</v>
      </c>
      <c r="EE47" s="4">
        <f t="shared" si="0"/>
        <v>0</v>
      </c>
      <c r="EF47" s="4">
        <f t="shared" si="4"/>
        <v>0</v>
      </c>
      <c r="EG47" s="4">
        <f t="shared" si="1"/>
        <v>0</v>
      </c>
      <c r="EH47" s="4">
        <f t="shared" si="4"/>
        <v>0</v>
      </c>
    </row>
    <row r="48" spans="2:138" ht="20.25" customHeight="1" x14ac:dyDescent="0.3">
      <c r="B48" s="26" t="s">
        <v>64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5">
        <f>SUM(C48:L48)*Inicio!$W$4</f>
        <v>0</v>
      </c>
      <c r="DT48" s="5">
        <f>SUM(M48:V48)*Inicio!$W$5</f>
        <v>0</v>
      </c>
      <c r="DU48" s="5">
        <f>SUM(W48:AF48)*Inicio!$W$6</f>
        <v>0</v>
      </c>
      <c r="DV48" s="5">
        <f>SUM(AG48:AP48)*Inicio!$W$7</f>
        <v>0</v>
      </c>
      <c r="DW48" s="5">
        <f>SUM(AQ48:AZ48)*Inicio!$W$8</f>
        <v>0</v>
      </c>
      <c r="DX48" s="5">
        <f>SUM(BA48:BJ48)*Inicio!$W$9</f>
        <v>0</v>
      </c>
      <c r="DY48" s="5">
        <f>SUM(BK48:BT48)*Inicio!$W$10</f>
        <v>0</v>
      </c>
      <c r="DZ48" s="5">
        <f>SUM(BU48:CD48)*Inicio!$W$11</f>
        <v>0</v>
      </c>
      <c r="EA48" s="5">
        <f>SUM(CE48:CN48)*Inicio!$W$12</f>
        <v>0</v>
      </c>
      <c r="EB48" s="5">
        <f>SUM(CO48:CX48)*Inicio!$W$13</f>
        <v>0</v>
      </c>
      <c r="EC48" s="5">
        <f>SUM(CY48:DH48)*Inicio!$W$11</f>
        <v>0</v>
      </c>
      <c r="ED48" s="5">
        <f>SUM(DI48:DR48)*Inicio!$W$12</f>
        <v>0</v>
      </c>
      <c r="EE48" s="5">
        <f t="shared" si="0"/>
        <v>0</v>
      </c>
      <c r="EF48" s="5">
        <f t="shared" si="4"/>
        <v>0</v>
      </c>
      <c r="EG48" s="5">
        <f t="shared" si="1"/>
        <v>0</v>
      </c>
      <c r="EH48" s="5">
        <f t="shared" si="4"/>
        <v>0</v>
      </c>
    </row>
    <row r="49" spans="2:138" ht="20.25" customHeight="1" x14ac:dyDescent="0.3">
      <c r="B49" s="27" t="s">
        <v>65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3">
        <f>SUM(C49:L49)*Inicio!$W$4</f>
        <v>0</v>
      </c>
      <c r="DT49" s="3">
        <f>SUM(M49:V49)*Inicio!$W$5</f>
        <v>0</v>
      </c>
      <c r="DU49" s="3">
        <f>SUM(W49:AF49)*Inicio!$W$6</f>
        <v>0</v>
      </c>
      <c r="DV49" s="3">
        <f>SUM(AG49:AP49)*Inicio!$W$7</f>
        <v>0</v>
      </c>
      <c r="DW49" s="3">
        <f>SUM(AQ49:AZ49)*Inicio!$W$8</f>
        <v>0</v>
      </c>
      <c r="DX49" s="3">
        <f>SUM(BA49:BJ49)*Inicio!$W$9</f>
        <v>0</v>
      </c>
      <c r="DY49" s="3">
        <f>SUM(BK49:BT49)*Inicio!$W$10</f>
        <v>0</v>
      </c>
      <c r="DZ49" s="3">
        <f>SUM(BU49:CD49)*Inicio!$W$11</f>
        <v>0</v>
      </c>
      <c r="EA49" s="3">
        <f>SUM(CE49:CN49)*Inicio!$W$12</f>
        <v>0</v>
      </c>
      <c r="EB49" s="3">
        <f>SUM(CO49:CX49)*Inicio!$W$13</f>
        <v>0</v>
      </c>
      <c r="EC49" s="3">
        <f>SUM(CY49:DH49)*Inicio!$W$11</f>
        <v>0</v>
      </c>
      <c r="ED49" s="3">
        <f>SUM(DI49:DR49)*Inicio!$W$12</f>
        <v>0</v>
      </c>
      <c r="EE49" s="3">
        <f t="shared" si="0"/>
        <v>0</v>
      </c>
      <c r="EF49" s="3">
        <f t="shared" si="4"/>
        <v>0</v>
      </c>
      <c r="EG49" s="3">
        <f t="shared" si="1"/>
        <v>0</v>
      </c>
      <c r="EH49" s="3">
        <f t="shared" si="4"/>
        <v>0</v>
      </c>
    </row>
    <row r="50" spans="2:138" ht="20.25" customHeight="1" x14ac:dyDescent="0.3">
      <c r="B50" s="28" t="s">
        <v>66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4">
        <f>SUM(C50:L50)*Inicio!$W$4</f>
        <v>0</v>
      </c>
      <c r="DT50" s="4">
        <f>SUM(M50:V50)*Inicio!$W$5</f>
        <v>0</v>
      </c>
      <c r="DU50" s="4">
        <f>SUM(W50:AF50)*Inicio!$W$6</f>
        <v>0</v>
      </c>
      <c r="DV50" s="4">
        <f>SUM(AG50:AP50)*Inicio!$W$7</f>
        <v>0</v>
      </c>
      <c r="DW50" s="4">
        <f>SUM(AQ50:AZ50)*Inicio!$W$8</f>
        <v>0</v>
      </c>
      <c r="DX50" s="4">
        <f>SUM(BA50:BJ50)*Inicio!$W$9</f>
        <v>0</v>
      </c>
      <c r="DY50" s="4">
        <f>SUM(BK50:BT50)*Inicio!$W$10</f>
        <v>0</v>
      </c>
      <c r="DZ50" s="4">
        <f>SUM(BU50:CD50)*Inicio!$W$11</f>
        <v>0</v>
      </c>
      <c r="EA50" s="4">
        <f>SUM(CE50:CN50)*Inicio!$W$12</f>
        <v>0</v>
      </c>
      <c r="EB50" s="4">
        <f>SUM(CO50:CX50)*Inicio!$W$13</f>
        <v>0</v>
      </c>
      <c r="EC50" s="4">
        <f>SUM(CY50:DH50)*Inicio!$W$11</f>
        <v>0</v>
      </c>
      <c r="ED50" s="4">
        <f>SUM(DI50:DR50)*Inicio!$W$12</f>
        <v>0</v>
      </c>
      <c r="EE50" s="4">
        <f t="shared" si="0"/>
        <v>0</v>
      </c>
      <c r="EF50" s="4">
        <f t="shared" si="4"/>
        <v>0</v>
      </c>
      <c r="EG50" s="4">
        <f t="shared" si="1"/>
        <v>0</v>
      </c>
      <c r="EH50" s="4">
        <f t="shared" si="4"/>
        <v>0</v>
      </c>
    </row>
    <row r="51" spans="2:138" ht="20.25" customHeight="1" x14ac:dyDescent="0.3">
      <c r="B51" s="28" t="s">
        <v>67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4">
        <f>SUM(C51:L51)*Inicio!$W$4</f>
        <v>0</v>
      </c>
      <c r="DT51" s="4">
        <f>SUM(M51:V51)*Inicio!$W$5</f>
        <v>0</v>
      </c>
      <c r="DU51" s="4">
        <f>SUM(W51:AF51)*Inicio!$W$6</f>
        <v>0</v>
      </c>
      <c r="DV51" s="4">
        <f>SUM(AG51:AP51)*Inicio!$W$7</f>
        <v>0</v>
      </c>
      <c r="DW51" s="4">
        <f>SUM(AQ51:AZ51)*Inicio!$W$8</f>
        <v>0</v>
      </c>
      <c r="DX51" s="4">
        <f>SUM(BA51:BJ51)*Inicio!$W$9</f>
        <v>0</v>
      </c>
      <c r="DY51" s="4">
        <f>SUM(BK51:BT51)*Inicio!$W$10</f>
        <v>0</v>
      </c>
      <c r="DZ51" s="4">
        <f>SUM(BU51:CD51)*Inicio!$W$11</f>
        <v>0</v>
      </c>
      <c r="EA51" s="4">
        <f>SUM(CE51:CN51)*Inicio!$W$12</f>
        <v>0</v>
      </c>
      <c r="EB51" s="4">
        <f>SUM(CO51:CX51)*Inicio!$W$13</f>
        <v>0</v>
      </c>
      <c r="EC51" s="4">
        <f>SUM(CY51:DH51)*Inicio!$W$11</f>
        <v>0</v>
      </c>
      <c r="ED51" s="4">
        <f>SUM(DI51:DR51)*Inicio!$W$12</f>
        <v>0</v>
      </c>
      <c r="EE51" s="4">
        <f t="shared" si="0"/>
        <v>0</v>
      </c>
      <c r="EF51" s="4">
        <f t="shared" si="4"/>
        <v>0</v>
      </c>
      <c r="EG51" s="4">
        <f t="shared" si="1"/>
        <v>0</v>
      </c>
      <c r="EH51" s="4">
        <f t="shared" si="4"/>
        <v>0</v>
      </c>
    </row>
    <row r="52" spans="2:138" ht="20.25" customHeight="1" x14ac:dyDescent="0.3">
      <c r="B52" s="26" t="s">
        <v>68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5">
        <f>SUM(C52:L52)*Inicio!$W$4</f>
        <v>0</v>
      </c>
      <c r="DT52" s="5">
        <f>SUM(M52:V52)*Inicio!$W$5</f>
        <v>0</v>
      </c>
      <c r="DU52" s="5">
        <f>SUM(W52:AF52)*Inicio!$W$6</f>
        <v>0</v>
      </c>
      <c r="DV52" s="5">
        <f>SUM(AG52:AP52)*Inicio!$W$7</f>
        <v>0</v>
      </c>
      <c r="DW52" s="5">
        <f>SUM(AQ52:AZ52)*Inicio!$W$8</f>
        <v>0</v>
      </c>
      <c r="DX52" s="5">
        <f>SUM(BA52:BJ52)*Inicio!$W$9</f>
        <v>0</v>
      </c>
      <c r="DY52" s="5">
        <f>SUM(BK52:BT52)*Inicio!$W$10</f>
        <v>0</v>
      </c>
      <c r="DZ52" s="5">
        <f>SUM(BU52:CD52)*Inicio!$W$11</f>
        <v>0</v>
      </c>
      <c r="EA52" s="5">
        <f>SUM(CE52:CN52)*Inicio!$W$12</f>
        <v>0</v>
      </c>
      <c r="EB52" s="5">
        <f>SUM(CO52:CX52)*Inicio!$W$13</f>
        <v>0</v>
      </c>
      <c r="EC52" s="5">
        <f>SUM(CY52:DH52)*Inicio!$W$11</f>
        <v>0</v>
      </c>
      <c r="ED52" s="5">
        <f>SUM(DI52:DR52)*Inicio!$W$12</f>
        <v>0</v>
      </c>
      <c r="EE52" s="5">
        <f t="shared" si="0"/>
        <v>0</v>
      </c>
      <c r="EF52" s="5">
        <f t="shared" si="4"/>
        <v>0</v>
      </c>
      <c r="EG52" s="5">
        <f t="shared" si="1"/>
        <v>0</v>
      </c>
      <c r="EH52" s="5">
        <f t="shared" si="4"/>
        <v>0</v>
      </c>
    </row>
    <row r="53" spans="2:138" ht="20.25" customHeight="1" x14ac:dyDescent="0.3">
      <c r="B53" s="27" t="s">
        <v>69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4">
        <f>SUM(C53:L53)*Inicio!$W$4</f>
        <v>0</v>
      </c>
      <c r="DT53" s="4">
        <f>SUM(M53:V53)*Inicio!$W$5</f>
        <v>0</v>
      </c>
      <c r="DU53" s="4">
        <f>SUM(W53:AF53)*Inicio!$W$6</f>
        <v>0</v>
      </c>
      <c r="DV53" s="4">
        <f>SUM(AG53:AP53)*Inicio!$W$7</f>
        <v>0</v>
      </c>
      <c r="DW53" s="4">
        <f>SUM(AQ53:AZ53)*Inicio!$W$8</f>
        <v>0</v>
      </c>
      <c r="DX53" s="4">
        <f>SUM(BA53:BJ53)*Inicio!$W$9</f>
        <v>0</v>
      </c>
      <c r="DY53" s="4">
        <f>SUM(BK53:BT53)*Inicio!$W$10</f>
        <v>0</v>
      </c>
      <c r="DZ53" s="4">
        <f>SUM(BU53:CD53)*Inicio!$W$11</f>
        <v>0</v>
      </c>
      <c r="EA53" s="4">
        <f>SUM(CE53:CN53)*Inicio!$W$12</f>
        <v>0</v>
      </c>
      <c r="EB53" s="4">
        <f>SUM(CO53:CX53)*Inicio!$W$13</f>
        <v>0</v>
      </c>
      <c r="EC53" s="4">
        <f>SUM(CY53:DH53)*Inicio!$W$11</f>
        <v>0</v>
      </c>
      <c r="ED53" s="4">
        <f>SUM(DI53:DR53)*Inicio!$W$12</f>
        <v>0</v>
      </c>
      <c r="EE53" s="4">
        <f t="shared" si="0"/>
        <v>0</v>
      </c>
      <c r="EF53" s="4">
        <f t="shared" si="4"/>
        <v>0</v>
      </c>
      <c r="EG53" s="4">
        <f t="shared" si="1"/>
        <v>0</v>
      </c>
      <c r="EH53" s="4">
        <f t="shared" si="4"/>
        <v>0</v>
      </c>
    </row>
    <row r="54" spans="2:138" ht="20.25" customHeight="1" x14ac:dyDescent="0.3">
      <c r="B54" s="28" t="s">
        <v>70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4">
        <f>SUM(C54:L54)*Inicio!$W$4</f>
        <v>0</v>
      </c>
      <c r="DT54" s="4">
        <f>SUM(M54:V54)*Inicio!$W$5</f>
        <v>0</v>
      </c>
      <c r="DU54" s="4">
        <f>SUM(W54:AF54)*Inicio!$W$6</f>
        <v>0</v>
      </c>
      <c r="DV54" s="4">
        <f>SUM(AG54:AP54)*Inicio!$W$7</f>
        <v>0</v>
      </c>
      <c r="DW54" s="4">
        <f>SUM(AQ54:AZ54)*Inicio!$W$8</f>
        <v>0</v>
      </c>
      <c r="DX54" s="4">
        <f>SUM(BA54:BJ54)*Inicio!$W$9</f>
        <v>0</v>
      </c>
      <c r="DY54" s="4">
        <f>SUM(BK54:BT54)*Inicio!$W$10</f>
        <v>0</v>
      </c>
      <c r="DZ54" s="4">
        <f>SUM(BU54:CD54)*Inicio!$W$11</f>
        <v>0</v>
      </c>
      <c r="EA54" s="4">
        <f>SUM(CE54:CN54)*Inicio!$W$12</f>
        <v>0</v>
      </c>
      <c r="EB54" s="4">
        <f>SUM(CO54:CX54)*Inicio!$W$13</f>
        <v>0</v>
      </c>
      <c r="EC54" s="4">
        <f>SUM(CY54:DH54)*Inicio!$W$11</f>
        <v>0</v>
      </c>
      <c r="ED54" s="4">
        <f>SUM(DI54:DR54)*Inicio!$W$12</f>
        <v>0</v>
      </c>
      <c r="EE54" s="4">
        <f t="shared" si="0"/>
        <v>0</v>
      </c>
      <c r="EF54" s="4">
        <f t="shared" si="4"/>
        <v>0</v>
      </c>
      <c r="EG54" s="4">
        <f t="shared" si="1"/>
        <v>0</v>
      </c>
      <c r="EH54" s="4">
        <f t="shared" si="4"/>
        <v>0</v>
      </c>
    </row>
    <row r="55" spans="2:138" ht="20.25" customHeight="1" x14ac:dyDescent="0.3">
      <c r="B55" s="28" t="s">
        <v>71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4">
        <f>SUM(C55:L55)*Inicio!$W$4</f>
        <v>0</v>
      </c>
      <c r="DT55" s="4">
        <f>SUM(M55:V55)*Inicio!$W$5</f>
        <v>0</v>
      </c>
      <c r="DU55" s="4">
        <f>SUM(W55:AF55)*Inicio!$W$6</f>
        <v>0</v>
      </c>
      <c r="DV55" s="4">
        <f>SUM(AG55:AP55)*Inicio!$W$7</f>
        <v>0</v>
      </c>
      <c r="DW55" s="4">
        <f>SUM(AQ55:AZ55)*Inicio!$W$8</f>
        <v>0</v>
      </c>
      <c r="DX55" s="4">
        <f>SUM(BA55:BJ55)*Inicio!$W$9</f>
        <v>0</v>
      </c>
      <c r="DY55" s="4">
        <f>SUM(BK55:BT55)*Inicio!$W$10</f>
        <v>0</v>
      </c>
      <c r="DZ55" s="4">
        <f>SUM(BU55:CD55)*Inicio!$W$11</f>
        <v>0</v>
      </c>
      <c r="EA55" s="4">
        <f>SUM(CE55:CN55)*Inicio!$W$12</f>
        <v>0</v>
      </c>
      <c r="EB55" s="4">
        <f>SUM(CO55:CX55)*Inicio!$W$13</f>
        <v>0</v>
      </c>
      <c r="EC55" s="4">
        <f>SUM(CY55:DH55)*Inicio!$W$11</f>
        <v>0</v>
      </c>
      <c r="ED55" s="4">
        <f>SUM(DI55:DR55)*Inicio!$W$12</f>
        <v>0</v>
      </c>
      <c r="EE55" s="4">
        <f t="shared" si="0"/>
        <v>0</v>
      </c>
      <c r="EF55" s="4">
        <f t="shared" si="4"/>
        <v>0</v>
      </c>
      <c r="EG55" s="4">
        <f t="shared" si="1"/>
        <v>0</v>
      </c>
      <c r="EH55" s="4">
        <f t="shared" si="4"/>
        <v>0</v>
      </c>
    </row>
    <row r="56" spans="2:138" ht="20.25" customHeight="1" x14ac:dyDescent="0.3">
      <c r="B56" s="26" t="s">
        <v>72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4">
        <f>SUM(C56:L56)*Inicio!$W$4</f>
        <v>0</v>
      </c>
      <c r="DT56" s="4">
        <f>SUM(M56:V56)*Inicio!$W$5</f>
        <v>0</v>
      </c>
      <c r="DU56" s="4">
        <f>SUM(W56:AF56)*Inicio!$W$6</f>
        <v>0</v>
      </c>
      <c r="DV56" s="4">
        <f>SUM(AG56:AP56)*Inicio!$W$7</f>
        <v>0</v>
      </c>
      <c r="DW56" s="4">
        <f>SUM(AQ56:AZ56)*Inicio!$W$8</f>
        <v>0</v>
      </c>
      <c r="DX56" s="4">
        <f>SUM(BA56:BJ56)*Inicio!$W$9</f>
        <v>0</v>
      </c>
      <c r="DY56" s="4">
        <f>SUM(BK56:BT56)*Inicio!$W$10</f>
        <v>0</v>
      </c>
      <c r="DZ56" s="4">
        <f>SUM(BU56:CD56)*Inicio!$W$11</f>
        <v>0</v>
      </c>
      <c r="EA56" s="4">
        <f>SUM(CE56:CN56)*Inicio!$W$12</f>
        <v>0</v>
      </c>
      <c r="EB56" s="4">
        <f>SUM(CO56:CX56)*Inicio!$W$13</f>
        <v>0</v>
      </c>
      <c r="EC56" s="4">
        <f>SUM(CY56:DH56)*Inicio!$W$11</f>
        <v>0</v>
      </c>
      <c r="ED56" s="4">
        <f>SUM(DI56:DR56)*Inicio!$W$12</f>
        <v>0</v>
      </c>
      <c r="EE56" s="4">
        <f t="shared" si="0"/>
        <v>0</v>
      </c>
      <c r="EF56" s="4">
        <f t="shared" si="4"/>
        <v>0</v>
      </c>
      <c r="EG56" s="4">
        <f t="shared" si="1"/>
        <v>0</v>
      </c>
      <c r="EH56" s="4">
        <f t="shared" si="4"/>
        <v>0</v>
      </c>
    </row>
    <row r="57" spans="2:138" ht="20.25" customHeight="1" x14ac:dyDescent="0.3">
      <c r="B57" s="27" t="s">
        <v>73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3">
        <f>SUM(C57:L57)*Inicio!$W$4</f>
        <v>0</v>
      </c>
      <c r="DT57" s="3">
        <f>SUM(M57:V57)*Inicio!$W$5</f>
        <v>0</v>
      </c>
      <c r="DU57" s="3">
        <f>SUM(W57:AF57)*Inicio!$W$6</f>
        <v>0</v>
      </c>
      <c r="DV57" s="3">
        <f>SUM(AG57:AP57)*Inicio!$W$7</f>
        <v>0</v>
      </c>
      <c r="DW57" s="3">
        <f>SUM(AQ57:AZ57)*Inicio!$W$8</f>
        <v>0</v>
      </c>
      <c r="DX57" s="3">
        <f>SUM(BA57:BJ57)*Inicio!$W$9</f>
        <v>0</v>
      </c>
      <c r="DY57" s="3">
        <f>SUM(BK57:BT57)*Inicio!$W$10</f>
        <v>0</v>
      </c>
      <c r="DZ57" s="3">
        <f>SUM(BU57:CD57)*Inicio!$W$11</f>
        <v>0</v>
      </c>
      <c r="EA57" s="3">
        <f>SUM(CE57:CN57)*Inicio!$W$12</f>
        <v>0</v>
      </c>
      <c r="EB57" s="3">
        <f>SUM(CO57:CX57)*Inicio!$W$13</f>
        <v>0</v>
      </c>
      <c r="EC57" s="3">
        <f>SUM(CY57:DH57)*Inicio!$W$11</f>
        <v>0</v>
      </c>
      <c r="ED57" s="3">
        <f>SUM(DI57:DR57)*Inicio!$W$12</f>
        <v>0</v>
      </c>
      <c r="EE57" s="3">
        <f t="shared" si="0"/>
        <v>0</v>
      </c>
      <c r="EF57" s="3">
        <f t="shared" si="4"/>
        <v>0</v>
      </c>
      <c r="EG57" s="3">
        <f t="shared" si="1"/>
        <v>0</v>
      </c>
      <c r="EH57" s="3">
        <f t="shared" si="4"/>
        <v>0</v>
      </c>
    </row>
    <row r="58" spans="2:138" ht="20.25" customHeight="1" x14ac:dyDescent="0.3">
      <c r="B58" s="28" t="s">
        <v>74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4">
        <f>SUM(C58:L58)*Inicio!$W$4</f>
        <v>0</v>
      </c>
      <c r="DT58" s="4">
        <f>SUM(M58:V58)*Inicio!$W$5</f>
        <v>0</v>
      </c>
      <c r="DU58" s="4">
        <f>SUM(W58:AF58)*Inicio!$W$6</f>
        <v>0</v>
      </c>
      <c r="DV58" s="4">
        <f>SUM(AG58:AP58)*Inicio!$W$7</f>
        <v>0</v>
      </c>
      <c r="DW58" s="4">
        <f>SUM(AQ58:AZ58)*Inicio!$W$8</f>
        <v>0</v>
      </c>
      <c r="DX58" s="4">
        <f>SUM(BA58:BJ58)*Inicio!$W$9</f>
        <v>0</v>
      </c>
      <c r="DY58" s="4">
        <f>SUM(BK58:BT58)*Inicio!$W$10</f>
        <v>0</v>
      </c>
      <c r="DZ58" s="4">
        <f>SUM(BU58:CD58)*Inicio!$W$11</f>
        <v>0</v>
      </c>
      <c r="EA58" s="4">
        <f>SUM(CE58:CN58)*Inicio!$W$12</f>
        <v>0</v>
      </c>
      <c r="EB58" s="4">
        <f>SUM(CO58:CX58)*Inicio!$W$13</f>
        <v>0</v>
      </c>
      <c r="EC58" s="4">
        <f>SUM(CY58:DH58)*Inicio!$W$11</f>
        <v>0</v>
      </c>
      <c r="ED58" s="4">
        <f>SUM(DI58:DR58)*Inicio!$W$12</f>
        <v>0</v>
      </c>
      <c r="EE58" s="4">
        <f t="shared" si="0"/>
        <v>0</v>
      </c>
      <c r="EF58" s="4">
        <f t="shared" si="4"/>
        <v>0</v>
      </c>
      <c r="EG58" s="4">
        <f t="shared" si="1"/>
        <v>0</v>
      </c>
      <c r="EH58" s="4">
        <f t="shared" si="4"/>
        <v>0</v>
      </c>
    </row>
    <row r="59" spans="2:138" ht="20.25" customHeight="1" x14ac:dyDescent="0.3">
      <c r="B59" s="28" t="s">
        <v>75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4">
        <f>SUM(C59:L59)*Inicio!$W$4</f>
        <v>0</v>
      </c>
      <c r="DT59" s="4">
        <f>SUM(M59:V59)*Inicio!$W$5</f>
        <v>0</v>
      </c>
      <c r="DU59" s="4">
        <f>SUM(W59:AF59)*Inicio!$W$6</f>
        <v>0</v>
      </c>
      <c r="DV59" s="4">
        <f>SUM(AG59:AP59)*Inicio!$W$7</f>
        <v>0</v>
      </c>
      <c r="DW59" s="4">
        <f>SUM(AQ59:AZ59)*Inicio!$W$8</f>
        <v>0</v>
      </c>
      <c r="DX59" s="4">
        <f>SUM(BA59:BJ59)*Inicio!$W$9</f>
        <v>0</v>
      </c>
      <c r="DY59" s="4">
        <f>SUM(BK59:BT59)*Inicio!$W$10</f>
        <v>0</v>
      </c>
      <c r="DZ59" s="4">
        <f>SUM(BU59:CD59)*Inicio!$W$11</f>
        <v>0</v>
      </c>
      <c r="EA59" s="4">
        <f>SUM(CE59:CN59)*Inicio!$W$12</f>
        <v>0</v>
      </c>
      <c r="EB59" s="4">
        <f>SUM(CO59:CX59)*Inicio!$W$13</f>
        <v>0</v>
      </c>
      <c r="EC59" s="4">
        <f>SUM(CY59:DH59)*Inicio!$W$11</f>
        <v>0</v>
      </c>
      <c r="ED59" s="4">
        <f>SUM(DI59:DR59)*Inicio!$W$12</f>
        <v>0</v>
      </c>
      <c r="EE59" s="4">
        <f t="shared" si="0"/>
        <v>0</v>
      </c>
      <c r="EF59" s="4">
        <f t="shared" si="4"/>
        <v>0</v>
      </c>
      <c r="EG59" s="4">
        <f t="shared" si="1"/>
        <v>0</v>
      </c>
      <c r="EH59" s="4">
        <f t="shared" si="4"/>
        <v>0</v>
      </c>
    </row>
    <row r="60" spans="2:138" ht="20.25" customHeight="1" x14ac:dyDescent="0.3">
      <c r="B60" s="26" t="s">
        <v>76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5">
        <f>SUM(C60:L60)*Inicio!$W$4</f>
        <v>0</v>
      </c>
      <c r="DT60" s="5">
        <f>SUM(M60:V60)*Inicio!$W$5</f>
        <v>0</v>
      </c>
      <c r="DU60" s="5">
        <f>SUM(W60:AF60)*Inicio!$W$6</f>
        <v>0</v>
      </c>
      <c r="DV60" s="5">
        <f>SUM(AG60:AP60)*Inicio!$W$7</f>
        <v>0</v>
      </c>
      <c r="DW60" s="5">
        <f>SUM(AQ60:AZ60)*Inicio!$W$8</f>
        <v>0</v>
      </c>
      <c r="DX60" s="5">
        <f>SUM(BA60:BJ60)*Inicio!$W$9</f>
        <v>0</v>
      </c>
      <c r="DY60" s="5">
        <f>SUM(BK60:BT60)*Inicio!$W$10</f>
        <v>0</v>
      </c>
      <c r="DZ60" s="5">
        <f>SUM(BU60:CD60)*Inicio!$W$11</f>
        <v>0</v>
      </c>
      <c r="EA60" s="5">
        <f>SUM(CE60:CN60)*Inicio!$W$12</f>
        <v>0</v>
      </c>
      <c r="EB60" s="5">
        <f>SUM(CO60:CX60)*Inicio!$W$13</f>
        <v>0</v>
      </c>
      <c r="EC60" s="5">
        <f>SUM(CY60:DH60)*Inicio!$W$11</f>
        <v>0</v>
      </c>
      <c r="ED60" s="5">
        <f>SUM(DI60:DR60)*Inicio!$W$12</f>
        <v>0</v>
      </c>
      <c r="EE60" s="5">
        <f t="shared" si="0"/>
        <v>0</v>
      </c>
      <c r="EF60" s="5">
        <f t="shared" si="4"/>
        <v>0</v>
      </c>
      <c r="EG60" s="5">
        <f t="shared" si="1"/>
        <v>0</v>
      </c>
      <c r="EH60" s="5">
        <f t="shared" si="4"/>
        <v>0</v>
      </c>
    </row>
    <row r="61" spans="2:138" ht="20.25" customHeight="1" x14ac:dyDescent="0.3">
      <c r="B61" s="27" t="s">
        <v>77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3">
        <f>SUM(C61:L61)*Inicio!$W$4</f>
        <v>0</v>
      </c>
      <c r="DT61" s="3">
        <f>SUM(M61:V61)*Inicio!$W$5</f>
        <v>0</v>
      </c>
      <c r="DU61" s="3">
        <f>SUM(W61:AF61)*Inicio!$W$6</f>
        <v>0</v>
      </c>
      <c r="DV61" s="3">
        <f>SUM(AG61:AP61)*Inicio!$W$7</f>
        <v>0</v>
      </c>
      <c r="DW61" s="3">
        <f>SUM(AQ61:AZ61)*Inicio!$W$8</f>
        <v>0</v>
      </c>
      <c r="DX61" s="3">
        <f>SUM(BA61:BJ61)*Inicio!$W$9</f>
        <v>0</v>
      </c>
      <c r="DY61" s="3">
        <f>SUM(BK61:BT61)*Inicio!$W$10</f>
        <v>0</v>
      </c>
      <c r="DZ61" s="3">
        <f>SUM(BU61:CD61)*Inicio!$W$11</f>
        <v>0</v>
      </c>
      <c r="EA61" s="3">
        <f>SUM(CE61:CN61)*Inicio!$W$12</f>
        <v>0</v>
      </c>
      <c r="EB61" s="3">
        <f>SUM(CO61:CX61)*Inicio!$W$13</f>
        <v>0</v>
      </c>
      <c r="EC61" s="3">
        <f>SUM(CY61:DH61)*Inicio!$W$11</f>
        <v>0</v>
      </c>
      <c r="ED61" s="3">
        <f>SUM(DI61:DR61)*Inicio!$W$12</f>
        <v>0</v>
      </c>
      <c r="EE61" s="3">
        <f t="shared" si="0"/>
        <v>0</v>
      </c>
      <c r="EF61" s="3">
        <f t="shared" si="4"/>
        <v>0</v>
      </c>
      <c r="EG61" s="3">
        <f t="shared" si="1"/>
        <v>0</v>
      </c>
      <c r="EH61" s="3">
        <f t="shared" si="4"/>
        <v>0</v>
      </c>
    </row>
    <row r="62" spans="2:138" ht="20.25" customHeight="1" x14ac:dyDescent="0.3">
      <c r="B62" s="28" t="s">
        <v>78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4">
        <f>SUM(C62:L62)*Inicio!$W$4</f>
        <v>0</v>
      </c>
      <c r="DT62" s="4">
        <f>SUM(M62:V62)*Inicio!$W$5</f>
        <v>0</v>
      </c>
      <c r="DU62" s="4">
        <f>SUM(W62:AF62)*Inicio!$W$6</f>
        <v>0</v>
      </c>
      <c r="DV62" s="4">
        <f>SUM(AG62:AP62)*Inicio!$W$7</f>
        <v>0</v>
      </c>
      <c r="DW62" s="4">
        <f>SUM(AQ62:AZ62)*Inicio!$W$8</f>
        <v>0</v>
      </c>
      <c r="DX62" s="4">
        <f>SUM(BA62:BJ62)*Inicio!$W$9</f>
        <v>0</v>
      </c>
      <c r="DY62" s="4">
        <f>SUM(BK62:BT62)*Inicio!$W$10</f>
        <v>0</v>
      </c>
      <c r="DZ62" s="4">
        <f>SUM(BU62:CD62)*Inicio!$W$11</f>
        <v>0</v>
      </c>
      <c r="EA62" s="4">
        <f>SUM(CE62:CN62)*Inicio!$W$12</f>
        <v>0</v>
      </c>
      <c r="EB62" s="4">
        <f>SUM(CO62:CX62)*Inicio!$W$13</f>
        <v>0</v>
      </c>
      <c r="EC62" s="4">
        <f>SUM(CY62:DH62)*Inicio!$W$11</f>
        <v>0</v>
      </c>
      <c r="ED62" s="4">
        <f>SUM(DI62:DR62)*Inicio!$W$12</f>
        <v>0</v>
      </c>
      <c r="EE62" s="4">
        <f t="shared" si="0"/>
        <v>0</v>
      </c>
      <c r="EF62" s="4">
        <f t="shared" ref="EF62:EH77" si="5">SUM(EE59:EE62)</f>
        <v>0</v>
      </c>
      <c r="EG62" s="4">
        <f t="shared" si="1"/>
        <v>0</v>
      </c>
      <c r="EH62" s="4">
        <f t="shared" si="5"/>
        <v>0</v>
      </c>
    </row>
    <row r="63" spans="2:138" ht="20.25" customHeight="1" x14ac:dyDescent="0.3">
      <c r="B63" s="28" t="s">
        <v>79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4">
        <f>SUM(C63:L63)*Inicio!$W$4</f>
        <v>0</v>
      </c>
      <c r="DT63" s="4">
        <f>SUM(M63:V63)*Inicio!$W$5</f>
        <v>0</v>
      </c>
      <c r="DU63" s="4">
        <f>SUM(W63:AF63)*Inicio!$W$6</f>
        <v>0</v>
      </c>
      <c r="DV63" s="4">
        <f>SUM(AG63:AP63)*Inicio!$W$7</f>
        <v>0</v>
      </c>
      <c r="DW63" s="4">
        <f>SUM(AQ63:AZ63)*Inicio!$W$8</f>
        <v>0</v>
      </c>
      <c r="DX63" s="4">
        <f>SUM(BA63:BJ63)*Inicio!$W$9</f>
        <v>0</v>
      </c>
      <c r="DY63" s="4">
        <f>SUM(BK63:BT63)*Inicio!$W$10</f>
        <v>0</v>
      </c>
      <c r="DZ63" s="4">
        <f>SUM(BU63:CD63)*Inicio!$W$11</f>
        <v>0</v>
      </c>
      <c r="EA63" s="4">
        <f>SUM(CE63:CN63)*Inicio!$W$12</f>
        <v>0</v>
      </c>
      <c r="EB63" s="4">
        <f>SUM(CO63:CX63)*Inicio!$W$13</f>
        <v>0</v>
      </c>
      <c r="EC63" s="4">
        <f>SUM(CY63:DH63)*Inicio!$W$11</f>
        <v>0</v>
      </c>
      <c r="ED63" s="4">
        <f>SUM(DI63:DR63)*Inicio!$W$12</f>
        <v>0</v>
      </c>
      <c r="EE63" s="4">
        <f t="shared" si="0"/>
        <v>0</v>
      </c>
      <c r="EF63" s="4">
        <f t="shared" si="5"/>
        <v>0</v>
      </c>
      <c r="EG63" s="4">
        <f t="shared" si="1"/>
        <v>0</v>
      </c>
      <c r="EH63" s="4">
        <f t="shared" si="5"/>
        <v>0</v>
      </c>
    </row>
    <row r="64" spans="2:138" ht="20.25" customHeight="1" x14ac:dyDescent="0.3">
      <c r="B64" s="26" t="s">
        <v>80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5">
        <f>SUM(C64:L64)*Inicio!$W$4</f>
        <v>0</v>
      </c>
      <c r="DT64" s="5">
        <f>SUM(M64:V64)*Inicio!$W$5</f>
        <v>0</v>
      </c>
      <c r="DU64" s="5">
        <f>SUM(W64:AF64)*Inicio!$W$6</f>
        <v>0</v>
      </c>
      <c r="DV64" s="5">
        <f>SUM(AG64:AP64)*Inicio!$W$7</f>
        <v>0</v>
      </c>
      <c r="DW64" s="5">
        <f>SUM(AQ64:AZ64)*Inicio!$W$8</f>
        <v>0</v>
      </c>
      <c r="DX64" s="5">
        <f>SUM(BA64:BJ64)*Inicio!$W$9</f>
        <v>0</v>
      </c>
      <c r="DY64" s="5">
        <f>SUM(BK64:BT64)*Inicio!$W$10</f>
        <v>0</v>
      </c>
      <c r="DZ64" s="5">
        <f>SUM(BU64:CD64)*Inicio!$W$11</f>
        <v>0</v>
      </c>
      <c r="EA64" s="5">
        <f>SUM(CE64:CN64)*Inicio!$W$12</f>
        <v>0</v>
      </c>
      <c r="EB64" s="5">
        <f>SUM(CO64:CX64)*Inicio!$W$13</f>
        <v>0</v>
      </c>
      <c r="EC64" s="5">
        <f>SUM(CY64:DH64)*Inicio!$W$11</f>
        <v>0</v>
      </c>
      <c r="ED64" s="5">
        <f>SUM(DI64:DR64)*Inicio!$W$12</f>
        <v>0</v>
      </c>
      <c r="EE64" s="5">
        <f t="shared" si="0"/>
        <v>0</v>
      </c>
      <c r="EF64" s="5">
        <f t="shared" si="5"/>
        <v>0</v>
      </c>
      <c r="EG64" s="5">
        <f t="shared" si="1"/>
        <v>0</v>
      </c>
      <c r="EH64" s="5">
        <f t="shared" si="5"/>
        <v>0</v>
      </c>
    </row>
    <row r="65" spans="2:138" ht="20.25" customHeight="1" x14ac:dyDescent="0.3">
      <c r="B65" s="27" t="s">
        <v>81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3">
        <f>SUM(C65:L65)*Inicio!$W$4</f>
        <v>0</v>
      </c>
      <c r="DT65" s="3">
        <f>SUM(M65:V65)*Inicio!$W$5</f>
        <v>0</v>
      </c>
      <c r="DU65" s="3">
        <f>SUM(W65:AF65)*Inicio!$W$6</f>
        <v>0</v>
      </c>
      <c r="DV65" s="3">
        <f>SUM(AG65:AP65)*Inicio!$W$7</f>
        <v>0</v>
      </c>
      <c r="DW65" s="3">
        <f>SUM(AQ65:AZ65)*Inicio!$W$8</f>
        <v>0</v>
      </c>
      <c r="DX65" s="3">
        <f>SUM(BA65:BJ65)*Inicio!$W$9</f>
        <v>0</v>
      </c>
      <c r="DY65" s="3">
        <f>SUM(BK65:BT65)*Inicio!$W$10</f>
        <v>0</v>
      </c>
      <c r="DZ65" s="3">
        <f>SUM(BU65:CD65)*Inicio!$W$11</f>
        <v>0</v>
      </c>
      <c r="EA65" s="3">
        <f>SUM(CE65:CN65)*Inicio!$W$12</f>
        <v>0</v>
      </c>
      <c r="EB65" s="3">
        <f>SUM(CO65:CX65)*Inicio!$W$13</f>
        <v>0</v>
      </c>
      <c r="EC65" s="3">
        <f>SUM(CY65:DH65)*Inicio!$W$11</f>
        <v>0</v>
      </c>
      <c r="ED65" s="3">
        <f>SUM(DI65:DR65)*Inicio!$W$12</f>
        <v>0</v>
      </c>
      <c r="EE65" s="3">
        <f t="shared" si="0"/>
        <v>0</v>
      </c>
      <c r="EF65" s="3">
        <f t="shared" si="5"/>
        <v>0</v>
      </c>
      <c r="EG65" s="3">
        <f t="shared" si="1"/>
        <v>0</v>
      </c>
      <c r="EH65" s="3">
        <f t="shared" si="5"/>
        <v>0</v>
      </c>
    </row>
    <row r="66" spans="2:138" ht="20.25" customHeight="1" x14ac:dyDescent="0.3">
      <c r="B66" s="28" t="s">
        <v>82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4">
        <f>SUM(C66:L66)*Inicio!$W$4</f>
        <v>0</v>
      </c>
      <c r="DT66" s="4">
        <f>SUM(M66:V66)*Inicio!$W$5</f>
        <v>0</v>
      </c>
      <c r="DU66" s="4">
        <f>SUM(W66:AF66)*Inicio!$W$6</f>
        <v>0</v>
      </c>
      <c r="DV66" s="4">
        <f>SUM(AG66:AP66)*Inicio!$W$7</f>
        <v>0</v>
      </c>
      <c r="DW66" s="4">
        <f>SUM(AQ66:AZ66)*Inicio!$W$8</f>
        <v>0</v>
      </c>
      <c r="DX66" s="4">
        <f>SUM(BA66:BJ66)*Inicio!$W$9</f>
        <v>0</v>
      </c>
      <c r="DY66" s="4">
        <f>SUM(BK66:BT66)*Inicio!$W$10</f>
        <v>0</v>
      </c>
      <c r="DZ66" s="4">
        <f>SUM(BU66:CD66)*Inicio!$W$11</f>
        <v>0</v>
      </c>
      <c r="EA66" s="4">
        <f>SUM(CE66:CN66)*Inicio!$W$12</f>
        <v>0</v>
      </c>
      <c r="EB66" s="4">
        <f>SUM(CO66:CX66)*Inicio!$W$13</f>
        <v>0</v>
      </c>
      <c r="EC66" s="4">
        <f>SUM(CY66:DH66)*Inicio!$W$11</f>
        <v>0</v>
      </c>
      <c r="ED66" s="4">
        <f>SUM(DI66:DR66)*Inicio!$W$12</f>
        <v>0</v>
      </c>
      <c r="EE66" s="4">
        <f t="shared" si="0"/>
        <v>0</v>
      </c>
      <c r="EF66" s="4">
        <f t="shared" si="5"/>
        <v>0</v>
      </c>
      <c r="EG66" s="4">
        <f t="shared" si="1"/>
        <v>0</v>
      </c>
      <c r="EH66" s="4">
        <f t="shared" si="5"/>
        <v>0</v>
      </c>
    </row>
    <row r="67" spans="2:138" ht="20.25" customHeight="1" x14ac:dyDescent="0.3">
      <c r="B67" s="28" t="s">
        <v>83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4">
        <f>SUM(C67:L67)*Inicio!$W$4</f>
        <v>0</v>
      </c>
      <c r="DT67" s="4">
        <f>SUM(M67:V67)*Inicio!$W$5</f>
        <v>0</v>
      </c>
      <c r="DU67" s="4">
        <f>SUM(W67:AF67)*Inicio!$W$6</f>
        <v>0</v>
      </c>
      <c r="DV67" s="4">
        <f>SUM(AG67:AP67)*Inicio!$W$7</f>
        <v>0</v>
      </c>
      <c r="DW67" s="4">
        <f>SUM(AQ67:AZ67)*Inicio!$W$8</f>
        <v>0</v>
      </c>
      <c r="DX67" s="4">
        <f>SUM(BA67:BJ67)*Inicio!$W$9</f>
        <v>0</v>
      </c>
      <c r="DY67" s="4">
        <f>SUM(BK67:BT67)*Inicio!$W$10</f>
        <v>0</v>
      </c>
      <c r="DZ67" s="4">
        <f>SUM(BU67:CD67)*Inicio!$W$11</f>
        <v>0</v>
      </c>
      <c r="EA67" s="4">
        <f>SUM(CE67:CN67)*Inicio!$W$12</f>
        <v>0</v>
      </c>
      <c r="EB67" s="4">
        <f>SUM(CO67:CX67)*Inicio!$W$13</f>
        <v>0</v>
      </c>
      <c r="EC67" s="4">
        <f>SUM(CY67:DH67)*Inicio!$W$11</f>
        <v>0</v>
      </c>
      <c r="ED67" s="4">
        <f>SUM(DI67:DR67)*Inicio!$W$12</f>
        <v>0</v>
      </c>
      <c r="EE67" s="4">
        <f t="shared" si="0"/>
        <v>0</v>
      </c>
      <c r="EF67" s="4">
        <f t="shared" si="5"/>
        <v>0</v>
      </c>
      <c r="EG67" s="4">
        <f t="shared" si="1"/>
        <v>0</v>
      </c>
      <c r="EH67" s="4">
        <f t="shared" si="5"/>
        <v>0</v>
      </c>
    </row>
    <row r="68" spans="2:138" ht="20.25" customHeight="1" x14ac:dyDescent="0.3">
      <c r="B68" s="26" t="s">
        <v>84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5">
        <f>SUM(C68:L68)*Inicio!$W$4</f>
        <v>0</v>
      </c>
      <c r="DT68" s="5">
        <f>SUM(M68:V68)*Inicio!$W$5</f>
        <v>0</v>
      </c>
      <c r="DU68" s="5">
        <f>SUM(W68:AF68)*Inicio!$W$6</f>
        <v>0</v>
      </c>
      <c r="DV68" s="5">
        <f>SUM(AG68:AP68)*Inicio!$W$7</f>
        <v>0</v>
      </c>
      <c r="DW68" s="5">
        <f>SUM(AQ68:AZ68)*Inicio!$W$8</f>
        <v>0</v>
      </c>
      <c r="DX68" s="5">
        <f>SUM(BA68:BJ68)*Inicio!$W$9</f>
        <v>0</v>
      </c>
      <c r="DY68" s="5">
        <f>SUM(BK68:BT68)*Inicio!$W$10</f>
        <v>0</v>
      </c>
      <c r="DZ68" s="5">
        <f>SUM(BU68:CD68)*Inicio!$W$11</f>
        <v>0</v>
      </c>
      <c r="EA68" s="5">
        <f>SUM(CE68:CN68)*Inicio!$W$12</f>
        <v>0</v>
      </c>
      <c r="EB68" s="5">
        <f>SUM(CO68:CX68)*Inicio!$W$13</f>
        <v>0</v>
      </c>
      <c r="EC68" s="5">
        <f>SUM(CY68:DH68)*Inicio!$W$11</f>
        <v>0</v>
      </c>
      <c r="ED68" s="5">
        <f>SUM(DI68:DR68)*Inicio!$W$12</f>
        <v>0</v>
      </c>
      <c r="EE68" s="5">
        <f t="shared" si="0"/>
        <v>0</v>
      </c>
      <c r="EF68" s="5">
        <f t="shared" si="5"/>
        <v>0</v>
      </c>
      <c r="EG68" s="5">
        <f t="shared" si="1"/>
        <v>0</v>
      </c>
      <c r="EH68" s="5">
        <f t="shared" si="5"/>
        <v>0</v>
      </c>
    </row>
    <row r="69" spans="2:138" ht="20.25" customHeight="1" x14ac:dyDescent="0.3">
      <c r="B69" s="27" t="s">
        <v>85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3">
        <f>SUM(C69:L69)*Inicio!$W$4</f>
        <v>0</v>
      </c>
      <c r="DT69" s="3">
        <f>SUM(M69:V69)*Inicio!$W$5</f>
        <v>0</v>
      </c>
      <c r="DU69" s="3">
        <f>SUM(W69:AF69)*Inicio!$W$6</f>
        <v>0</v>
      </c>
      <c r="DV69" s="3">
        <f>SUM(AG69:AP69)*Inicio!$W$7</f>
        <v>0</v>
      </c>
      <c r="DW69" s="3">
        <f>SUM(AQ69:AZ69)*Inicio!$W$8</f>
        <v>0</v>
      </c>
      <c r="DX69" s="3">
        <f>SUM(BA69:BJ69)*Inicio!$W$9</f>
        <v>0</v>
      </c>
      <c r="DY69" s="3">
        <f>SUM(BK69:BT69)*Inicio!$W$10</f>
        <v>0</v>
      </c>
      <c r="DZ69" s="3">
        <f>SUM(BU69:CD69)*Inicio!$W$11</f>
        <v>0</v>
      </c>
      <c r="EA69" s="3">
        <f>SUM(CE69:CN69)*Inicio!$W$12</f>
        <v>0</v>
      </c>
      <c r="EB69" s="3">
        <f>SUM(CO69:CX69)*Inicio!$W$13</f>
        <v>0</v>
      </c>
      <c r="EC69" s="3">
        <f>SUM(CY69:DH69)*Inicio!$W$11</f>
        <v>0</v>
      </c>
      <c r="ED69" s="3">
        <f>SUM(DI69:DR69)*Inicio!$W$12</f>
        <v>0</v>
      </c>
      <c r="EE69" s="3">
        <f t="shared" si="0"/>
        <v>0</v>
      </c>
      <c r="EF69" s="3">
        <f t="shared" si="5"/>
        <v>0</v>
      </c>
      <c r="EG69" s="3">
        <f t="shared" si="1"/>
        <v>0</v>
      </c>
      <c r="EH69" s="3">
        <f t="shared" si="5"/>
        <v>0</v>
      </c>
    </row>
    <row r="70" spans="2:138" ht="20.25" customHeight="1" x14ac:dyDescent="0.3">
      <c r="B70" s="28" t="s">
        <v>86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4">
        <f>SUM(C70:L70)*Inicio!$W$4</f>
        <v>0</v>
      </c>
      <c r="DT70" s="4">
        <f>SUM(M70:V70)*Inicio!$W$5</f>
        <v>0</v>
      </c>
      <c r="DU70" s="4">
        <f>SUM(W70:AF70)*Inicio!$W$6</f>
        <v>0</v>
      </c>
      <c r="DV70" s="4">
        <f>SUM(AG70:AP70)*Inicio!$W$7</f>
        <v>0</v>
      </c>
      <c r="DW70" s="4">
        <f>SUM(AQ70:AZ70)*Inicio!$W$8</f>
        <v>0</v>
      </c>
      <c r="DX70" s="4">
        <f>SUM(BA70:BJ70)*Inicio!$W$9</f>
        <v>0</v>
      </c>
      <c r="DY70" s="4">
        <f>SUM(BK70:BT70)*Inicio!$W$10</f>
        <v>0</v>
      </c>
      <c r="DZ70" s="4">
        <f>SUM(BU70:CD70)*Inicio!$W$11</f>
        <v>0</v>
      </c>
      <c r="EA70" s="4">
        <f>SUM(CE70:CN70)*Inicio!$W$12</f>
        <v>0</v>
      </c>
      <c r="EB70" s="4">
        <f>SUM(CO70:CX70)*Inicio!$W$13</f>
        <v>0</v>
      </c>
      <c r="EC70" s="4">
        <f>SUM(CY70:DH70)*Inicio!$W$11</f>
        <v>0</v>
      </c>
      <c r="ED70" s="4">
        <f>SUM(DI70:DR70)*Inicio!$W$12</f>
        <v>0</v>
      </c>
      <c r="EE70" s="4">
        <f t="shared" si="0"/>
        <v>0</v>
      </c>
      <c r="EF70" s="4">
        <f t="shared" si="5"/>
        <v>0</v>
      </c>
      <c r="EG70" s="4">
        <f t="shared" si="1"/>
        <v>0</v>
      </c>
      <c r="EH70" s="4">
        <f t="shared" si="5"/>
        <v>0</v>
      </c>
    </row>
    <row r="71" spans="2:138" ht="20.25" customHeight="1" x14ac:dyDescent="0.3">
      <c r="B71" s="28" t="s">
        <v>87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4">
        <f>SUM(C71:L71)*Inicio!$W$4</f>
        <v>0</v>
      </c>
      <c r="DT71" s="4">
        <f>SUM(M71:V71)*Inicio!$W$5</f>
        <v>0</v>
      </c>
      <c r="DU71" s="4">
        <f>SUM(W71:AF71)*Inicio!$W$6</f>
        <v>0</v>
      </c>
      <c r="DV71" s="4">
        <f>SUM(AG71:AP71)*Inicio!$W$7</f>
        <v>0</v>
      </c>
      <c r="DW71" s="4">
        <f>SUM(AQ71:AZ71)*Inicio!$W$8</f>
        <v>0</v>
      </c>
      <c r="DX71" s="4">
        <f>SUM(BA71:BJ71)*Inicio!$W$9</f>
        <v>0</v>
      </c>
      <c r="DY71" s="4">
        <f>SUM(BK71:BT71)*Inicio!$W$10</f>
        <v>0</v>
      </c>
      <c r="DZ71" s="4">
        <f>SUM(BU71:CD71)*Inicio!$W$11</f>
        <v>0</v>
      </c>
      <c r="EA71" s="4">
        <f>SUM(CE71:CN71)*Inicio!$W$12</f>
        <v>0</v>
      </c>
      <c r="EB71" s="4">
        <f>SUM(CO71:CX71)*Inicio!$W$13</f>
        <v>0</v>
      </c>
      <c r="EC71" s="4">
        <f>SUM(CY71:DH71)*Inicio!$W$11</f>
        <v>0</v>
      </c>
      <c r="ED71" s="4">
        <f>SUM(DI71:DR71)*Inicio!$W$12</f>
        <v>0</v>
      </c>
      <c r="EE71" s="4">
        <f t="shared" si="0"/>
        <v>0</v>
      </c>
      <c r="EF71" s="4">
        <f t="shared" si="5"/>
        <v>0</v>
      </c>
      <c r="EG71" s="4">
        <f t="shared" si="1"/>
        <v>0</v>
      </c>
      <c r="EH71" s="4">
        <f t="shared" si="5"/>
        <v>0</v>
      </c>
    </row>
    <row r="72" spans="2:138" ht="20.25" customHeight="1" x14ac:dyDescent="0.3">
      <c r="B72" s="26" t="s">
        <v>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5">
        <f>SUM(C72:L72)*Inicio!$W$4</f>
        <v>0</v>
      </c>
      <c r="DT72" s="5">
        <f>SUM(M72:V72)*Inicio!$W$5</f>
        <v>0</v>
      </c>
      <c r="DU72" s="5">
        <f>SUM(W72:AF72)*Inicio!$W$6</f>
        <v>0</v>
      </c>
      <c r="DV72" s="5">
        <f>SUM(AG72:AP72)*Inicio!$W$7</f>
        <v>0</v>
      </c>
      <c r="DW72" s="5">
        <f>SUM(AQ72:AZ72)*Inicio!$W$8</f>
        <v>0</v>
      </c>
      <c r="DX72" s="5">
        <f>SUM(BA72:BJ72)*Inicio!$W$9</f>
        <v>0</v>
      </c>
      <c r="DY72" s="5">
        <f>SUM(BK72:BT72)*Inicio!$W$10</f>
        <v>0</v>
      </c>
      <c r="DZ72" s="5">
        <f>SUM(BU72:CD72)*Inicio!$W$11</f>
        <v>0</v>
      </c>
      <c r="EA72" s="5">
        <f>SUM(CE72:CN72)*Inicio!$W$12</f>
        <v>0</v>
      </c>
      <c r="EB72" s="5">
        <f>SUM(CO72:CX72)*Inicio!$W$13</f>
        <v>0</v>
      </c>
      <c r="EC72" s="5">
        <f>SUM(CY72:DH72)*Inicio!$W$11</f>
        <v>0</v>
      </c>
      <c r="ED72" s="5">
        <f>SUM(DI72:DR72)*Inicio!$W$12</f>
        <v>0</v>
      </c>
      <c r="EE72" s="5">
        <f t="shared" si="0"/>
        <v>0</v>
      </c>
      <c r="EF72" s="5">
        <f t="shared" si="5"/>
        <v>0</v>
      </c>
      <c r="EG72" s="5">
        <f t="shared" si="1"/>
        <v>0</v>
      </c>
      <c r="EH72" s="5">
        <f t="shared" si="5"/>
        <v>0</v>
      </c>
    </row>
    <row r="73" spans="2:138" ht="20.25" customHeight="1" x14ac:dyDescent="0.3">
      <c r="B73" s="27" t="s">
        <v>89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3">
        <f>SUM(C73:L73)*Inicio!$W$4</f>
        <v>0</v>
      </c>
      <c r="DT73" s="3">
        <f>SUM(M73:V73)*Inicio!$W$5</f>
        <v>0</v>
      </c>
      <c r="DU73" s="3">
        <f>SUM(W73:AF73)*Inicio!$W$6</f>
        <v>0</v>
      </c>
      <c r="DV73" s="3">
        <f>SUM(AG73:AP73)*Inicio!$W$7</f>
        <v>0</v>
      </c>
      <c r="DW73" s="3">
        <f>SUM(AQ73:AZ73)*Inicio!$W$8</f>
        <v>0</v>
      </c>
      <c r="DX73" s="3">
        <f>SUM(BA73:BJ73)*Inicio!$W$9</f>
        <v>0</v>
      </c>
      <c r="DY73" s="3">
        <f>SUM(BK73:BT73)*Inicio!$W$10</f>
        <v>0</v>
      </c>
      <c r="DZ73" s="3">
        <f>SUM(BU73:CD73)*Inicio!$W$11</f>
        <v>0</v>
      </c>
      <c r="EA73" s="3">
        <f>SUM(CE73:CN73)*Inicio!$W$12</f>
        <v>0</v>
      </c>
      <c r="EB73" s="3">
        <f>SUM(CO73:CX73)*Inicio!$W$13</f>
        <v>0</v>
      </c>
      <c r="EC73" s="3">
        <f>SUM(CY73:DH73)*Inicio!$W$11</f>
        <v>0</v>
      </c>
      <c r="ED73" s="3">
        <f>SUM(DI73:DR73)*Inicio!$W$12</f>
        <v>0</v>
      </c>
      <c r="EE73" s="3">
        <f t="shared" si="0"/>
        <v>0</v>
      </c>
      <c r="EF73" s="3">
        <f t="shared" si="5"/>
        <v>0</v>
      </c>
      <c r="EG73" s="3">
        <f t="shared" si="1"/>
        <v>0</v>
      </c>
      <c r="EH73" s="3">
        <f t="shared" si="5"/>
        <v>0</v>
      </c>
    </row>
    <row r="74" spans="2:138" ht="20.25" customHeight="1" x14ac:dyDescent="0.3">
      <c r="B74" s="28" t="s">
        <v>90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4">
        <f>SUM(C74:L74)*Inicio!$W$4</f>
        <v>0</v>
      </c>
      <c r="DT74" s="4">
        <f>SUM(M74:V74)*Inicio!$W$5</f>
        <v>0</v>
      </c>
      <c r="DU74" s="4">
        <f>SUM(W74:AF74)*Inicio!$W$6</f>
        <v>0</v>
      </c>
      <c r="DV74" s="4">
        <f>SUM(AG74:AP74)*Inicio!$W$7</f>
        <v>0</v>
      </c>
      <c r="DW74" s="4">
        <f>SUM(AQ74:AZ74)*Inicio!$W$8</f>
        <v>0</v>
      </c>
      <c r="DX74" s="4">
        <f>SUM(BA74:BJ74)*Inicio!$W$9</f>
        <v>0</v>
      </c>
      <c r="DY74" s="4">
        <f>SUM(BK74:BT74)*Inicio!$W$10</f>
        <v>0</v>
      </c>
      <c r="DZ74" s="4">
        <f>SUM(BU74:CD74)*Inicio!$W$11</f>
        <v>0</v>
      </c>
      <c r="EA74" s="4">
        <f>SUM(CE74:CN74)*Inicio!$W$12</f>
        <v>0</v>
      </c>
      <c r="EB74" s="4">
        <f>SUM(CO74:CX74)*Inicio!$W$13</f>
        <v>0</v>
      </c>
      <c r="EC74" s="4">
        <f>SUM(CY74:DH74)*Inicio!$W$11</f>
        <v>0</v>
      </c>
      <c r="ED74" s="4">
        <f>SUM(DI74:DR74)*Inicio!$W$12</f>
        <v>0</v>
      </c>
      <c r="EE74" s="4">
        <f t="shared" ref="EE74:EE104" si="6">SUM(C74:DR74)</f>
        <v>0</v>
      </c>
      <c r="EF74" s="4">
        <f t="shared" si="5"/>
        <v>0</v>
      </c>
      <c r="EG74" s="4">
        <f t="shared" ref="EG74:EG104" si="7">SUM(DS74:ED74)</f>
        <v>0</v>
      </c>
      <c r="EH74" s="4">
        <f t="shared" si="5"/>
        <v>0</v>
      </c>
    </row>
    <row r="75" spans="2:138" ht="20.25" customHeight="1" x14ac:dyDescent="0.3">
      <c r="B75" s="28" t="s">
        <v>91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4">
        <f>SUM(C75:L75)*Inicio!$W$4</f>
        <v>0</v>
      </c>
      <c r="DT75" s="4">
        <f>SUM(M75:V75)*Inicio!$W$5</f>
        <v>0</v>
      </c>
      <c r="DU75" s="4">
        <f>SUM(W75:AF75)*Inicio!$W$6</f>
        <v>0</v>
      </c>
      <c r="DV75" s="4">
        <f>SUM(AG75:AP75)*Inicio!$W$7</f>
        <v>0</v>
      </c>
      <c r="DW75" s="4">
        <f>SUM(AQ75:AZ75)*Inicio!$W$8</f>
        <v>0</v>
      </c>
      <c r="DX75" s="4">
        <f>SUM(BA75:BJ75)*Inicio!$W$9</f>
        <v>0</v>
      </c>
      <c r="DY75" s="4">
        <f>SUM(BK75:BT75)*Inicio!$W$10</f>
        <v>0</v>
      </c>
      <c r="DZ75" s="4">
        <f>SUM(BU75:CD75)*Inicio!$W$11</f>
        <v>0</v>
      </c>
      <c r="EA75" s="4">
        <f>SUM(CE75:CN75)*Inicio!$W$12</f>
        <v>0</v>
      </c>
      <c r="EB75" s="4">
        <f>SUM(CO75:CX75)*Inicio!$W$13</f>
        <v>0</v>
      </c>
      <c r="EC75" s="4">
        <f>SUM(CY75:DH75)*Inicio!$W$11</f>
        <v>0</v>
      </c>
      <c r="ED75" s="4">
        <f>SUM(DI75:DR75)*Inicio!$W$12</f>
        <v>0</v>
      </c>
      <c r="EE75" s="4">
        <f t="shared" si="6"/>
        <v>0</v>
      </c>
      <c r="EF75" s="4">
        <f t="shared" si="5"/>
        <v>0</v>
      </c>
      <c r="EG75" s="4">
        <f t="shared" si="7"/>
        <v>0</v>
      </c>
      <c r="EH75" s="4">
        <f t="shared" si="5"/>
        <v>0</v>
      </c>
    </row>
    <row r="76" spans="2:138" ht="20.25" customHeight="1" x14ac:dyDescent="0.3">
      <c r="B76" s="26" t="s">
        <v>92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5">
        <f>SUM(C76:L76)*Inicio!$W$4</f>
        <v>0</v>
      </c>
      <c r="DT76" s="5">
        <f>SUM(M76:V76)*Inicio!$W$5</f>
        <v>0</v>
      </c>
      <c r="DU76" s="5">
        <f>SUM(W76:AF76)*Inicio!$W$6</f>
        <v>0</v>
      </c>
      <c r="DV76" s="5">
        <f>SUM(AG76:AP76)*Inicio!$W$7</f>
        <v>0</v>
      </c>
      <c r="DW76" s="5">
        <f>SUM(AQ76:AZ76)*Inicio!$W$8</f>
        <v>0</v>
      </c>
      <c r="DX76" s="5">
        <f>SUM(BA76:BJ76)*Inicio!$W$9</f>
        <v>0</v>
      </c>
      <c r="DY76" s="5">
        <f>SUM(BK76:BT76)*Inicio!$W$10</f>
        <v>0</v>
      </c>
      <c r="DZ76" s="5">
        <f>SUM(BU76:CD76)*Inicio!$W$11</f>
        <v>0</v>
      </c>
      <c r="EA76" s="5">
        <f>SUM(CE76:CN76)*Inicio!$W$12</f>
        <v>0</v>
      </c>
      <c r="EB76" s="5">
        <f>SUM(CO76:CX76)*Inicio!$W$13</f>
        <v>0</v>
      </c>
      <c r="EC76" s="5">
        <f>SUM(CY76:DH76)*Inicio!$W$11</f>
        <v>0</v>
      </c>
      <c r="ED76" s="5">
        <f>SUM(DI76:DR76)*Inicio!$W$12</f>
        <v>0</v>
      </c>
      <c r="EE76" s="5">
        <f t="shared" si="6"/>
        <v>0</v>
      </c>
      <c r="EF76" s="5">
        <f t="shared" si="5"/>
        <v>0</v>
      </c>
      <c r="EG76" s="5">
        <f t="shared" si="7"/>
        <v>0</v>
      </c>
      <c r="EH76" s="5">
        <f t="shared" si="5"/>
        <v>0</v>
      </c>
    </row>
    <row r="77" spans="2:138" ht="20.25" customHeight="1" x14ac:dyDescent="0.3">
      <c r="B77" s="27" t="s">
        <v>93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3">
        <f>SUM(C77:L77)*Inicio!$W$4</f>
        <v>0</v>
      </c>
      <c r="DT77" s="3">
        <f>SUM(M77:V77)*Inicio!$W$5</f>
        <v>0</v>
      </c>
      <c r="DU77" s="3">
        <f>SUM(W77:AF77)*Inicio!$W$6</f>
        <v>0</v>
      </c>
      <c r="DV77" s="3">
        <f>SUM(AG77:AP77)*Inicio!$W$7</f>
        <v>0</v>
      </c>
      <c r="DW77" s="3">
        <f>SUM(AQ77:AZ77)*Inicio!$W$8</f>
        <v>0</v>
      </c>
      <c r="DX77" s="3">
        <f>SUM(BA77:BJ77)*Inicio!$W$9</f>
        <v>0</v>
      </c>
      <c r="DY77" s="3">
        <f>SUM(BK77:BT77)*Inicio!$W$10</f>
        <v>0</v>
      </c>
      <c r="DZ77" s="3">
        <f>SUM(BU77:CD77)*Inicio!$W$11</f>
        <v>0</v>
      </c>
      <c r="EA77" s="3">
        <f>SUM(CE77:CN77)*Inicio!$W$12</f>
        <v>0</v>
      </c>
      <c r="EB77" s="3">
        <f>SUM(CO77:CX77)*Inicio!$W$13</f>
        <v>0</v>
      </c>
      <c r="EC77" s="3">
        <f>SUM(CY77:DH77)*Inicio!$W$11</f>
        <v>0</v>
      </c>
      <c r="ED77" s="3">
        <f>SUM(DI77:DR77)*Inicio!$W$12</f>
        <v>0</v>
      </c>
      <c r="EE77" s="3">
        <f t="shared" si="6"/>
        <v>0</v>
      </c>
      <c r="EF77" s="3">
        <f t="shared" si="5"/>
        <v>0</v>
      </c>
      <c r="EG77" s="3">
        <f t="shared" si="7"/>
        <v>0</v>
      </c>
      <c r="EH77" s="3">
        <f t="shared" si="5"/>
        <v>0</v>
      </c>
    </row>
    <row r="78" spans="2:138" ht="20.25" customHeight="1" x14ac:dyDescent="0.3">
      <c r="B78" s="28" t="s">
        <v>94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4">
        <f>SUM(C78:L78)*Inicio!$W$4</f>
        <v>0</v>
      </c>
      <c r="DT78" s="4">
        <f>SUM(M78:V78)*Inicio!$W$5</f>
        <v>0</v>
      </c>
      <c r="DU78" s="4">
        <f>SUM(W78:AF78)*Inicio!$W$6</f>
        <v>0</v>
      </c>
      <c r="DV78" s="4">
        <f>SUM(AG78:AP78)*Inicio!$W$7</f>
        <v>0</v>
      </c>
      <c r="DW78" s="4">
        <f>SUM(AQ78:AZ78)*Inicio!$W$8</f>
        <v>0</v>
      </c>
      <c r="DX78" s="4">
        <f>SUM(BA78:BJ78)*Inicio!$W$9</f>
        <v>0</v>
      </c>
      <c r="DY78" s="4">
        <f>SUM(BK78:BT78)*Inicio!$W$10</f>
        <v>0</v>
      </c>
      <c r="DZ78" s="4">
        <f>SUM(BU78:CD78)*Inicio!$W$11</f>
        <v>0</v>
      </c>
      <c r="EA78" s="4">
        <f>SUM(CE78:CN78)*Inicio!$W$12</f>
        <v>0</v>
      </c>
      <c r="EB78" s="4">
        <f>SUM(CO78:CX78)*Inicio!$W$13</f>
        <v>0</v>
      </c>
      <c r="EC78" s="4">
        <f>SUM(CY78:DH78)*Inicio!$W$11</f>
        <v>0</v>
      </c>
      <c r="ED78" s="4">
        <f>SUM(DI78:DR78)*Inicio!$W$12</f>
        <v>0</v>
      </c>
      <c r="EE78" s="4">
        <f t="shared" si="6"/>
        <v>0</v>
      </c>
      <c r="EF78" s="4">
        <f t="shared" ref="EF78:EH93" si="8">SUM(EE75:EE78)</f>
        <v>0</v>
      </c>
      <c r="EG78" s="4">
        <f t="shared" si="7"/>
        <v>0</v>
      </c>
      <c r="EH78" s="4">
        <f t="shared" si="8"/>
        <v>0</v>
      </c>
    </row>
    <row r="79" spans="2:138" ht="20.25" customHeight="1" x14ac:dyDescent="0.3">
      <c r="B79" s="28" t="s">
        <v>95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4">
        <f>SUM(C79:L79)*Inicio!$W$4</f>
        <v>0</v>
      </c>
      <c r="DT79" s="4">
        <f>SUM(M79:V79)*Inicio!$W$5</f>
        <v>0</v>
      </c>
      <c r="DU79" s="4">
        <f>SUM(W79:AF79)*Inicio!$W$6</f>
        <v>0</v>
      </c>
      <c r="DV79" s="4">
        <f>SUM(AG79:AP79)*Inicio!$W$7</f>
        <v>0</v>
      </c>
      <c r="DW79" s="4">
        <f>SUM(AQ79:AZ79)*Inicio!$W$8</f>
        <v>0</v>
      </c>
      <c r="DX79" s="4">
        <f>SUM(BA79:BJ79)*Inicio!$W$9</f>
        <v>0</v>
      </c>
      <c r="DY79" s="4">
        <f>SUM(BK79:BT79)*Inicio!$W$10</f>
        <v>0</v>
      </c>
      <c r="DZ79" s="4">
        <f>SUM(BU79:CD79)*Inicio!$W$11</f>
        <v>0</v>
      </c>
      <c r="EA79" s="4">
        <f>SUM(CE79:CN79)*Inicio!$W$12</f>
        <v>0</v>
      </c>
      <c r="EB79" s="4">
        <f>SUM(CO79:CX79)*Inicio!$W$13</f>
        <v>0</v>
      </c>
      <c r="EC79" s="4">
        <f>SUM(CY79:DH79)*Inicio!$W$11</f>
        <v>0</v>
      </c>
      <c r="ED79" s="4">
        <f>SUM(DI79:DR79)*Inicio!$W$12</f>
        <v>0</v>
      </c>
      <c r="EE79" s="4">
        <f t="shared" si="6"/>
        <v>0</v>
      </c>
      <c r="EF79" s="4">
        <f t="shared" si="8"/>
        <v>0</v>
      </c>
      <c r="EG79" s="4">
        <f t="shared" si="7"/>
        <v>0</v>
      </c>
      <c r="EH79" s="4">
        <f t="shared" si="8"/>
        <v>0</v>
      </c>
    </row>
    <row r="80" spans="2:138" ht="20.25" customHeight="1" x14ac:dyDescent="0.3">
      <c r="B80" s="26" t="s">
        <v>96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5">
        <f>SUM(C80:L80)*Inicio!$W$4</f>
        <v>0</v>
      </c>
      <c r="DT80" s="5">
        <f>SUM(M80:V80)*Inicio!$W$5</f>
        <v>0</v>
      </c>
      <c r="DU80" s="5">
        <f>SUM(W80:AF80)*Inicio!$W$6</f>
        <v>0</v>
      </c>
      <c r="DV80" s="5">
        <f>SUM(AG80:AP80)*Inicio!$W$7</f>
        <v>0</v>
      </c>
      <c r="DW80" s="5">
        <f>SUM(AQ80:AZ80)*Inicio!$W$8</f>
        <v>0</v>
      </c>
      <c r="DX80" s="5">
        <f>SUM(BA80:BJ80)*Inicio!$W$9</f>
        <v>0</v>
      </c>
      <c r="DY80" s="5">
        <f>SUM(BK80:BT80)*Inicio!$W$10</f>
        <v>0</v>
      </c>
      <c r="DZ80" s="5">
        <f>SUM(BU80:CD80)*Inicio!$W$11</f>
        <v>0</v>
      </c>
      <c r="EA80" s="5">
        <f>SUM(CE80:CN80)*Inicio!$W$12</f>
        <v>0</v>
      </c>
      <c r="EB80" s="5">
        <f>SUM(CO80:CX80)*Inicio!$W$13</f>
        <v>0</v>
      </c>
      <c r="EC80" s="5">
        <f>SUM(CY80:DH80)*Inicio!$W$11</f>
        <v>0</v>
      </c>
      <c r="ED80" s="5">
        <f>SUM(DI80:DR80)*Inicio!$W$12</f>
        <v>0</v>
      </c>
      <c r="EE80" s="5">
        <f t="shared" si="6"/>
        <v>0</v>
      </c>
      <c r="EF80" s="5">
        <f t="shared" si="8"/>
        <v>0</v>
      </c>
      <c r="EG80" s="5">
        <f t="shared" si="7"/>
        <v>0</v>
      </c>
      <c r="EH80" s="5">
        <f t="shared" si="8"/>
        <v>0</v>
      </c>
    </row>
    <row r="81" spans="2:138" ht="20.25" customHeight="1" x14ac:dyDescent="0.3">
      <c r="B81" s="27" t="s">
        <v>97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3">
        <f>SUM(C81:L81)*Inicio!$W$4</f>
        <v>0</v>
      </c>
      <c r="DT81" s="3">
        <f>SUM(M81:V81)*Inicio!$W$5</f>
        <v>0</v>
      </c>
      <c r="DU81" s="3">
        <f>SUM(W81:AF81)*Inicio!$W$6</f>
        <v>0</v>
      </c>
      <c r="DV81" s="3">
        <f>SUM(AG81:AP81)*Inicio!$W$7</f>
        <v>0</v>
      </c>
      <c r="DW81" s="3">
        <f>SUM(AQ81:AZ81)*Inicio!$W$8</f>
        <v>0</v>
      </c>
      <c r="DX81" s="3">
        <f>SUM(BA81:BJ81)*Inicio!$W$9</f>
        <v>0</v>
      </c>
      <c r="DY81" s="3">
        <f>SUM(BK81:BT81)*Inicio!$W$10</f>
        <v>0</v>
      </c>
      <c r="DZ81" s="3">
        <f>SUM(BU81:CD81)*Inicio!$W$11</f>
        <v>0</v>
      </c>
      <c r="EA81" s="3">
        <f>SUM(CE81:CN81)*Inicio!$W$12</f>
        <v>0</v>
      </c>
      <c r="EB81" s="3">
        <f>SUM(CO81:CX81)*Inicio!$W$13</f>
        <v>0</v>
      </c>
      <c r="EC81" s="3">
        <f>SUM(CY81:DH81)*Inicio!$W$11</f>
        <v>0</v>
      </c>
      <c r="ED81" s="3">
        <f>SUM(DI81:DR81)*Inicio!$W$12</f>
        <v>0</v>
      </c>
      <c r="EE81" s="3">
        <f t="shared" si="6"/>
        <v>0</v>
      </c>
      <c r="EF81" s="3">
        <f t="shared" si="8"/>
        <v>0</v>
      </c>
      <c r="EG81" s="3">
        <f t="shared" si="7"/>
        <v>0</v>
      </c>
      <c r="EH81" s="3">
        <f t="shared" si="8"/>
        <v>0</v>
      </c>
    </row>
    <row r="82" spans="2:138" ht="20.25" customHeight="1" x14ac:dyDescent="0.3">
      <c r="B82" s="28" t="s">
        <v>98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4">
        <f>SUM(C82:L82)*Inicio!$W$4</f>
        <v>0</v>
      </c>
      <c r="DT82" s="4">
        <f>SUM(M82:V82)*Inicio!$W$5</f>
        <v>0</v>
      </c>
      <c r="DU82" s="4">
        <f>SUM(W82:AF82)*Inicio!$W$6</f>
        <v>0</v>
      </c>
      <c r="DV82" s="4">
        <f>SUM(AG82:AP82)*Inicio!$W$7</f>
        <v>0</v>
      </c>
      <c r="DW82" s="4">
        <f>SUM(AQ82:AZ82)*Inicio!$W$8</f>
        <v>0</v>
      </c>
      <c r="DX82" s="4">
        <f>SUM(BA82:BJ82)*Inicio!$W$9</f>
        <v>0</v>
      </c>
      <c r="DY82" s="4">
        <f>SUM(BK82:BT82)*Inicio!$W$10</f>
        <v>0</v>
      </c>
      <c r="DZ82" s="4">
        <f>SUM(BU82:CD82)*Inicio!$W$11</f>
        <v>0</v>
      </c>
      <c r="EA82" s="4">
        <f>SUM(CE82:CN82)*Inicio!$W$12</f>
        <v>0</v>
      </c>
      <c r="EB82" s="4">
        <f>SUM(CO82:CX82)*Inicio!$W$13</f>
        <v>0</v>
      </c>
      <c r="EC82" s="4">
        <f>SUM(CY82:DH82)*Inicio!$W$11</f>
        <v>0</v>
      </c>
      <c r="ED82" s="4">
        <f>SUM(DI82:DR82)*Inicio!$W$12</f>
        <v>0</v>
      </c>
      <c r="EE82" s="4">
        <f t="shared" si="6"/>
        <v>0</v>
      </c>
      <c r="EF82" s="4">
        <f t="shared" si="8"/>
        <v>0</v>
      </c>
      <c r="EG82" s="4">
        <f t="shared" si="7"/>
        <v>0</v>
      </c>
      <c r="EH82" s="4">
        <f t="shared" si="8"/>
        <v>0</v>
      </c>
    </row>
    <row r="83" spans="2:138" ht="20.25" customHeight="1" x14ac:dyDescent="0.3">
      <c r="B83" s="28" t="s">
        <v>99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4">
        <f>SUM(C83:L83)*Inicio!$W$4</f>
        <v>0</v>
      </c>
      <c r="DT83" s="4">
        <f>SUM(M83:V83)*Inicio!$W$5</f>
        <v>0</v>
      </c>
      <c r="DU83" s="4">
        <f>SUM(W83:AF83)*Inicio!$W$6</f>
        <v>0</v>
      </c>
      <c r="DV83" s="4">
        <f>SUM(AG83:AP83)*Inicio!$W$7</f>
        <v>0</v>
      </c>
      <c r="DW83" s="4">
        <f>SUM(AQ83:AZ83)*Inicio!$W$8</f>
        <v>0</v>
      </c>
      <c r="DX83" s="4">
        <f>SUM(BA83:BJ83)*Inicio!$W$9</f>
        <v>0</v>
      </c>
      <c r="DY83" s="4">
        <f>SUM(BK83:BT83)*Inicio!$W$10</f>
        <v>0</v>
      </c>
      <c r="DZ83" s="4">
        <f>SUM(BU83:CD83)*Inicio!$W$11</f>
        <v>0</v>
      </c>
      <c r="EA83" s="4">
        <f>SUM(CE83:CN83)*Inicio!$W$12</f>
        <v>0</v>
      </c>
      <c r="EB83" s="4">
        <f>SUM(CO83:CX83)*Inicio!$W$13</f>
        <v>0</v>
      </c>
      <c r="EC83" s="4">
        <f>SUM(CY83:DH83)*Inicio!$W$11</f>
        <v>0</v>
      </c>
      <c r="ED83" s="4">
        <f>SUM(DI83:DR83)*Inicio!$W$12</f>
        <v>0</v>
      </c>
      <c r="EE83" s="4">
        <f t="shared" si="6"/>
        <v>0</v>
      </c>
      <c r="EF83" s="4">
        <f t="shared" si="8"/>
        <v>0</v>
      </c>
      <c r="EG83" s="4">
        <f t="shared" si="7"/>
        <v>0</v>
      </c>
      <c r="EH83" s="4">
        <f t="shared" si="8"/>
        <v>0</v>
      </c>
    </row>
    <row r="84" spans="2:138" ht="20.25" customHeight="1" x14ac:dyDescent="0.3">
      <c r="B84" s="26" t="s">
        <v>100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5">
        <f>SUM(C84:L84)*Inicio!$W$4</f>
        <v>0</v>
      </c>
      <c r="DT84" s="5">
        <f>SUM(M84:V84)*Inicio!$W$5</f>
        <v>0</v>
      </c>
      <c r="DU84" s="5">
        <f>SUM(W84:AF84)*Inicio!$W$6</f>
        <v>0</v>
      </c>
      <c r="DV84" s="5">
        <f>SUM(AG84:AP84)*Inicio!$W$7</f>
        <v>0</v>
      </c>
      <c r="DW84" s="5">
        <f>SUM(AQ84:AZ84)*Inicio!$W$8</f>
        <v>0</v>
      </c>
      <c r="DX84" s="5">
        <f>SUM(BA84:BJ84)*Inicio!$W$9</f>
        <v>0</v>
      </c>
      <c r="DY84" s="5">
        <f>SUM(BK84:BT84)*Inicio!$W$10</f>
        <v>0</v>
      </c>
      <c r="DZ84" s="5">
        <f>SUM(BU84:CD84)*Inicio!$W$11</f>
        <v>0</v>
      </c>
      <c r="EA84" s="5">
        <f>SUM(CE84:CN84)*Inicio!$W$12</f>
        <v>0</v>
      </c>
      <c r="EB84" s="5">
        <f>SUM(CO84:CX84)*Inicio!$W$13</f>
        <v>0</v>
      </c>
      <c r="EC84" s="5">
        <f>SUM(CY84:DH84)*Inicio!$W$11</f>
        <v>0</v>
      </c>
      <c r="ED84" s="5">
        <f>SUM(DI84:DR84)*Inicio!$W$12</f>
        <v>0</v>
      </c>
      <c r="EE84" s="5">
        <f t="shared" si="6"/>
        <v>0</v>
      </c>
      <c r="EF84" s="5">
        <f t="shared" si="8"/>
        <v>0</v>
      </c>
      <c r="EG84" s="5">
        <f t="shared" si="7"/>
        <v>0</v>
      </c>
      <c r="EH84" s="5">
        <f t="shared" si="8"/>
        <v>0</v>
      </c>
    </row>
    <row r="85" spans="2:138" ht="20.25" customHeight="1" x14ac:dyDescent="0.3">
      <c r="B85" s="27" t="s">
        <v>101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3">
        <f>SUM(C85:L85)*Inicio!$W$4</f>
        <v>0</v>
      </c>
      <c r="DT85" s="3">
        <f>SUM(M85:V85)*Inicio!$W$5</f>
        <v>0</v>
      </c>
      <c r="DU85" s="3">
        <f>SUM(W85:AF85)*Inicio!$W$6</f>
        <v>0</v>
      </c>
      <c r="DV85" s="3">
        <f>SUM(AG85:AP85)*Inicio!$W$7</f>
        <v>0</v>
      </c>
      <c r="DW85" s="3">
        <f>SUM(AQ85:AZ85)*Inicio!$W$8</f>
        <v>0</v>
      </c>
      <c r="DX85" s="3">
        <f>SUM(BA85:BJ85)*Inicio!$W$9</f>
        <v>0</v>
      </c>
      <c r="DY85" s="3">
        <f>SUM(BK85:BT85)*Inicio!$W$10</f>
        <v>0</v>
      </c>
      <c r="DZ85" s="3">
        <f>SUM(BU85:CD85)*Inicio!$W$11</f>
        <v>0</v>
      </c>
      <c r="EA85" s="3">
        <f>SUM(CE85:CN85)*Inicio!$W$12</f>
        <v>0</v>
      </c>
      <c r="EB85" s="3">
        <f>SUM(CO85:CX85)*Inicio!$W$13</f>
        <v>0</v>
      </c>
      <c r="EC85" s="3">
        <f>SUM(CY85:DH85)*Inicio!$W$11</f>
        <v>0</v>
      </c>
      <c r="ED85" s="3">
        <f>SUM(DI85:DR85)*Inicio!$W$12</f>
        <v>0</v>
      </c>
      <c r="EE85" s="3">
        <f t="shared" si="6"/>
        <v>0</v>
      </c>
      <c r="EF85" s="3">
        <f t="shared" si="8"/>
        <v>0</v>
      </c>
      <c r="EG85" s="3">
        <f t="shared" si="7"/>
        <v>0</v>
      </c>
      <c r="EH85" s="3">
        <f t="shared" si="8"/>
        <v>0</v>
      </c>
    </row>
    <row r="86" spans="2:138" ht="20.25" customHeight="1" x14ac:dyDescent="0.3">
      <c r="B86" s="28" t="s">
        <v>102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4">
        <f>SUM(C86:L86)*Inicio!$W$4</f>
        <v>0</v>
      </c>
      <c r="DT86" s="4">
        <f>SUM(M86:V86)*Inicio!$W$5</f>
        <v>0</v>
      </c>
      <c r="DU86" s="4">
        <f>SUM(W86:AF86)*Inicio!$W$6</f>
        <v>0</v>
      </c>
      <c r="DV86" s="4">
        <f>SUM(AG86:AP86)*Inicio!$W$7</f>
        <v>0</v>
      </c>
      <c r="DW86" s="4">
        <f>SUM(AQ86:AZ86)*Inicio!$W$8</f>
        <v>0</v>
      </c>
      <c r="DX86" s="4">
        <f>SUM(BA86:BJ86)*Inicio!$W$9</f>
        <v>0</v>
      </c>
      <c r="DY86" s="4">
        <f>SUM(BK86:BT86)*Inicio!$W$10</f>
        <v>0</v>
      </c>
      <c r="DZ86" s="4">
        <f>SUM(BU86:CD86)*Inicio!$W$11</f>
        <v>0</v>
      </c>
      <c r="EA86" s="4">
        <f>SUM(CE86:CN86)*Inicio!$W$12</f>
        <v>0</v>
      </c>
      <c r="EB86" s="4">
        <f>SUM(CO86:CX86)*Inicio!$W$13</f>
        <v>0</v>
      </c>
      <c r="EC86" s="4">
        <f>SUM(CY86:DH86)*Inicio!$W$11</f>
        <v>0</v>
      </c>
      <c r="ED86" s="4">
        <f>SUM(DI86:DR86)*Inicio!$W$12</f>
        <v>0</v>
      </c>
      <c r="EE86" s="4">
        <f t="shared" si="6"/>
        <v>0</v>
      </c>
      <c r="EF86" s="4">
        <f t="shared" si="8"/>
        <v>0</v>
      </c>
      <c r="EG86" s="4">
        <f t="shared" si="7"/>
        <v>0</v>
      </c>
      <c r="EH86" s="4">
        <f t="shared" si="8"/>
        <v>0</v>
      </c>
    </row>
    <row r="87" spans="2:138" ht="20.25" customHeight="1" x14ac:dyDescent="0.3">
      <c r="B87" s="28" t="s">
        <v>103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4">
        <f>SUM(C87:L87)*Inicio!$W$4</f>
        <v>0</v>
      </c>
      <c r="DT87" s="4">
        <f>SUM(M87:V87)*Inicio!$W$5</f>
        <v>0</v>
      </c>
      <c r="DU87" s="4">
        <f>SUM(W87:AF87)*Inicio!$W$6</f>
        <v>0</v>
      </c>
      <c r="DV87" s="4">
        <f>SUM(AG87:AP87)*Inicio!$W$7</f>
        <v>0</v>
      </c>
      <c r="DW87" s="4">
        <f>SUM(AQ87:AZ87)*Inicio!$W$8</f>
        <v>0</v>
      </c>
      <c r="DX87" s="4">
        <f>SUM(BA87:BJ87)*Inicio!$W$9</f>
        <v>0</v>
      </c>
      <c r="DY87" s="4">
        <f>SUM(BK87:BT87)*Inicio!$W$10</f>
        <v>0</v>
      </c>
      <c r="DZ87" s="4">
        <f>SUM(BU87:CD87)*Inicio!$W$11</f>
        <v>0</v>
      </c>
      <c r="EA87" s="4">
        <f>SUM(CE87:CN87)*Inicio!$W$12</f>
        <v>0</v>
      </c>
      <c r="EB87" s="4">
        <f>SUM(CO87:CX87)*Inicio!$W$13</f>
        <v>0</v>
      </c>
      <c r="EC87" s="4">
        <f>SUM(CY87:DH87)*Inicio!$W$11</f>
        <v>0</v>
      </c>
      <c r="ED87" s="4">
        <f>SUM(DI87:DR87)*Inicio!$W$12</f>
        <v>0</v>
      </c>
      <c r="EE87" s="4">
        <f t="shared" si="6"/>
        <v>0</v>
      </c>
      <c r="EF87" s="4">
        <f t="shared" si="8"/>
        <v>0</v>
      </c>
      <c r="EG87" s="4">
        <f t="shared" si="7"/>
        <v>0</v>
      </c>
      <c r="EH87" s="4">
        <f t="shared" si="8"/>
        <v>0</v>
      </c>
    </row>
    <row r="88" spans="2:138" ht="20.25" customHeight="1" x14ac:dyDescent="0.3">
      <c r="B88" s="26" t="s">
        <v>104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5">
        <f>SUM(C88:L88)*Inicio!$W$4</f>
        <v>0</v>
      </c>
      <c r="DT88" s="5">
        <f>SUM(M88:V88)*Inicio!$W$5</f>
        <v>0</v>
      </c>
      <c r="DU88" s="5">
        <f>SUM(W88:AF88)*Inicio!$W$6</f>
        <v>0</v>
      </c>
      <c r="DV88" s="5">
        <f>SUM(AG88:AP88)*Inicio!$W$7</f>
        <v>0</v>
      </c>
      <c r="DW88" s="5">
        <f>SUM(AQ88:AZ88)*Inicio!$W$8</f>
        <v>0</v>
      </c>
      <c r="DX88" s="5">
        <f>SUM(BA88:BJ88)*Inicio!$W$9</f>
        <v>0</v>
      </c>
      <c r="DY88" s="5">
        <f>SUM(BK88:BT88)*Inicio!$W$10</f>
        <v>0</v>
      </c>
      <c r="DZ88" s="5">
        <f>SUM(BU88:CD88)*Inicio!$W$11</f>
        <v>0</v>
      </c>
      <c r="EA88" s="5">
        <f>SUM(CE88:CN88)*Inicio!$W$12</f>
        <v>0</v>
      </c>
      <c r="EB88" s="5">
        <f>SUM(CO88:CX88)*Inicio!$W$13</f>
        <v>0</v>
      </c>
      <c r="EC88" s="5">
        <f>SUM(CY88:DH88)*Inicio!$W$11</f>
        <v>0</v>
      </c>
      <c r="ED88" s="5">
        <f>SUM(DI88:DR88)*Inicio!$W$12</f>
        <v>0</v>
      </c>
      <c r="EE88" s="5">
        <f t="shared" si="6"/>
        <v>0</v>
      </c>
      <c r="EF88" s="5">
        <f t="shared" si="8"/>
        <v>0</v>
      </c>
      <c r="EG88" s="5">
        <f t="shared" si="7"/>
        <v>0</v>
      </c>
      <c r="EH88" s="5">
        <f t="shared" si="8"/>
        <v>0</v>
      </c>
    </row>
    <row r="89" spans="2:138" ht="20.25" customHeight="1" x14ac:dyDescent="0.3">
      <c r="B89" s="27" t="s">
        <v>105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3">
        <f>SUM(C89:L89)*Inicio!$W$4</f>
        <v>0</v>
      </c>
      <c r="DT89" s="3">
        <f>SUM(M89:V89)*Inicio!$W$5</f>
        <v>0</v>
      </c>
      <c r="DU89" s="3">
        <f>SUM(W89:AF89)*Inicio!$W$6</f>
        <v>0</v>
      </c>
      <c r="DV89" s="3">
        <f>SUM(AG89:AP89)*Inicio!$W$7</f>
        <v>0</v>
      </c>
      <c r="DW89" s="3">
        <f>SUM(AQ89:AZ89)*Inicio!$W$8</f>
        <v>0</v>
      </c>
      <c r="DX89" s="3">
        <f>SUM(BA89:BJ89)*Inicio!$W$9</f>
        <v>0</v>
      </c>
      <c r="DY89" s="3">
        <f>SUM(BK89:BT89)*Inicio!$W$10</f>
        <v>0</v>
      </c>
      <c r="DZ89" s="3">
        <f>SUM(BU89:CD89)*Inicio!$W$11</f>
        <v>0</v>
      </c>
      <c r="EA89" s="3">
        <f>SUM(CE89:CN89)*Inicio!$W$12</f>
        <v>0</v>
      </c>
      <c r="EB89" s="3">
        <f>SUM(CO89:CX89)*Inicio!$W$13</f>
        <v>0</v>
      </c>
      <c r="EC89" s="3">
        <f>SUM(CY89:DH89)*Inicio!$W$11</f>
        <v>0</v>
      </c>
      <c r="ED89" s="3">
        <f>SUM(DI89:DR89)*Inicio!$W$12</f>
        <v>0</v>
      </c>
      <c r="EE89" s="3">
        <f t="shared" si="6"/>
        <v>0</v>
      </c>
      <c r="EF89" s="3">
        <f t="shared" si="8"/>
        <v>0</v>
      </c>
      <c r="EG89" s="3">
        <f t="shared" si="7"/>
        <v>0</v>
      </c>
      <c r="EH89" s="3">
        <f t="shared" si="8"/>
        <v>0</v>
      </c>
    </row>
    <row r="90" spans="2:138" ht="20.25" customHeight="1" x14ac:dyDescent="0.3">
      <c r="B90" s="28" t="s">
        <v>106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4">
        <f>SUM(C90:L90)*Inicio!$W$4</f>
        <v>0</v>
      </c>
      <c r="DT90" s="4">
        <f>SUM(M90:V90)*Inicio!$W$5</f>
        <v>0</v>
      </c>
      <c r="DU90" s="4">
        <f>SUM(W90:AF90)*Inicio!$W$6</f>
        <v>0</v>
      </c>
      <c r="DV90" s="4">
        <f>SUM(AG90:AP90)*Inicio!$W$7</f>
        <v>0</v>
      </c>
      <c r="DW90" s="4">
        <f>SUM(AQ90:AZ90)*Inicio!$W$8</f>
        <v>0</v>
      </c>
      <c r="DX90" s="4">
        <f>SUM(BA90:BJ90)*Inicio!$W$9</f>
        <v>0</v>
      </c>
      <c r="DY90" s="4">
        <f>SUM(BK90:BT90)*Inicio!$W$10</f>
        <v>0</v>
      </c>
      <c r="DZ90" s="4">
        <f>SUM(BU90:CD90)*Inicio!$W$11</f>
        <v>0</v>
      </c>
      <c r="EA90" s="4">
        <f>SUM(CE90:CN90)*Inicio!$W$12</f>
        <v>0</v>
      </c>
      <c r="EB90" s="4">
        <f>SUM(CO90:CX90)*Inicio!$W$13</f>
        <v>0</v>
      </c>
      <c r="EC90" s="4">
        <f>SUM(CY90:DH90)*Inicio!$W$11</f>
        <v>0</v>
      </c>
      <c r="ED90" s="4">
        <f>SUM(DI90:DR90)*Inicio!$W$12</f>
        <v>0</v>
      </c>
      <c r="EE90" s="4">
        <f t="shared" si="6"/>
        <v>0</v>
      </c>
      <c r="EF90" s="4">
        <f t="shared" si="8"/>
        <v>0</v>
      </c>
      <c r="EG90" s="4">
        <f t="shared" si="7"/>
        <v>0</v>
      </c>
      <c r="EH90" s="4">
        <f t="shared" si="8"/>
        <v>0</v>
      </c>
    </row>
    <row r="91" spans="2:138" ht="20.25" customHeight="1" x14ac:dyDescent="0.3">
      <c r="B91" s="28" t="s">
        <v>107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4">
        <f>SUM(C91:L91)*Inicio!$W$4</f>
        <v>0</v>
      </c>
      <c r="DT91" s="4">
        <f>SUM(M91:V91)*Inicio!$W$5</f>
        <v>0</v>
      </c>
      <c r="DU91" s="4">
        <f>SUM(W91:AF91)*Inicio!$W$6</f>
        <v>0</v>
      </c>
      <c r="DV91" s="4">
        <f>SUM(AG91:AP91)*Inicio!$W$7</f>
        <v>0</v>
      </c>
      <c r="DW91" s="4">
        <f>SUM(AQ91:AZ91)*Inicio!$W$8</f>
        <v>0</v>
      </c>
      <c r="DX91" s="4">
        <f>SUM(BA91:BJ91)*Inicio!$W$9</f>
        <v>0</v>
      </c>
      <c r="DY91" s="4">
        <f>SUM(BK91:BT91)*Inicio!$W$10</f>
        <v>0</v>
      </c>
      <c r="DZ91" s="4">
        <f>SUM(BU91:CD91)*Inicio!$W$11</f>
        <v>0</v>
      </c>
      <c r="EA91" s="4">
        <f>SUM(CE91:CN91)*Inicio!$W$12</f>
        <v>0</v>
      </c>
      <c r="EB91" s="4">
        <f>SUM(CO91:CX91)*Inicio!$W$13</f>
        <v>0</v>
      </c>
      <c r="EC91" s="4">
        <f>SUM(CY91:DH91)*Inicio!$W$11</f>
        <v>0</v>
      </c>
      <c r="ED91" s="4">
        <f>SUM(DI91:DR91)*Inicio!$W$12</f>
        <v>0</v>
      </c>
      <c r="EE91" s="4">
        <f t="shared" si="6"/>
        <v>0</v>
      </c>
      <c r="EF91" s="4">
        <f t="shared" si="8"/>
        <v>0</v>
      </c>
      <c r="EG91" s="4">
        <f t="shared" si="7"/>
        <v>0</v>
      </c>
      <c r="EH91" s="4">
        <f t="shared" si="8"/>
        <v>0</v>
      </c>
    </row>
    <row r="92" spans="2:138" ht="20.25" customHeight="1" x14ac:dyDescent="0.3">
      <c r="B92" s="26" t="s">
        <v>108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5">
        <f>SUM(C92:L92)*Inicio!$W$4</f>
        <v>0</v>
      </c>
      <c r="DT92" s="5">
        <f>SUM(M92:V92)*Inicio!$W$5</f>
        <v>0</v>
      </c>
      <c r="DU92" s="5">
        <f>SUM(W92:AF92)*Inicio!$W$6</f>
        <v>0</v>
      </c>
      <c r="DV92" s="5">
        <f>SUM(AG92:AP92)*Inicio!$W$7</f>
        <v>0</v>
      </c>
      <c r="DW92" s="5">
        <f>SUM(AQ92:AZ92)*Inicio!$W$8</f>
        <v>0</v>
      </c>
      <c r="DX92" s="5">
        <f>SUM(BA92:BJ92)*Inicio!$W$9</f>
        <v>0</v>
      </c>
      <c r="DY92" s="5">
        <f>SUM(BK92:BT92)*Inicio!$W$10</f>
        <v>0</v>
      </c>
      <c r="DZ92" s="5">
        <f>SUM(BU92:CD92)*Inicio!$W$11</f>
        <v>0</v>
      </c>
      <c r="EA92" s="5">
        <f>SUM(CE92:CN92)*Inicio!$W$12</f>
        <v>0</v>
      </c>
      <c r="EB92" s="5">
        <f>SUM(CO92:CX92)*Inicio!$W$13</f>
        <v>0</v>
      </c>
      <c r="EC92" s="5">
        <f>SUM(CY92:DH92)*Inicio!$W$11</f>
        <v>0</v>
      </c>
      <c r="ED92" s="5">
        <f>SUM(DI92:DR92)*Inicio!$W$12</f>
        <v>0</v>
      </c>
      <c r="EE92" s="5">
        <f t="shared" si="6"/>
        <v>0</v>
      </c>
      <c r="EF92" s="5">
        <f t="shared" si="8"/>
        <v>0</v>
      </c>
      <c r="EG92" s="5">
        <f t="shared" si="7"/>
        <v>0</v>
      </c>
      <c r="EH92" s="5">
        <f t="shared" si="8"/>
        <v>0</v>
      </c>
    </row>
    <row r="93" spans="2:138" ht="20.25" customHeight="1" x14ac:dyDescent="0.3">
      <c r="B93" s="27" t="s">
        <v>109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3">
        <f>SUM(C93:L93)*Inicio!$W$4</f>
        <v>0</v>
      </c>
      <c r="DT93" s="3">
        <f>SUM(M93:V93)*Inicio!$W$5</f>
        <v>0</v>
      </c>
      <c r="DU93" s="3">
        <f>SUM(W93:AF93)*Inicio!$W$6</f>
        <v>0</v>
      </c>
      <c r="DV93" s="3">
        <f>SUM(AG93:AP93)*Inicio!$W$7</f>
        <v>0</v>
      </c>
      <c r="DW93" s="3">
        <f>SUM(AQ93:AZ93)*Inicio!$W$8</f>
        <v>0</v>
      </c>
      <c r="DX93" s="3">
        <f>SUM(BA93:BJ93)*Inicio!$W$9</f>
        <v>0</v>
      </c>
      <c r="DY93" s="3">
        <f>SUM(BK93:BT93)*Inicio!$W$10</f>
        <v>0</v>
      </c>
      <c r="DZ93" s="3">
        <f>SUM(BU93:CD93)*Inicio!$W$11</f>
        <v>0</v>
      </c>
      <c r="EA93" s="3">
        <f>SUM(CE93:CN93)*Inicio!$W$12</f>
        <v>0</v>
      </c>
      <c r="EB93" s="3">
        <f>SUM(CO93:CX93)*Inicio!$W$13</f>
        <v>0</v>
      </c>
      <c r="EC93" s="3">
        <f>SUM(CY93:DH93)*Inicio!$W$11</f>
        <v>0</v>
      </c>
      <c r="ED93" s="3">
        <f>SUM(DI93:DR93)*Inicio!$W$12</f>
        <v>0</v>
      </c>
      <c r="EE93" s="3">
        <f t="shared" si="6"/>
        <v>0</v>
      </c>
      <c r="EF93" s="3">
        <f t="shared" si="8"/>
        <v>0</v>
      </c>
      <c r="EG93" s="3">
        <f t="shared" si="7"/>
        <v>0</v>
      </c>
      <c r="EH93" s="3">
        <f t="shared" si="8"/>
        <v>0</v>
      </c>
    </row>
    <row r="94" spans="2:138" ht="20.25" customHeight="1" x14ac:dyDescent="0.3">
      <c r="B94" s="28" t="s">
        <v>110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4">
        <f>SUM(C94:L94)*Inicio!$W$4</f>
        <v>0</v>
      </c>
      <c r="DT94" s="4">
        <f>SUM(M94:V94)*Inicio!$W$5</f>
        <v>0</v>
      </c>
      <c r="DU94" s="4">
        <f>SUM(W94:AF94)*Inicio!$W$6</f>
        <v>0</v>
      </c>
      <c r="DV94" s="4">
        <f>SUM(AG94:AP94)*Inicio!$W$7</f>
        <v>0</v>
      </c>
      <c r="DW94" s="4">
        <f>SUM(AQ94:AZ94)*Inicio!$W$8</f>
        <v>0</v>
      </c>
      <c r="DX94" s="4">
        <f>SUM(BA94:BJ94)*Inicio!$W$9</f>
        <v>0</v>
      </c>
      <c r="DY94" s="4">
        <f>SUM(BK94:BT94)*Inicio!$W$10</f>
        <v>0</v>
      </c>
      <c r="DZ94" s="4">
        <f>SUM(BU94:CD94)*Inicio!$W$11</f>
        <v>0</v>
      </c>
      <c r="EA94" s="4">
        <f>SUM(CE94:CN94)*Inicio!$W$12</f>
        <v>0</v>
      </c>
      <c r="EB94" s="4">
        <f>SUM(CO94:CX94)*Inicio!$W$13</f>
        <v>0</v>
      </c>
      <c r="EC94" s="4">
        <f>SUM(CY94:DH94)*Inicio!$W$11</f>
        <v>0</v>
      </c>
      <c r="ED94" s="4">
        <f>SUM(DI94:DR94)*Inicio!$W$12</f>
        <v>0</v>
      </c>
      <c r="EE94" s="4">
        <f t="shared" si="6"/>
        <v>0</v>
      </c>
      <c r="EF94" s="4">
        <f t="shared" ref="EF94:EH104" si="9">SUM(EE91:EE94)</f>
        <v>0</v>
      </c>
      <c r="EG94" s="4">
        <f t="shared" si="7"/>
        <v>0</v>
      </c>
      <c r="EH94" s="4">
        <f t="shared" si="9"/>
        <v>0</v>
      </c>
    </row>
    <row r="95" spans="2:138" ht="20.25" customHeight="1" x14ac:dyDescent="0.3">
      <c r="B95" s="28" t="s">
        <v>111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4">
        <f>SUM(C95:L95)*Inicio!$W$4</f>
        <v>0</v>
      </c>
      <c r="DT95" s="4">
        <f>SUM(M95:V95)*Inicio!$W$5</f>
        <v>0</v>
      </c>
      <c r="DU95" s="4">
        <f>SUM(W95:AF95)*Inicio!$W$6</f>
        <v>0</v>
      </c>
      <c r="DV95" s="4">
        <f>SUM(AG95:AP95)*Inicio!$W$7</f>
        <v>0</v>
      </c>
      <c r="DW95" s="4">
        <f>SUM(AQ95:AZ95)*Inicio!$W$8</f>
        <v>0</v>
      </c>
      <c r="DX95" s="4">
        <f>SUM(BA95:BJ95)*Inicio!$W$9</f>
        <v>0</v>
      </c>
      <c r="DY95" s="4">
        <f>SUM(BK95:BT95)*Inicio!$W$10</f>
        <v>0</v>
      </c>
      <c r="DZ95" s="4">
        <f>SUM(BU95:CD95)*Inicio!$W$11</f>
        <v>0</v>
      </c>
      <c r="EA95" s="4">
        <f>SUM(CE95:CN95)*Inicio!$W$12</f>
        <v>0</v>
      </c>
      <c r="EB95" s="4">
        <f>SUM(CO95:CX95)*Inicio!$W$13</f>
        <v>0</v>
      </c>
      <c r="EC95" s="4">
        <f>SUM(CY95:DH95)*Inicio!$W$11</f>
        <v>0</v>
      </c>
      <c r="ED95" s="4">
        <f>SUM(DI95:DR95)*Inicio!$W$12</f>
        <v>0</v>
      </c>
      <c r="EE95" s="4">
        <f t="shared" si="6"/>
        <v>0</v>
      </c>
      <c r="EF95" s="4">
        <f t="shared" si="9"/>
        <v>0</v>
      </c>
      <c r="EG95" s="4">
        <f t="shared" si="7"/>
        <v>0</v>
      </c>
      <c r="EH95" s="4">
        <f t="shared" si="9"/>
        <v>0</v>
      </c>
    </row>
    <row r="96" spans="2:138" ht="20.25" customHeight="1" x14ac:dyDescent="0.3">
      <c r="B96" s="26" t="s">
        <v>112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5">
        <f>SUM(C96:L96)*Inicio!$W$4</f>
        <v>0</v>
      </c>
      <c r="DT96" s="5">
        <f>SUM(M96:V96)*Inicio!$W$5</f>
        <v>0</v>
      </c>
      <c r="DU96" s="5">
        <f>SUM(W96:AF96)*Inicio!$W$6</f>
        <v>0</v>
      </c>
      <c r="DV96" s="5">
        <f>SUM(AG96:AP96)*Inicio!$W$7</f>
        <v>0</v>
      </c>
      <c r="DW96" s="5">
        <f>SUM(AQ96:AZ96)*Inicio!$W$8</f>
        <v>0</v>
      </c>
      <c r="DX96" s="5">
        <f>SUM(BA96:BJ96)*Inicio!$W$9</f>
        <v>0</v>
      </c>
      <c r="DY96" s="5">
        <f>SUM(BK96:BT96)*Inicio!$W$10</f>
        <v>0</v>
      </c>
      <c r="DZ96" s="5">
        <f>SUM(BU96:CD96)*Inicio!$W$11</f>
        <v>0</v>
      </c>
      <c r="EA96" s="5">
        <f>SUM(CE96:CN96)*Inicio!$W$12</f>
        <v>0</v>
      </c>
      <c r="EB96" s="5">
        <f>SUM(CO96:CX96)*Inicio!$W$13</f>
        <v>0</v>
      </c>
      <c r="EC96" s="5">
        <f>SUM(CY96:DH96)*Inicio!$W$11</f>
        <v>0</v>
      </c>
      <c r="ED96" s="5">
        <f>SUM(DI96:DR96)*Inicio!$W$12</f>
        <v>0</v>
      </c>
      <c r="EE96" s="5">
        <f t="shared" si="6"/>
        <v>0</v>
      </c>
      <c r="EF96" s="5">
        <f t="shared" si="9"/>
        <v>0</v>
      </c>
      <c r="EG96" s="5">
        <f t="shared" si="7"/>
        <v>0</v>
      </c>
      <c r="EH96" s="5">
        <f t="shared" si="9"/>
        <v>0</v>
      </c>
    </row>
    <row r="97" spans="2:138" ht="20.25" customHeight="1" x14ac:dyDescent="0.3">
      <c r="B97" s="27" t="s">
        <v>113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3">
        <f>SUM(C97:L97)*Inicio!$W$4</f>
        <v>0</v>
      </c>
      <c r="DT97" s="3">
        <f>SUM(M97:V97)*Inicio!$W$5</f>
        <v>0</v>
      </c>
      <c r="DU97" s="3">
        <f>SUM(W97:AF97)*Inicio!$W$6</f>
        <v>0</v>
      </c>
      <c r="DV97" s="3">
        <f>SUM(AG97:AP97)*Inicio!$W$7</f>
        <v>0</v>
      </c>
      <c r="DW97" s="3">
        <f>SUM(AQ97:AZ97)*Inicio!$W$8</f>
        <v>0</v>
      </c>
      <c r="DX97" s="3">
        <f>SUM(BA97:BJ97)*Inicio!$W$9</f>
        <v>0</v>
      </c>
      <c r="DY97" s="3">
        <f>SUM(BK97:BT97)*Inicio!$W$10</f>
        <v>0</v>
      </c>
      <c r="DZ97" s="3">
        <f>SUM(BU97:CD97)*Inicio!$W$11</f>
        <v>0</v>
      </c>
      <c r="EA97" s="3">
        <f>SUM(CE97:CN97)*Inicio!$W$12</f>
        <v>0</v>
      </c>
      <c r="EB97" s="3">
        <f>SUM(CO97:CX97)*Inicio!$W$13</f>
        <v>0</v>
      </c>
      <c r="EC97" s="3">
        <f>SUM(CY97:DH97)*Inicio!$W$11</f>
        <v>0</v>
      </c>
      <c r="ED97" s="3">
        <f>SUM(DI97:DR97)*Inicio!$W$12</f>
        <v>0</v>
      </c>
      <c r="EE97" s="3">
        <f t="shared" si="6"/>
        <v>0</v>
      </c>
      <c r="EF97" s="3">
        <f t="shared" si="9"/>
        <v>0</v>
      </c>
      <c r="EG97" s="3">
        <f t="shared" si="7"/>
        <v>0</v>
      </c>
      <c r="EH97" s="3">
        <f t="shared" si="9"/>
        <v>0</v>
      </c>
    </row>
    <row r="98" spans="2:138" ht="20.25" customHeight="1" x14ac:dyDescent="0.3">
      <c r="B98" s="28" t="s">
        <v>114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4">
        <f>SUM(C98:L98)*Inicio!$W$4</f>
        <v>0</v>
      </c>
      <c r="DT98" s="4">
        <f>SUM(M98:V98)*Inicio!$W$5</f>
        <v>0</v>
      </c>
      <c r="DU98" s="4">
        <f>SUM(W98:AF98)*Inicio!$W$6</f>
        <v>0</v>
      </c>
      <c r="DV98" s="4">
        <f>SUM(AG98:AP98)*Inicio!$W$7</f>
        <v>0</v>
      </c>
      <c r="DW98" s="4">
        <f>SUM(AQ98:AZ98)*Inicio!$W$8</f>
        <v>0</v>
      </c>
      <c r="DX98" s="4">
        <f>SUM(BA98:BJ98)*Inicio!$W$9</f>
        <v>0</v>
      </c>
      <c r="DY98" s="4">
        <f>SUM(BK98:BT98)*Inicio!$W$10</f>
        <v>0</v>
      </c>
      <c r="DZ98" s="4">
        <f>SUM(BU98:CD98)*Inicio!$W$11</f>
        <v>0</v>
      </c>
      <c r="EA98" s="4">
        <f>SUM(CE98:CN98)*Inicio!$W$12</f>
        <v>0</v>
      </c>
      <c r="EB98" s="4">
        <f>SUM(CO98:CX98)*Inicio!$W$13</f>
        <v>0</v>
      </c>
      <c r="EC98" s="4">
        <f>SUM(CY98:DH98)*Inicio!$W$11</f>
        <v>0</v>
      </c>
      <c r="ED98" s="4">
        <f>SUM(DI98:DR98)*Inicio!$W$12</f>
        <v>0</v>
      </c>
      <c r="EE98" s="4">
        <f t="shared" si="6"/>
        <v>0</v>
      </c>
      <c r="EF98" s="4">
        <f t="shared" si="9"/>
        <v>0</v>
      </c>
      <c r="EG98" s="4">
        <f t="shared" si="7"/>
        <v>0</v>
      </c>
      <c r="EH98" s="4">
        <f t="shared" si="9"/>
        <v>0</v>
      </c>
    </row>
    <row r="99" spans="2:138" ht="20.25" customHeight="1" x14ac:dyDescent="0.3">
      <c r="B99" s="28" t="s">
        <v>115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4">
        <f>SUM(C99:L99)*Inicio!$W$4</f>
        <v>0</v>
      </c>
      <c r="DT99" s="4">
        <f>SUM(M99:V99)*Inicio!$W$5</f>
        <v>0</v>
      </c>
      <c r="DU99" s="4">
        <f>SUM(W99:AF99)*Inicio!$W$6</f>
        <v>0</v>
      </c>
      <c r="DV99" s="4">
        <f>SUM(AG99:AP99)*Inicio!$W$7</f>
        <v>0</v>
      </c>
      <c r="DW99" s="4">
        <f>SUM(AQ99:AZ99)*Inicio!$W$8</f>
        <v>0</v>
      </c>
      <c r="DX99" s="4">
        <f>SUM(BA99:BJ99)*Inicio!$W$9</f>
        <v>0</v>
      </c>
      <c r="DY99" s="4">
        <f>SUM(BK99:BT99)*Inicio!$W$10</f>
        <v>0</v>
      </c>
      <c r="DZ99" s="4">
        <f>SUM(BU99:CD99)*Inicio!$W$11</f>
        <v>0</v>
      </c>
      <c r="EA99" s="4">
        <f>SUM(CE99:CN99)*Inicio!$W$12</f>
        <v>0</v>
      </c>
      <c r="EB99" s="4">
        <f>SUM(CO99:CX99)*Inicio!$W$13</f>
        <v>0</v>
      </c>
      <c r="EC99" s="4">
        <f>SUM(CY99:DH99)*Inicio!$W$11</f>
        <v>0</v>
      </c>
      <c r="ED99" s="4">
        <f>SUM(DI99:DR99)*Inicio!$W$12</f>
        <v>0</v>
      </c>
      <c r="EE99" s="4">
        <f t="shared" si="6"/>
        <v>0</v>
      </c>
      <c r="EF99" s="4">
        <f t="shared" si="9"/>
        <v>0</v>
      </c>
      <c r="EG99" s="4">
        <f t="shared" si="7"/>
        <v>0</v>
      </c>
      <c r="EH99" s="4">
        <f t="shared" si="9"/>
        <v>0</v>
      </c>
    </row>
    <row r="100" spans="2:138" ht="20.25" customHeight="1" x14ac:dyDescent="0.3">
      <c r="B100" s="26" t="s">
        <v>116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5">
        <f>SUM(C100:L100)*Inicio!$W$4</f>
        <v>0</v>
      </c>
      <c r="DT100" s="5">
        <f>SUM(M100:V100)*Inicio!$W$5</f>
        <v>0</v>
      </c>
      <c r="DU100" s="5">
        <f>SUM(W100:AF100)*Inicio!$W$6</f>
        <v>0</v>
      </c>
      <c r="DV100" s="5">
        <f>SUM(AG100:AP100)*Inicio!$W$7</f>
        <v>0</v>
      </c>
      <c r="DW100" s="5">
        <f>SUM(AQ100:AZ100)*Inicio!$W$8</f>
        <v>0</v>
      </c>
      <c r="DX100" s="5">
        <f>SUM(BA100:BJ100)*Inicio!$W$9</f>
        <v>0</v>
      </c>
      <c r="DY100" s="5">
        <f>SUM(BK100:BT100)*Inicio!$W$10</f>
        <v>0</v>
      </c>
      <c r="DZ100" s="5">
        <f>SUM(BU100:CD100)*Inicio!$W$11</f>
        <v>0</v>
      </c>
      <c r="EA100" s="5">
        <f>SUM(CE100:CN100)*Inicio!$W$12</f>
        <v>0</v>
      </c>
      <c r="EB100" s="5">
        <f>SUM(CO100:CX100)*Inicio!$W$13</f>
        <v>0</v>
      </c>
      <c r="EC100" s="5">
        <f>SUM(CY100:DH100)*Inicio!$W$11</f>
        <v>0</v>
      </c>
      <c r="ED100" s="5">
        <f>SUM(DI100:DR100)*Inicio!$W$12</f>
        <v>0</v>
      </c>
      <c r="EE100" s="5">
        <f t="shared" si="6"/>
        <v>0</v>
      </c>
      <c r="EF100" s="5">
        <f t="shared" si="9"/>
        <v>0</v>
      </c>
      <c r="EG100" s="5">
        <f t="shared" si="7"/>
        <v>0</v>
      </c>
      <c r="EH100" s="5">
        <f t="shared" si="9"/>
        <v>0</v>
      </c>
    </row>
    <row r="101" spans="2:138" ht="20.25" customHeight="1" x14ac:dyDescent="0.3">
      <c r="B101" s="23" t="s">
        <v>117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4">
        <f>SUM(C101:L101)*Inicio!$W$4</f>
        <v>0</v>
      </c>
      <c r="DT101" s="4">
        <f>SUM(M101:V101)*Inicio!$W$5</f>
        <v>0</v>
      </c>
      <c r="DU101" s="4">
        <f>SUM(W101:AF101)*Inicio!$W$6</f>
        <v>0</v>
      </c>
      <c r="DV101" s="4">
        <f>SUM(AG101:AP101)*Inicio!$W$7</f>
        <v>0</v>
      </c>
      <c r="DW101" s="4">
        <f>SUM(AQ101:AZ101)*Inicio!$W$8</f>
        <v>0</v>
      </c>
      <c r="DX101" s="4">
        <f>SUM(BA101:BJ101)*Inicio!$W$9</f>
        <v>0</v>
      </c>
      <c r="DY101" s="4">
        <f>SUM(BK101:BT101)*Inicio!$W$10</f>
        <v>0</v>
      </c>
      <c r="DZ101" s="4">
        <f>SUM(BU101:CD101)*Inicio!$W$11</f>
        <v>0</v>
      </c>
      <c r="EA101" s="4">
        <f>SUM(CE101:CN101)*Inicio!$W$12</f>
        <v>0</v>
      </c>
      <c r="EB101" s="4">
        <f>SUM(CO101:CX101)*Inicio!$W$13</f>
        <v>0</v>
      </c>
      <c r="EC101" s="4">
        <f>SUM(CY101:DH101)*Inicio!$W$11</f>
        <v>0</v>
      </c>
      <c r="ED101" s="4">
        <f>SUM(DI101:DR101)*Inicio!$W$12</f>
        <v>0</v>
      </c>
      <c r="EE101" s="4">
        <f t="shared" si="6"/>
        <v>0</v>
      </c>
      <c r="EF101" s="4">
        <f t="shared" si="9"/>
        <v>0</v>
      </c>
      <c r="EG101" s="4">
        <f t="shared" si="7"/>
        <v>0</v>
      </c>
      <c r="EH101" s="4">
        <f t="shared" si="9"/>
        <v>0</v>
      </c>
    </row>
    <row r="102" spans="2:138" ht="20.25" customHeight="1" x14ac:dyDescent="0.3">
      <c r="B102" s="24" t="s">
        <v>118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4">
        <f>SUM(C102:L102)*Inicio!$W$4</f>
        <v>0</v>
      </c>
      <c r="DT102" s="4">
        <f>SUM(M102:V102)*Inicio!$W$5</f>
        <v>0</v>
      </c>
      <c r="DU102" s="4">
        <f>SUM(W102:AF102)*Inicio!$W$6</f>
        <v>0</v>
      </c>
      <c r="DV102" s="4">
        <f>SUM(AG102:AP102)*Inicio!$W$7</f>
        <v>0</v>
      </c>
      <c r="DW102" s="4">
        <f>SUM(AQ102:AZ102)*Inicio!$W$8</f>
        <v>0</v>
      </c>
      <c r="DX102" s="4">
        <f>SUM(BA102:BJ102)*Inicio!$W$9</f>
        <v>0</v>
      </c>
      <c r="DY102" s="4">
        <f>SUM(BK102:BT102)*Inicio!$W$10</f>
        <v>0</v>
      </c>
      <c r="DZ102" s="4">
        <f>SUM(BU102:CD102)*Inicio!$W$11</f>
        <v>0</v>
      </c>
      <c r="EA102" s="4">
        <f>SUM(CE102:CN102)*Inicio!$W$12</f>
        <v>0</v>
      </c>
      <c r="EB102" s="4">
        <f>SUM(CO102:CX102)*Inicio!$W$13</f>
        <v>0</v>
      </c>
      <c r="EC102" s="4">
        <f>SUM(CY102:DH102)*Inicio!$W$11</f>
        <v>0</v>
      </c>
      <c r="ED102" s="4">
        <f>SUM(DI102:DR102)*Inicio!$W$12</f>
        <v>0</v>
      </c>
      <c r="EE102" s="4">
        <f t="shared" si="6"/>
        <v>0</v>
      </c>
      <c r="EF102" s="4">
        <f t="shared" si="9"/>
        <v>0</v>
      </c>
      <c r="EG102" s="4">
        <f t="shared" si="7"/>
        <v>0</v>
      </c>
      <c r="EH102" s="4">
        <f t="shared" si="9"/>
        <v>0</v>
      </c>
    </row>
    <row r="103" spans="2:138" ht="20.25" customHeight="1" x14ac:dyDescent="0.3">
      <c r="B103" s="24" t="s">
        <v>119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4">
        <f>SUM(C103:L103)*Inicio!$W$4</f>
        <v>0</v>
      </c>
      <c r="DT103" s="4">
        <f>SUM(M103:V103)*Inicio!$W$5</f>
        <v>0</v>
      </c>
      <c r="DU103" s="4">
        <f>SUM(W103:AF103)*Inicio!$W$6</f>
        <v>0</v>
      </c>
      <c r="DV103" s="4">
        <f>SUM(AG103:AP103)*Inicio!$W$7</f>
        <v>0</v>
      </c>
      <c r="DW103" s="4">
        <f>SUM(AQ103:AZ103)*Inicio!$W$8</f>
        <v>0</v>
      </c>
      <c r="DX103" s="4">
        <f>SUM(BA103:BJ103)*Inicio!$W$9</f>
        <v>0</v>
      </c>
      <c r="DY103" s="4">
        <f>SUM(BK103:BT103)*Inicio!$W$10</f>
        <v>0</v>
      </c>
      <c r="DZ103" s="4">
        <f>SUM(BU103:CD103)*Inicio!$W$11</f>
        <v>0</v>
      </c>
      <c r="EA103" s="4">
        <f>SUM(CE103:CN103)*Inicio!$W$12</f>
        <v>0</v>
      </c>
      <c r="EB103" s="4">
        <f>SUM(CO103:CX103)*Inicio!$W$13</f>
        <v>0</v>
      </c>
      <c r="EC103" s="4">
        <f>SUM(CY103:DH103)*Inicio!$W$11</f>
        <v>0</v>
      </c>
      <c r="ED103" s="4">
        <f>SUM(DI103:DR103)*Inicio!$W$12</f>
        <v>0</v>
      </c>
      <c r="EE103" s="4">
        <f t="shared" si="6"/>
        <v>0</v>
      </c>
      <c r="EF103" s="4">
        <f t="shared" si="9"/>
        <v>0</v>
      </c>
      <c r="EG103" s="4">
        <f t="shared" si="7"/>
        <v>0</v>
      </c>
      <c r="EH103" s="4">
        <f t="shared" si="9"/>
        <v>0</v>
      </c>
    </row>
    <row r="104" spans="2:138" ht="20.25" customHeight="1" x14ac:dyDescent="0.3">
      <c r="B104" s="25" t="s">
        <v>120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5">
        <f>SUM(C104:L104)*Inicio!$W$4</f>
        <v>0</v>
      </c>
      <c r="DT104" s="5">
        <f>SUM(M104:V104)*Inicio!$W$5</f>
        <v>0</v>
      </c>
      <c r="DU104" s="5">
        <f>SUM(W104:AF104)*Inicio!$W$6</f>
        <v>0</v>
      </c>
      <c r="DV104" s="5">
        <f>SUM(AG104:AP104)*Inicio!$W$7</f>
        <v>0</v>
      </c>
      <c r="DW104" s="5">
        <f>SUM(AQ104:AZ104)*Inicio!$W$8</f>
        <v>0</v>
      </c>
      <c r="DX104" s="5">
        <f>SUM(BA104:BJ104)*Inicio!$W$9</f>
        <v>0</v>
      </c>
      <c r="DY104" s="5">
        <f>SUM(BK104:BT104)*Inicio!$W$10</f>
        <v>0</v>
      </c>
      <c r="DZ104" s="5">
        <f>SUM(BU104:CD104)*Inicio!$W$11</f>
        <v>0</v>
      </c>
      <c r="EA104" s="5">
        <f>SUM(CE104:CN104)*Inicio!$W$12</f>
        <v>0</v>
      </c>
      <c r="EB104" s="5">
        <f>SUM(CO104:CX104)*Inicio!$W$13</f>
        <v>0</v>
      </c>
      <c r="EC104" s="5">
        <f>SUM(CY104:DH104)*Inicio!$W$11</f>
        <v>0</v>
      </c>
      <c r="ED104" s="5">
        <f>SUM(DI104:DR104)*Inicio!$W$12</f>
        <v>0</v>
      </c>
      <c r="EE104" s="5">
        <f t="shared" si="6"/>
        <v>0</v>
      </c>
      <c r="EF104" s="5">
        <f t="shared" si="9"/>
        <v>0</v>
      </c>
      <c r="EG104" s="5">
        <f t="shared" si="7"/>
        <v>0</v>
      </c>
      <c r="EH104" s="5">
        <f t="shared" si="9"/>
        <v>0</v>
      </c>
    </row>
    <row r="105" spans="2:138" ht="20.25" customHeight="1" x14ac:dyDescent="0.3">
      <c r="B105" s="6" t="s">
        <v>121</v>
      </c>
      <c r="C105" s="7">
        <f>SUM(C9:C32)</f>
        <v>0</v>
      </c>
      <c r="D105" s="7">
        <f t="shared" ref="D105:BO105" si="10">SUM(D9:D32)</f>
        <v>0</v>
      </c>
      <c r="E105" s="7">
        <f t="shared" si="10"/>
        <v>0</v>
      </c>
      <c r="F105" s="7">
        <f t="shared" si="10"/>
        <v>0</v>
      </c>
      <c r="G105" s="7">
        <f t="shared" si="10"/>
        <v>0</v>
      </c>
      <c r="H105" s="7">
        <f t="shared" si="10"/>
        <v>0</v>
      </c>
      <c r="I105" s="7">
        <f t="shared" si="10"/>
        <v>0</v>
      </c>
      <c r="J105" s="7">
        <f t="shared" si="10"/>
        <v>0</v>
      </c>
      <c r="K105" s="7">
        <f t="shared" si="10"/>
        <v>0</v>
      </c>
      <c r="L105" s="7">
        <f t="shared" si="10"/>
        <v>0</v>
      </c>
      <c r="M105" s="7">
        <f t="shared" si="10"/>
        <v>0</v>
      </c>
      <c r="N105" s="7">
        <f t="shared" si="10"/>
        <v>0</v>
      </c>
      <c r="O105" s="7">
        <f t="shared" si="10"/>
        <v>0</v>
      </c>
      <c r="P105" s="7">
        <f t="shared" si="10"/>
        <v>0</v>
      </c>
      <c r="Q105" s="7">
        <f t="shared" si="10"/>
        <v>0</v>
      </c>
      <c r="R105" s="7">
        <f t="shared" si="10"/>
        <v>0</v>
      </c>
      <c r="S105" s="7">
        <f t="shared" si="10"/>
        <v>0</v>
      </c>
      <c r="T105" s="7">
        <f t="shared" si="10"/>
        <v>0</v>
      </c>
      <c r="U105" s="7">
        <f t="shared" si="10"/>
        <v>0</v>
      </c>
      <c r="V105" s="7">
        <f t="shared" si="10"/>
        <v>0</v>
      </c>
      <c r="W105" s="7">
        <f t="shared" si="10"/>
        <v>0</v>
      </c>
      <c r="X105" s="7">
        <f t="shared" si="10"/>
        <v>0</v>
      </c>
      <c r="Y105" s="7">
        <f t="shared" si="10"/>
        <v>0</v>
      </c>
      <c r="Z105" s="7">
        <f t="shared" si="10"/>
        <v>0</v>
      </c>
      <c r="AA105" s="7">
        <f t="shared" si="10"/>
        <v>0</v>
      </c>
      <c r="AB105" s="7">
        <f t="shared" si="10"/>
        <v>0</v>
      </c>
      <c r="AC105" s="7">
        <f t="shared" si="10"/>
        <v>0</v>
      </c>
      <c r="AD105" s="7">
        <f t="shared" si="10"/>
        <v>0</v>
      </c>
      <c r="AE105" s="7">
        <f t="shared" si="10"/>
        <v>0</v>
      </c>
      <c r="AF105" s="7">
        <f t="shared" si="10"/>
        <v>0</v>
      </c>
      <c r="AG105" s="7">
        <f t="shared" si="10"/>
        <v>0</v>
      </c>
      <c r="AH105" s="7">
        <f t="shared" si="10"/>
        <v>0</v>
      </c>
      <c r="AI105" s="7">
        <f t="shared" si="10"/>
        <v>0</v>
      </c>
      <c r="AJ105" s="7">
        <f t="shared" si="10"/>
        <v>0</v>
      </c>
      <c r="AK105" s="7">
        <f t="shared" si="10"/>
        <v>0</v>
      </c>
      <c r="AL105" s="7">
        <f t="shared" si="10"/>
        <v>0</v>
      </c>
      <c r="AM105" s="7">
        <f t="shared" si="10"/>
        <v>0</v>
      </c>
      <c r="AN105" s="7">
        <f t="shared" si="10"/>
        <v>0</v>
      </c>
      <c r="AO105" s="7">
        <f t="shared" si="10"/>
        <v>0</v>
      </c>
      <c r="AP105" s="7">
        <f t="shared" si="10"/>
        <v>0</v>
      </c>
      <c r="AQ105" s="7">
        <f t="shared" si="10"/>
        <v>0</v>
      </c>
      <c r="AR105" s="7">
        <f t="shared" si="10"/>
        <v>0</v>
      </c>
      <c r="AS105" s="7">
        <f t="shared" si="10"/>
        <v>0</v>
      </c>
      <c r="AT105" s="7">
        <f t="shared" si="10"/>
        <v>0</v>
      </c>
      <c r="AU105" s="7">
        <f t="shared" si="10"/>
        <v>0</v>
      </c>
      <c r="AV105" s="7">
        <f t="shared" si="10"/>
        <v>0</v>
      </c>
      <c r="AW105" s="7">
        <f t="shared" si="10"/>
        <v>0</v>
      </c>
      <c r="AX105" s="7">
        <f t="shared" si="10"/>
        <v>0</v>
      </c>
      <c r="AY105" s="7">
        <f t="shared" si="10"/>
        <v>0</v>
      </c>
      <c r="AZ105" s="7">
        <f t="shared" si="10"/>
        <v>0</v>
      </c>
      <c r="BA105" s="7">
        <f t="shared" si="10"/>
        <v>0</v>
      </c>
      <c r="BB105" s="7">
        <f t="shared" si="10"/>
        <v>0</v>
      </c>
      <c r="BC105" s="7">
        <f t="shared" si="10"/>
        <v>0</v>
      </c>
      <c r="BD105" s="7">
        <f t="shared" si="10"/>
        <v>0</v>
      </c>
      <c r="BE105" s="7">
        <f t="shared" si="10"/>
        <v>0</v>
      </c>
      <c r="BF105" s="7">
        <f t="shared" si="10"/>
        <v>0</v>
      </c>
      <c r="BG105" s="7">
        <f t="shared" si="10"/>
        <v>0</v>
      </c>
      <c r="BH105" s="7">
        <f t="shared" si="10"/>
        <v>0</v>
      </c>
      <c r="BI105" s="7">
        <f t="shared" si="10"/>
        <v>0</v>
      </c>
      <c r="BJ105" s="7">
        <f t="shared" si="10"/>
        <v>0</v>
      </c>
      <c r="BK105" s="7">
        <f t="shared" si="10"/>
        <v>0</v>
      </c>
      <c r="BL105" s="7">
        <f t="shared" si="10"/>
        <v>0</v>
      </c>
      <c r="BM105" s="7">
        <f t="shared" si="10"/>
        <v>0</v>
      </c>
      <c r="BN105" s="7">
        <f t="shared" si="10"/>
        <v>0</v>
      </c>
      <c r="BO105" s="7">
        <f t="shared" si="10"/>
        <v>0</v>
      </c>
      <c r="BP105" s="7">
        <f t="shared" ref="BP105:CX105" si="11">SUM(BP9:BP32)</f>
        <v>0</v>
      </c>
      <c r="BQ105" s="7">
        <f t="shared" si="11"/>
        <v>0</v>
      </c>
      <c r="BR105" s="7">
        <f t="shared" si="11"/>
        <v>0</v>
      </c>
      <c r="BS105" s="7">
        <f t="shared" si="11"/>
        <v>0</v>
      </c>
      <c r="BT105" s="7">
        <f t="shared" si="11"/>
        <v>0</v>
      </c>
      <c r="BU105" s="7">
        <f t="shared" si="11"/>
        <v>0</v>
      </c>
      <c r="BV105" s="7">
        <f t="shared" si="11"/>
        <v>0</v>
      </c>
      <c r="BW105" s="7">
        <f t="shared" si="11"/>
        <v>0</v>
      </c>
      <c r="BX105" s="7">
        <f t="shared" si="11"/>
        <v>0</v>
      </c>
      <c r="BY105" s="7">
        <f t="shared" si="11"/>
        <v>0</v>
      </c>
      <c r="BZ105" s="7">
        <f t="shared" si="11"/>
        <v>0</v>
      </c>
      <c r="CA105" s="7">
        <f t="shared" si="11"/>
        <v>0</v>
      </c>
      <c r="CB105" s="7">
        <f t="shared" si="11"/>
        <v>0</v>
      </c>
      <c r="CC105" s="7">
        <f t="shared" si="11"/>
        <v>0</v>
      </c>
      <c r="CD105" s="7">
        <f t="shared" si="11"/>
        <v>0</v>
      </c>
      <c r="CE105" s="7">
        <f t="shared" si="11"/>
        <v>0</v>
      </c>
      <c r="CF105" s="7">
        <f t="shared" si="11"/>
        <v>0</v>
      </c>
      <c r="CG105" s="7">
        <f t="shared" si="11"/>
        <v>0</v>
      </c>
      <c r="CH105" s="7">
        <f t="shared" si="11"/>
        <v>0</v>
      </c>
      <c r="CI105" s="7">
        <f t="shared" si="11"/>
        <v>0</v>
      </c>
      <c r="CJ105" s="7">
        <f t="shared" si="11"/>
        <v>0</v>
      </c>
      <c r="CK105" s="7">
        <f t="shared" si="11"/>
        <v>0</v>
      </c>
      <c r="CL105" s="7">
        <f t="shared" si="11"/>
        <v>0</v>
      </c>
      <c r="CM105" s="7">
        <f t="shared" si="11"/>
        <v>0</v>
      </c>
      <c r="CN105" s="7">
        <f t="shared" si="11"/>
        <v>0</v>
      </c>
      <c r="CO105" s="7">
        <f t="shared" si="11"/>
        <v>0</v>
      </c>
      <c r="CP105" s="7">
        <f t="shared" si="11"/>
        <v>0</v>
      </c>
      <c r="CQ105" s="7">
        <f t="shared" si="11"/>
        <v>0</v>
      </c>
      <c r="CR105" s="7">
        <f t="shared" si="11"/>
        <v>0</v>
      </c>
      <c r="CS105" s="7">
        <f t="shared" si="11"/>
        <v>0</v>
      </c>
      <c r="CT105" s="7">
        <f t="shared" si="11"/>
        <v>0</v>
      </c>
      <c r="CU105" s="7">
        <f t="shared" si="11"/>
        <v>0</v>
      </c>
      <c r="CV105" s="7">
        <f t="shared" si="11"/>
        <v>0</v>
      </c>
      <c r="CW105" s="7">
        <f t="shared" si="11"/>
        <v>0</v>
      </c>
      <c r="CX105" s="7">
        <f t="shared" si="11"/>
        <v>0</v>
      </c>
      <c r="CY105" s="7">
        <f t="shared" ref="CY105:DR105" si="12">SUM(CY9:CY32)</f>
        <v>0</v>
      </c>
      <c r="CZ105" s="7">
        <f t="shared" si="12"/>
        <v>0</v>
      </c>
      <c r="DA105" s="7">
        <f t="shared" si="12"/>
        <v>0</v>
      </c>
      <c r="DB105" s="7">
        <f t="shared" si="12"/>
        <v>0</v>
      </c>
      <c r="DC105" s="7">
        <f t="shared" si="12"/>
        <v>0</v>
      </c>
      <c r="DD105" s="7">
        <f t="shared" si="12"/>
        <v>0</v>
      </c>
      <c r="DE105" s="7">
        <f t="shared" si="12"/>
        <v>0</v>
      </c>
      <c r="DF105" s="7">
        <f t="shared" si="12"/>
        <v>0</v>
      </c>
      <c r="DG105" s="7">
        <f t="shared" si="12"/>
        <v>0</v>
      </c>
      <c r="DH105" s="7">
        <f t="shared" si="12"/>
        <v>0</v>
      </c>
      <c r="DI105" s="7">
        <f t="shared" si="12"/>
        <v>0</v>
      </c>
      <c r="DJ105" s="7">
        <f t="shared" si="12"/>
        <v>0</v>
      </c>
      <c r="DK105" s="7">
        <f t="shared" si="12"/>
        <v>0</v>
      </c>
      <c r="DL105" s="7">
        <f t="shared" si="12"/>
        <v>0</v>
      </c>
      <c r="DM105" s="7">
        <f t="shared" si="12"/>
        <v>0</v>
      </c>
      <c r="DN105" s="7">
        <f t="shared" si="12"/>
        <v>0</v>
      </c>
      <c r="DO105" s="7">
        <f t="shared" si="12"/>
        <v>0</v>
      </c>
      <c r="DP105" s="7">
        <f t="shared" si="12"/>
        <v>0</v>
      </c>
      <c r="DQ105" s="7">
        <f t="shared" si="12"/>
        <v>0</v>
      </c>
      <c r="DR105" s="7">
        <f t="shared" si="12"/>
        <v>0</v>
      </c>
      <c r="DS105" s="8"/>
      <c r="DT105" s="9"/>
      <c r="DU105" s="9"/>
      <c r="DV105" s="9"/>
      <c r="DW105" s="9"/>
      <c r="DX105" s="9"/>
      <c r="DY105" s="9"/>
      <c r="DZ105" s="9"/>
      <c r="EA105" s="53"/>
      <c r="EB105" s="53"/>
      <c r="EC105" s="87"/>
      <c r="ED105" s="87"/>
      <c r="EE105" s="54"/>
      <c r="EF105" s="54"/>
      <c r="EG105" s="54"/>
      <c r="EH105" s="10"/>
    </row>
    <row r="106" spans="2:138" ht="20.25" customHeight="1" x14ac:dyDescent="0.3">
      <c r="B106" s="6" t="s">
        <v>122</v>
      </c>
      <c r="C106" s="7">
        <f>SUM(C33:C56)</f>
        <v>0</v>
      </c>
      <c r="D106" s="7">
        <f t="shared" ref="D106:BO106" si="13">SUM(D33:D56)</f>
        <v>0</v>
      </c>
      <c r="E106" s="7">
        <f t="shared" si="13"/>
        <v>0</v>
      </c>
      <c r="F106" s="7">
        <f t="shared" si="13"/>
        <v>0</v>
      </c>
      <c r="G106" s="7">
        <f t="shared" si="13"/>
        <v>0</v>
      </c>
      <c r="H106" s="7">
        <f t="shared" si="13"/>
        <v>0</v>
      </c>
      <c r="I106" s="7">
        <f t="shared" si="13"/>
        <v>0</v>
      </c>
      <c r="J106" s="7">
        <f t="shared" si="13"/>
        <v>0</v>
      </c>
      <c r="K106" s="7">
        <f t="shared" si="13"/>
        <v>0</v>
      </c>
      <c r="L106" s="7">
        <f t="shared" si="13"/>
        <v>0</v>
      </c>
      <c r="M106" s="7">
        <f t="shared" si="13"/>
        <v>0</v>
      </c>
      <c r="N106" s="7">
        <f t="shared" si="13"/>
        <v>0</v>
      </c>
      <c r="O106" s="7">
        <f t="shared" si="13"/>
        <v>0</v>
      </c>
      <c r="P106" s="7">
        <f t="shared" si="13"/>
        <v>0</v>
      </c>
      <c r="Q106" s="7">
        <f t="shared" si="13"/>
        <v>0</v>
      </c>
      <c r="R106" s="7">
        <f t="shared" si="13"/>
        <v>0</v>
      </c>
      <c r="S106" s="7">
        <f t="shared" si="13"/>
        <v>0</v>
      </c>
      <c r="T106" s="7">
        <f t="shared" si="13"/>
        <v>0</v>
      </c>
      <c r="U106" s="7">
        <f t="shared" si="13"/>
        <v>0</v>
      </c>
      <c r="V106" s="7">
        <f t="shared" si="13"/>
        <v>0</v>
      </c>
      <c r="W106" s="7">
        <f t="shared" si="13"/>
        <v>0</v>
      </c>
      <c r="X106" s="7">
        <f t="shared" si="13"/>
        <v>0</v>
      </c>
      <c r="Y106" s="7">
        <f t="shared" si="13"/>
        <v>0</v>
      </c>
      <c r="Z106" s="7">
        <f t="shared" si="13"/>
        <v>0</v>
      </c>
      <c r="AA106" s="7">
        <f t="shared" si="13"/>
        <v>0</v>
      </c>
      <c r="AB106" s="7">
        <f t="shared" si="13"/>
        <v>0</v>
      </c>
      <c r="AC106" s="7">
        <f t="shared" si="13"/>
        <v>0</v>
      </c>
      <c r="AD106" s="7">
        <f t="shared" si="13"/>
        <v>0</v>
      </c>
      <c r="AE106" s="7">
        <f t="shared" si="13"/>
        <v>0</v>
      </c>
      <c r="AF106" s="7">
        <f t="shared" si="13"/>
        <v>0</v>
      </c>
      <c r="AG106" s="7">
        <f t="shared" si="13"/>
        <v>0</v>
      </c>
      <c r="AH106" s="7">
        <f t="shared" si="13"/>
        <v>0</v>
      </c>
      <c r="AI106" s="7">
        <f t="shared" si="13"/>
        <v>0</v>
      </c>
      <c r="AJ106" s="7">
        <f t="shared" si="13"/>
        <v>0</v>
      </c>
      <c r="AK106" s="7">
        <f t="shared" si="13"/>
        <v>0</v>
      </c>
      <c r="AL106" s="7">
        <f t="shared" si="13"/>
        <v>0</v>
      </c>
      <c r="AM106" s="7">
        <f t="shared" si="13"/>
        <v>0</v>
      </c>
      <c r="AN106" s="7">
        <f t="shared" si="13"/>
        <v>0</v>
      </c>
      <c r="AO106" s="7">
        <f t="shared" si="13"/>
        <v>0</v>
      </c>
      <c r="AP106" s="7">
        <f t="shared" si="13"/>
        <v>0</v>
      </c>
      <c r="AQ106" s="7">
        <f t="shared" si="13"/>
        <v>0</v>
      </c>
      <c r="AR106" s="7">
        <f t="shared" si="13"/>
        <v>0</v>
      </c>
      <c r="AS106" s="7">
        <f t="shared" si="13"/>
        <v>0</v>
      </c>
      <c r="AT106" s="7">
        <f t="shared" si="13"/>
        <v>0</v>
      </c>
      <c r="AU106" s="7">
        <f t="shared" si="13"/>
        <v>0</v>
      </c>
      <c r="AV106" s="7">
        <f t="shared" si="13"/>
        <v>0</v>
      </c>
      <c r="AW106" s="7">
        <f t="shared" si="13"/>
        <v>0</v>
      </c>
      <c r="AX106" s="7">
        <f t="shared" si="13"/>
        <v>0</v>
      </c>
      <c r="AY106" s="7">
        <f t="shared" si="13"/>
        <v>0</v>
      </c>
      <c r="AZ106" s="7">
        <f t="shared" si="13"/>
        <v>0</v>
      </c>
      <c r="BA106" s="7">
        <f t="shared" si="13"/>
        <v>0</v>
      </c>
      <c r="BB106" s="7">
        <f t="shared" si="13"/>
        <v>0</v>
      </c>
      <c r="BC106" s="7">
        <f t="shared" si="13"/>
        <v>0</v>
      </c>
      <c r="BD106" s="7">
        <f t="shared" si="13"/>
        <v>0</v>
      </c>
      <c r="BE106" s="7">
        <f t="shared" si="13"/>
        <v>0</v>
      </c>
      <c r="BF106" s="7">
        <f t="shared" si="13"/>
        <v>0</v>
      </c>
      <c r="BG106" s="7">
        <f t="shared" si="13"/>
        <v>0</v>
      </c>
      <c r="BH106" s="7">
        <f t="shared" si="13"/>
        <v>0</v>
      </c>
      <c r="BI106" s="7">
        <f t="shared" si="13"/>
        <v>0</v>
      </c>
      <c r="BJ106" s="7">
        <f t="shared" si="13"/>
        <v>0</v>
      </c>
      <c r="BK106" s="7">
        <f t="shared" si="13"/>
        <v>0</v>
      </c>
      <c r="BL106" s="7">
        <f t="shared" si="13"/>
        <v>0</v>
      </c>
      <c r="BM106" s="7">
        <f t="shared" si="13"/>
        <v>0</v>
      </c>
      <c r="BN106" s="7">
        <f t="shared" si="13"/>
        <v>0</v>
      </c>
      <c r="BO106" s="7">
        <f t="shared" si="13"/>
        <v>0</v>
      </c>
      <c r="BP106" s="7">
        <f t="shared" ref="BP106:CX106" si="14">SUM(BP33:BP56)</f>
        <v>0</v>
      </c>
      <c r="BQ106" s="7">
        <f t="shared" si="14"/>
        <v>0</v>
      </c>
      <c r="BR106" s="7">
        <f t="shared" si="14"/>
        <v>0</v>
      </c>
      <c r="BS106" s="7">
        <f t="shared" si="14"/>
        <v>0</v>
      </c>
      <c r="BT106" s="7">
        <f t="shared" si="14"/>
        <v>0</v>
      </c>
      <c r="BU106" s="7">
        <f t="shared" si="14"/>
        <v>0</v>
      </c>
      <c r="BV106" s="7">
        <f t="shared" si="14"/>
        <v>0</v>
      </c>
      <c r="BW106" s="7">
        <f t="shared" si="14"/>
        <v>0</v>
      </c>
      <c r="BX106" s="7">
        <f t="shared" si="14"/>
        <v>0</v>
      </c>
      <c r="BY106" s="7">
        <f t="shared" si="14"/>
        <v>0</v>
      </c>
      <c r="BZ106" s="7">
        <f t="shared" si="14"/>
        <v>0</v>
      </c>
      <c r="CA106" s="7">
        <f t="shared" si="14"/>
        <v>0</v>
      </c>
      <c r="CB106" s="7">
        <f t="shared" si="14"/>
        <v>0</v>
      </c>
      <c r="CC106" s="7">
        <f t="shared" si="14"/>
        <v>0</v>
      </c>
      <c r="CD106" s="7">
        <f t="shared" si="14"/>
        <v>0</v>
      </c>
      <c r="CE106" s="7">
        <f t="shared" si="14"/>
        <v>0</v>
      </c>
      <c r="CF106" s="7">
        <f t="shared" si="14"/>
        <v>0</v>
      </c>
      <c r="CG106" s="7">
        <f t="shared" si="14"/>
        <v>0</v>
      </c>
      <c r="CH106" s="7">
        <f t="shared" si="14"/>
        <v>0</v>
      </c>
      <c r="CI106" s="7">
        <f t="shared" si="14"/>
        <v>0</v>
      </c>
      <c r="CJ106" s="7">
        <f t="shared" si="14"/>
        <v>0</v>
      </c>
      <c r="CK106" s="7">
        <f t="shared" si="14"/>
        <v>0</v>
      </c>
      <c r="CL106" s="7">
        <f t="shared" si="14"/>
        <v>0</v>
      </c>
      <c r="CM106" s="7">
        <f t="shared" si="14"/>
        <v>0</v>
      </c>
      <c r="CN106" s="7">
        <f t="shared" si="14"/>
        <v>0</v>
      </c>
      <c r="CO106" s="7">
        <f t="shared" si="14"/>
        <v>0</v>
      </c>
      <c r="CP106" s="7">
        <f t="shared" si="14"/>
        <v>0</v>
      </c>
      <c r="CQ106" s="7">
        <f t="shared" si="14"/>
        <v>0</v>
      </c>
      <c r="CR106" s="7">
        <f t="shared" si="14"/>
        <v>0</v>
      </c>
      <c r="CS106" s="7">
        <f t="shared" si="14"/>
        <v>0</v>
      </c>
      <c r="CT106" s="7">
        <f t="shared" si="14"/>
        <v>0</v>
      </c>
      <c r="CU106" s="7">
        <f t="shared" si="14"/>
        <v>0</v>
      </c>
      <c r="CV106" s="7">
        <f t="shared" si="14"/>
        <v>0</v>
      </c>
      <c r="CW106" s="7">
        <f t="shared" si="14"/>
        <v>0</v>
      </c>
      <c r="CX106" s="7">
        <f t="shared" si="14"/>
        <v>0</v>
      </c>
      <c r="CY106" s="7">
        <f t="shared" ref="CY106:DR106" si="15">SUM(CY33:CY56)</f>
        <v>0</v>
      </c>
      <c r="CZ106" s="7">
        <f t="shared" si="15"/>
        <v>0</v>
      </c>
      <c r="DA106" s="7">
        <f t="shared" si="15"/>
        <v>0</v>
      </c>
      <c r="DB106" s="7">
        <f t="shared" si="15"/>
        <v>0</v>
      </c>
      <c r="DC106" s="7">
        <f t="shared" si="15"/>
        <v>0</v>
      </c>
      <c r="DD106" s="7">
        <f t="shared" si="15"/>
        <v>0</v>
      </c>
      <c r="DE106" s="7">
        <f t="shared" si="15"/>
        <v>0</v>
      </c>
      <c r="DF106" s="7">
        <f t="shared" si="15"/>
        <v>0</v>
      </c>
      <c r="DG106" s="7">
        <f t="shared" si="15"/>
        <v>0</v>
      </c>
      <c r="DH106" s="7">
        <f t="shared" si="15"/>
        <v>0</v>
      </c>
      <c r="DI106" s="7">
        <f t="shared" si="15"/>
        <v>0</v>
      </c>
      <c r="DJ106" s="7">
        <f t="shared" si="15"/>
        <v>0</v>
      </c>
      <c r="DK106" s="7">
        <f t="shared" si="15"/>
        <v>0</v>
      </c>
      <c r="DL106" s="7">
        <f t="shared" si="15"/>
        <v>0</v>
      </c>
      <c r="DM106" s="7">
        <f t="shared" si="15"/>
        <v>0</v>
      </c>
      <c r="DN106" s="7">
        <f t="shared" si="15"/>
        <v>0</v>
      </c>
      <c r="DO106" s="7">
        <f t="shared" si="15"/>
        <v>0</v>
      </c>
      <c r="DP106" s="7">
        <f t="shared" si="15"/>
        <v>0</v>
      </c>
      <c r="DQ106" s="7">
        <f t="shared" si="15"/>
        <v>0</v>
      </c>
      <c r="DR106" s="7">
        <f t="shared" si="15"/>
        <v>0</v>
      </c>
      <c r="DS106" s="11"/>
      <c r="DT106" s="12"/>
      <c r="DU106" s="12"/>
      <c r="DV106" s="12"/>
      <c r="DW106" s="12"/>
      <c r="DX106" s="12"/>
      <c r="DY106" s="12"/>
      <c r="DZ106" s="12"/>
      <c r="EA106" s="55"/>
      <c r="EB106" s="55"/>
      <c r="EC106" s="55"/>
      <c r="ED106" s="55"/>
      <c r="EE106" s="54"/>
      <c r="EF106" s="54"/>
      <c r="EG106" s="54"/>
      <c r="EH106" s="10"/>
    </row>
    <row r="107" spans="2:138" ht="20.25" customHeight="1" x14ac:dyDescent="0.3">
      <c r="B107" s="6" t="s">
        <v>123</v>
      </c>
      <c r="C107" s="7">
        <f>SUM(C57:C80)</f>
        <v>0</v>
      </c>
      <c r="D107" s="7">
        <f t="shared" ref="D107:BO107" si="16">SUM(D57:D80)</f>
        <v>0</v>
      </c>
      <c r="E107" s="7">
        <f t="shared" si="16"/>
        <v>0</v>
      </c>
      <c r="F107" s="7">
        <f t="shared" si="16"/>
        <v>0</v>
      </c>
      <c r="G107" s="7">
        <f t="shared" si="16"/>
        <v>0</v>
      </c>
      <c r="H107" s="7">
        <f t="shared" si="16"/>
        <v>0</v>
      </c>
      <c r="I107" s="7">
        <f t="shared" si="16"/>
        <v>0</v>
      </c>
      <c r="J107" s="7">
        <f t="shared" si="16"/>
        <v>0</v>
      </c>
      <c r="K107" s="7">
        <f t="shared" si="16"/>
        <v>0</v>
      </c>
      <c r="L107" s="7">
        <f t="shared" si="16"/>
        <v>0</v>
      </c>
      <c r="M107" s="7">
        <f t="shared" si="16"/>
        <v>0</v>
      </c>
      <c r="N107" s="7">
        <f t="shared" si="16"/>
        <v>0</v>
      </c>
      <c r="O107" s="7">
        <f t="shared" si="16"/>
        <v>0</v>
      </c>
      <c r="P107" s="7">
        <f t="shared" si="16"/>
        <v>0</v>
      </c>
      <c r="Q107" s="7">
        <f t="shared" si="16"/>
        <v>0</v>
      </c>
      <c r="R107" s="7">
        <f t="shared" si="16"/>
        <v>0</v>
      </c>
      <c r="S107" s="7">
        <f t="shared" si="16"/>
        <v>0</v>
      </c>
      <c r="T107" s="7">
        <f t="shared" si="16"/>
        <v>0</v>
      </c>
      <c r="U107" s="7">
        <f t="shared" si="16"/>
        <v>0</v>
      </c>
      <c r="V107" s="7">
        <f t="shared" si="16"/>
        <v>0</v>
      </c>
      <c r="W107" s="7">
        <f t="shared" si="16"/>
        <v>0</v>
      </c>
      <c r="X107" s="7">
        <f t="shared" si="16"/>
        <v>0</v>
      </c>
      <c r="Y107" s="7">
        <f t="shared" si="16"/>
        <v>0</v>
      </c>
      <c r="Z107" s="7">
        <f t="shared" si="16"/>
        <v>0</v>
      </c>
      <c r="AA107" s="7">
        <f t="shared" si="16"/>
        <v>0</v>
      </c>
      <c r="AB107" s="7">
        <f t="shared" si="16"/>
        <v>0</v>
      </c>
      <c r="AC107" s="7">
        <f t="shared" si="16"/>
        <v>0</v>
      </c>
      <c r="AD107" s="7">
        <f t="shared" si="16"/>
        <v>0</v>
      </c>
      <c r="AE107" s="7">
        <f t="shared" si="16"/>
        <v>0</v>
      </c>
      <c r="AF107" s="7">
        <f t="shared" si="16"/>
        <v>0</v>
      </c>
      <c r="AG107" s="7">
        <f t="shared" si="16"/>
        <v>0</v>
      </c>
      <c r="AH107" s="7">
        <f t="shared" si="16"/>
        <v>0</v>
      </c>
      <c r="AI107" s="7">
        <f t="shared" si="16"/>
        <v>0</v>
      </c>
      <c r="AJ107" s="7">
        <f t="shared" si="16"/>
        <v>0</v>
      </c>
      <c r="AK107" s="7">
        <f t="shared" si="16"/>
        <v>0</v>
      </c>
      <c r="AL107" s="7">
        <f t="shared" si="16"/>
        <v>0</v>
      </c>
      <c r="AM107" s="7">
        <f t="shared" si="16"/>
        <v>0</v>
      </c>
      <c r="AN107" s="7">
        <f t="shared" si="16"/>
        <v>0</v>
      </c>
      <c r="AO107" s="7">
        <f t="shared" si="16"/>
        <v>0</v>
      </c>
      <c r="AP107" s="7">
        <f t="shared" si="16"/>
        <v>0</v>
      </c>
      <c r="AQ107" s="7">
        <f t="shared" si="16"/>
        <v>0</v>
      </c>
      <c r="AR107" s="7">
        <f t="shared" si="16"/>
        <v>0</v>
      </c>
      <c r="AS107" s="7">
        <f t="shared" si="16"/>
        <v>0</v>
      </c>
      <c r="AT107" s="7">
        <f t="shared" si="16"/>
        <v>0</v>
      </c>
      <c r="AU107" s="7">
        <f t="shared" si="16"/>
        <v>0</v>
      </c>
      <c r="AV107" s="7">
        <f t="shared" si="16"/>
        <v>0</v>
      </c>
      <c r="AW107" s="7">
        <f t="shared" si="16"/>
        <v>0</v>
      </c>
      <c r="AX107" s="7">
        <f t="shared" si="16"/>
        <v>0</v>
      </c>
      <c r="AY107" s="7">
        <f t="shared" si="16"/>
        <v>0</v>
      </c>
      <c r="AZ107" s="7">
        <f t="shared" si="16"/>
        <v>0</v>
      </c>
      <c r="BA107" s="7">
        <f t="shared" si="16"/>
        <v>0</v>
      </c>
      <c r="BB107" s="7">
        <f t="shared" si="16"/>
        <v>0</v>
      </c>
      <c r="BC107" s="7">
        <f t="shared" si="16"/>
        <v>0</v>
      </c>
      <c r="BD107" s="7">
        <f t="shared" si="16"/>
        <v>0</v>
      </c>
      <c r="BE107" s="7">
        <f t="shared" si="16"/>
        <v>0</v>
      </c>
      <c r="BF107" s="7">
        <f t="shared" si="16"/>
        <v>0</v>
      </c>
      <c r="BG107" s="7">
        <f t="shared" si="16"/>
        <v>0</v>
      </c>
      <c r="BH107" s="7">
        <f t="shared" si="16"/>
        <v>0</v>
      </c>
      <c r="BI107" s="7">
        <f t="shared" si="16"/>
        <v>0</v>
      </c>
      <c r="BJ107" s="7">
        <f t="shared" si="16"/>
        <v>0</v>
      </c>
      <c r="BK107" s="7">
        <f t="shared" si="16"/>
        <v>0</v>
      </c>
      <c r="BL107" s="7">
        <f t="shared" si="16"/>
        <v>0</v>
      </c>
      <c r="BM107" s="7">
        <f t="shared" si="16"/>
        <v>0</v>
      </c>
      <c r="BN107" s="7">
        <f t="shared" si="16"/>
        <v>0</v>
      </c>
      <c r="BO107" s="7">
        <f t="shared" si="16"/>
        <v>0</v>
      </c>
      <c r="BP107" s="7">
        <f t="shared" ref="BP107:CX107" si="17">SUM(BP57:BP80)</f>
        <v>0</v>
      </c>
      <c r="BQ107" s="7">
        <f t="shared" si="17"/>
        <v>0</v>
      </c>
      <c r="BR107" s="7">
        <f t="shared" si="17"/>
        <v>0</v>
      </c>
      <c r="BS107" s="7">
        <f t="shared" si="17"/>
        <v>0</v>
      </c>
      <c r="BT107" s="7">
        <f t="shared" si="17"/>
        <v>0</v>
      </c>
      <c r="BU107" s="7">
        <f t="shared" si="17"/>
        <v>0</v>
      </c>
      <c r="BV107" s="7">
        <f t="shared" si="17"/>
        <v>0</v>
      </c>
      <c r="BW107" s="7">
        <f t="shared" si="17"/>
        <v>0</v>
      </c>
      <c r="BX107" s="7">
        <f t="shared" si="17"/>
        <v>0</v>
      </c>
      <c r="BY107" s="7">
        <f t="shared" si="17"/>
        <v>0</v>
      </c>
      <c r="BZ107" s="7">
        <f t="shared" si="17"/>
        <v>0</v>
      </c>
      <c r="CA107" s="7">
        <f t="shared" si="17"/>
        <v>0</v>
      </c>
      <c r="CB107" s="7">
        <f t="shared" si="17"/>
        <v>0</v>
      </c>
      <c r="CC107" s="7">
        <f t="shared" si="17"/>
        <v>0</v>
      </c>
      <c r="CD107" s="7">
        <f t="shared" si="17"/>
        <v>0</v>
      </c>
      <c r="CE107" s="7">
        <f t="shared" si="17"/>
        <v>0</v>
      </c>
      <c r="CF107" s="7">
        <f t="shared" si="17"/>
        <v>0</v>
      </c>
      <c r="CG107" s="7">
        <f t="shared" si="17"/>
        <v>0</v>
      </c>
      <c r="CH107" s="7">
        <f t="shared" si="17"/>
        <v>0</v>
      </c>
      <c r="CI107" s="7">
        <f t="shared" si="17"/>
        <v>0</v>
      </c>
      <c r="CJ107" s="7">
        <f t="shared" si="17"/>
        <v>0</v>
      </c>
      <c r="CK107" s="7">
        <f t="shared" si="17"/>
        <v>0</v>
      </c>
      <c r="CL107" s="7">
        <f t="shared" si="17"/>
        <v>0</v>
      </c>
      <c r="CM107" s="7">
        <f t="shared" si="17"/>
        <v>0</v>
      </c>
      <c r="CN107" s="7">
        <f t="shared" si="17"/>
        <v>0</v>
      </c>
      <c r="CO107" s="7">
        <f t="shared" si="17"/>
        <v>0</v>
      </c>
      <c r="CP107" s="7">
        <f t="shared" si="17"/>
        <v>0</v>
      </c>
      <c r="CQ107" s="7">
        <f t="shared" si="17"/>
        <v>0</v>
      </c>
      <c r="CR107" s="7">
        <f t="shared" si="17"/>
        <v>0</v>
      </c>
      <c r="CS107" s="7">
        <f t="shared" si="17"/>
        <v>0</v>
      </c>
      <c r="CT107" s="7">
        <f t="shared" si="17"/>
        <v>0</v>
      </c>
      <c r="CU107" s="7">
        <f t="shared" si="17"/>
        <v>0</v>
      </c>
      <c r="CV107" s="7">
        <f t="shared" si="17"/>
        <v>0</v>
      </c>
      <c r="CW107" s="7">
        <f t="shared" si="17"/>
        <v>0</v>
      </c>
      <c r="CX107" s="7">
        <f t="shared" si="17"/>
        <v>0</v>
      </c>
      <c r="CY107" s="7">
        <f t="shared" ref="CY107:DR107" si="18">SUM(CY57:CY80)</f>
        <v>0</v>
      </c>
      <c r="CZ107" s="7">
        <f t="shared" si="18"/>
        <v>0</v>
      </c>
      <c r="DA107" s="7">
        <f t="shared" si="18"/>
        <v>0</v>
      </c>
      <c r="DB107" s="7">
        <f t="shared" si="18"/>
        <v>0</v>
      </c>
      <c r="DC107" s="7">
        <f t="shared" si="18"/>
        <v>0</v>
      </c>
      <c r="DD107" s="7">
        <f t="shared" si="18"/>
        <v>0</v>
      </c>
      <c r="DE107" s="7">
        <f t="shared" si="18"/>
        <v>0</v>
      </c>
      <c r="DF107" s="7">
        <f t="shared" si="18"/>
        <v>0</v>
      </c>
      <c r="DG107" s="7">
        <f t="shared" si="18"/>
        <v>0</v>
      </c>
      <c r="DH107" s="7">
        <f t="shared" si="18"/>
        <v>0</v>
      </c>
      <c r="DI107" s="7">
        <f t="shared" si="18"/>
        <v>0</v>
      </c>
      <c r="DJ107" s="7">
        <f t="shared" si="18"/>
        <v>0</v>
      </c>
      <c r="DK107" s="7">
        <f t="shared" si="18"/>
        <v>0</v>
      </c>
      <c r="DL107" s="7">
        <f t="shared" si="18"/>
        <v>0</v>
      </c>
      <c r="DM107" s="7">
        <f t="shared" si="18"/>
        <v>0</v>
      </c>
      <c r="DN107" s="7">
        <f t="shared" si="18"/>
        <v>0</v>
      </c>
      <c r="DO107" s="7">
        <f t="shared" si="18"/>
        <v>0</v>
      </c>
      <c r="DP107" s="7">
        <f t="shared" si="18"/>
        <v>0</v>
      </c>
      <c r="DQ107" s="7">
        <f t="shared" si="18"/>
        <v>0</v>
      </c>
      <c r="DR107" s="7">
        <f t="shared" si="18"/>
        <v>0</v>
      </c>
      <c r="DS107" s="12"/>
      <c r="DT107" s="12"/>
      <c r="DU107" s="12"/>
      <c r="DV107" s="12"/>
      <c r="DW107" s="12"/>
      <c r="DX107" s="12"/>
      <c r="DY107" s="12"/>
      <c r="DZ107" s="12"/>
      <c r="EA107" s="55"/>
      <c r="EB107" s="55"/>
      <c r="EC107" s="55"/>
      <c r="ED107" s="55"/>
      <c r="EE107" s="54"/>
      <c r="EF107" s="54"/>
      <c r="EG107" s="54"/>
      <c r="EH107" s="10"/>
    </row>
    <row r="108" spans="2:138" ht="20.25" customHeight="1" x14ac:dyDescent="0.3">
      <c r="B108" s="6" t="s">
        <v>124</v>
      </c>
      <c r="C108" s="7">
        <f>SUM(C81:C104)</f>
        <v>0</v>
      </c>
      <c r="D108" s="7">
        <f t="shared" ref="D108:BO108" si="19">SUM(D81:D104)</f>
        <v>0</v>
      </c>
      <c r="E108" s="7">
        <f t="shared" si="19"/>
        <v>0</v>
      </c>
      <c r="F108" s="7">
        <f t="shared" si="19"/>
        <v>0</v>
      </c>
      <c r="G108" s="7">
        <f t="shared" si="19"/>
        <v>0</v>
      </c>
      <c r="H108" s="7">
        <f t="shared" si="19"/>
        <v>0</v>
      </c>
      <c r="I108" s="7">
        <f t="shared" si="19"/>
        <v>0</v>
      </c>
      <c r="J108" s="7">
        <f t="shared" si="19"/>
        <v>0</v>
      </c>
      <c r="K108" s="7">
        <f t="shared" si="19"/>
        <v>0</v>
      </c>
      <c r="L108" s="7">
        <f t="shared" si="19"/>
        <v>0</v>
      </c>
      <c r="M108" s="7">
        <f t="shared" si="19"/>
        <v>0</v>
      </c>
      <c r="N108" s="7">
        <f t="shared" si="19"/>
        <v>0</v>
      </c>
      <c r="O108" s="7">
        <f t="shared" si="19"/>
        <v>0</v>
      </c>
      <c r="P108" s="7">
        <f t="shared" si="19"/>
        <v>0</v>
      </c>
      <c r="Q108" s="7">
        <f t="shared" si="19"/>
        <v>0</v>
      </c>
      <c r="R108" s="7">
        <f t="shared" si="19"/>
        <v>0</v>
      </c>
      <c r="S108" s="7">
        <f t="shared" si="19"/>
        <v>0</v>
      </c>
      <c r="T108" s="7">
        <f t="shared" si="19"/>
        <v>0</v>
      </c>
      <c r="U108" s="7">
        <f t="shared" si="19"/>
        <v>0</v>
      </c>
      <c r="V108" s="7">
        <f t="shared" si="19"/>
        <v>0</v>
      </c>
      <c r="W108" s="7">
        <f t="shared" si="19"/>
        <v>0</v>
      </c>
      <c r="X108" s="7">
        <f t="shared" si="19"/>
        <v>0</v>
      </c>
      <c r="Y108" s="7">
        <f t="shared" si="19"/>
        <v>0</v>
      </c>
      <c r="Z108" s="7">
        <f t="shared" si="19"/>
        <v>0</v>
      </c>
      <c r="AA108" s="7">
        <f t="shared" si="19"/>
        <v>0</v>
      </c>
      <c r="AB108" s="7">
        <f t="shared" si="19"/>
        <v>0</v>
      </c>
      <c r="AC108" s="7">
        <f t="shared" si="19"/>
        <v>0</v>
      </c>
      <c r="AD108" s="7">
        <f t="shared" si="19"/>
        <v>0</v>
      </c>
      <c r="AE108" s="7">
        <f t="shared" si="19"/>
        <v>0</v>
      </c>
      <c r="AF108" s="7">
        <f t="shared" si="19"/>
        <v>0</v>
      </c>
      <c r="AG108" s="7">
        <f t="shared" si="19"/>
        <v>0</v>
      </c>
      <c r="AH108" s="7">
        <f t="shared" si="19"/>
        <v>0</v>
      </c>
      <c r="AI108" s="7">
        <f t="shared" si="19"/>
        <v>0</v>
      </c>
      <c r="AJ108" s="7">
        <f t="shared" si="19"/>
        <v>0</v>
      </c>
      <c r="AK108" s="7">
        <f t="shared" si="19"/>
        <v>0</v>
      </c>
      <c r="AL108" s="7">
        <f t="shared" si="19"/>
        <v>0</v>
      </c>
      <c r="AM108" s="7">
        <f t="shared" si="19"/>
        <v>0</v>
      </c>
      <c r="AN108" s="7">
        <f t="shared" si="19"/>
        <v>0</v>
      </c>
      <c r="AO108" s="7">
        <f t="shared" si="19"/>
        <v>0</v>
      </c>
      <c r="AP108" s="7">
        <f t="shared" si="19"/>
        <v>0</v>
      </c>
      <c r="AQ108" s="7">
        <f t="shared" si="19"/>
        <v>0</v>
      </c>
      <c r="AR108" s="7">
        <f t="shared" si="19"/>
        <v>0</v>
      </c>
      <c r="AS108" s="7">
        <f t="shared" si="19"/>
        <v>0</v>
      </c>
      <c r="AT108" s="7">
        <f t="shared" si="19"/>
        <v>0</v>
      </c>
      <c r="AU108" s="7">
        <f t="shared" si="19"/>
        <v>0</v>
      </c>
      <c r="AV108" s="7">
        <f t="shared" si="19"/>
        <v>0</v>
      </c>
      <c r="AW108" s="7">
        <f t="shared" si="19"/>
        <v>0</v>
      </c>
      <c r="AX108" s="7">
        <f t="shared" si="19"/>
        <v>0</v>
      </c>
      <c r="AY108" s="7">
        <f t="shared" si="19"/>
        <v>0</v>
      </c>
      <c r="AZ108" s="7">
        <f t="shared" si="19"/>
        <v>0</v>
      </c>
      <c r="BA108" s="7">
        <f t="shared" si="19"/>
        <v>0</v>
      </c>
      <c r="BB108" s="7">
        <f t="shared" si="19"/>
        <v>0</v>
      </c>
      <c r="BC108" s="7">
        <f t="shared" si="19"/>
        <v>0</v>
      </c>
      <c r="BD108" s="7">
        <f t="shared" si="19"/>
        <v>0</v>
      </c>
      <c r="BE108" s="7">
        <f t="shared" si="19"/>
        <v>0</v>
      </c>
      <c r="BF108" s="7">
        <f t="shared" si="19"/>
        <v>0</v>
      </c>
      <c r="BG108" s="7">
        <f t="shared" si="19"/>
        <v>0</v>
      </c>
      <c r="BH108" s="7">
        <f t="shared" si="19"/>
        <v>0</v>
      </c>
      <c r="BI108" s="7">
        <f t="shared" si="19"/>
        <v>0</v>
      </c>
      <c r="BJ108" s="7">
        <f t="shared" si="19"/>
        <v>0</v>
      </c>
      <c r="BK108" s="7">
        <f t="shared" si="19"/>
        <v>0</v>
      </c>
      <c r="BL108" s="7">
        <f t="shared" si="19"/>
        <v>0</v>
      </c>
      <c r="BM108" s="7">
        <f t="shared" si="19"/>
        <v>0</v>
      </c>
      <c r="BN108" s="7">
        <f t="shared" si="19"/>
        <v>0</v>
      </c>
      <c r="BO108" s="7">
        <f t="shared" si="19"/>
        <v>0</v>
      </c>
      <c r="BP108" s="7">
        <f t="shared" ref="BP108:CX108" si="20">SUM(BP81:BP104)</f>
        <v>0</v>
      </c>
      <c r="BQ108" s="7">
        <f t="shared" si="20"/>
        <v>0</v>
      </c>
      <c r="BR108" s="7">
        <f t="shared" si="20"/>
        <v>0</v>
      </c>
      <c r="BS108" s="7">
        <f t="shared" si="20"/>
        <v>0</v>
      </c>
      <c r="BT108" s="7">
        <f t="shared" si="20"/>
        <v>0</v>
      </c>
      <c r="BU108" s="7">
        <f t="shared" si="20"/>
        <v>0</v>
      </c>
      <c r="BV108" s="7">
        <f t="shared" si="20"/>
        <v>0</v>
      </c>
      <c r="BW108" s="7">
        <f t="shared" si="20"/>
        <v>0</v>
      </c>
      <c r="BX108" s="7">
        <f t="shared" si="20"/>
        <v>0</v>
      </c>
      <c r="BY108" s="7">
        <f t="shared" si="20"/>
        <v>0</v>
      </c>
      <c r="BZ108" s="7">
        <f t="shared" si="20"/>
        <v>0</v>
      </c>
      <c r="CA108" s="7">
        <f t="shared" si="20"/>
        <v>0</v>
      </c>
      <c r="CB108" s="7">
        <f t="shared" si="20"/>
        <v>0</v>
      </c>
      <c r="CC108" s="7">
        <f t="shared" si="20"/>
        <v>0</v>
      </c>
      <c r="CD108" s="7">
        <f t="shared" si="20"/>
        <v>0</v>
      </c>
      <c r="CE108" s="7">
        <f t="shared" si="20"/>
        <v>0</v>
      </c>
      <c r="CF108" s="7">
        <f t="shared" si="20"/>
        <v>0</v>
      </c>
      <c r="CG108" s="7">
        <f t="shared" si="20"/>
        <v>0</v>
      </c>
      <c r="CH108" s="7">
        <f t="shared" si="20"/>
        <v>0</v>
      </c>
      <c r="CI108" s="7">
        <f t="shared" si="20"/>
        <v>0</v>
      </c>
      <c r="CJ108" s="7">
        <f t="shared" si="20"/>
        <v>0</v>
      </c>
      <c r="CK108" s="7">
        <f t="shared" si="20"/>
        <v>0</v>
      </c>
      <c r="CL108" s="7">
        <f t="shared" si="20"/>
        <v>0</v>
      </c>
      <c r="CM108" s="7">
        <f t="shared" si="20"/>
        <v>0</v>
      </c>
      <c r="CN108" s="7">
        <f t="shared" si="20"/>
        <v>0</v>
      </c>
      <c r="CO108" s="7">
        <f t="shared" si="20"/>
        <v>0</v>
      </c>
      <c r="CP108" s="7">
        <f t="shared" si="20"/>
        <v>0</v>
      </c>
      <c r="CQ108" s="7">
        <f t="shared" si="20"/>
        <v>0</v>
      </c>
      <c r="CR108" s="7">
        <f t="shared" si="20"/>
        <v>0</v>
      </c>
      <c r="CS108" s="7">
        <f t="shared" si="20"/>
        <v>0</v>
      </c>
      <c r="CT108" s="7">
        <f t="shared" si="20"/>
        <v>0</v>
      </c>
      <c r="CU108" s="7">
        <f t="shared" si="20"/>
        <v>0</v>
      </c>
      <c r="CV108" s="7">
        <f t="shared" si="20"/>
        <v>0</v>
      </c>
      <c r="CW108" s="7">
        <f t="shared" si="20"/>
        <v>0</v>
      </c>
      <c r="CX108" s="7">
        <f t="shared" si="20"/>
        <v>0</v>
      </c>
      <c r="CY108" s="7">
        <f t="shared" ref="CY108:DR108" si="21">SUM(CY81:CY104)</f>
        <v>0</v>
      </c>
      <c r="CZ108" s="7">
        <f t="shared" si="21"/>
        <v>0</v>
      </c>
      <c r="DA108" s="7">
        <f t="shared" si="21"/>
        <v>0</v>
      </c>
      <c r="DB108" s="7">
        <f t="shared" si="21"/>
        <v>0</v>
      </c>
      <c r="DC108" s="7">
        <f t="shared" si="21"/>
        <v>0</v>
      </c>
      <c r="DD108" s="7">
        <f t="shared" si="21"/>
        <v>0</v>
      </c>
      <c r="DE108" s="7">
        <f t="shared" si="21"/>
        <v>0</v>
      </c>
      <c r="DF108" s="7">
        <f t="shared" si="21"/>
        <v>0</v>
      </c>
      <c r="DG108" s="7">
        <f t="shared" si="21"/>
        <v>0</v>
      </c>
      <c r="DH108" s="7">
        <f t="shared" si="21"/>
        <v>0</v>
      </c>
      <c r="DI108" s="7">
        <f t="shared" si="21"/>
        <v>0</v>
      </c>
      <c r="DJ108" s="7">
        <f t="shared" si="21"/>
        <v>0</v>
      </c>
      <c r="DK108" s="7">
        <f t="shared" si="21"/>
        <v>0</v>
      </c>
      <c r="DL108" s="7">
        <f t="shared" si="21"/>
        <v>0</v>
      </c>
      <c r="DM108" s="7">
        <f t="shared" si="21"/>
        <v>0</v>
      </c>
      <c r="DN108" s="7">
        <f t="shared" si="21"/>
        <v>0</v>
      </c>
      <c r="DO108" s="7">
        <f t="shared" si="21"/>
        <v>0</v>
      </c>
      <c r="DP108" s="7">
        <f t="shared" si="21"/>
        <v>0</v>
      </c>
      <c r="DQ108" s="7">
        <f t="shared" si="21"/>
        <v>0</v>
      </c>
      <c r="DR108" s="7">
        <f t="shared" si="21"/>
        <v>0</v>
      </c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0"/>
      <c r="EF108" s="10"/>
      <c r="EG108" s="10"/>
      <c r="EH108" s="10"/>
    </row>
    <row r="109" spans="2:138" ht="20.25" x14ac:dyDescent="0.3">
      <c r="EH109" s="10"/>
    </row>
  </sheetData>
  <mergeCells count="29">
    <mergeCell ref="EH7:EH8"/>
    <mergeCell ref="EF7:EF8"/>
    <mergeCell ref="W7:AF7"/>
    <mergeCell ref="B2:EH2"/>
    <mergeCell ref="B3:C3"/>
    <mergeCell ref="D3:K3"/>
    <mergeCell ref="L3:EH5"/>
    <mergeCell ref="B4:C4"/>
    <mergeCell ref="D4:K4"/>
    <mergeCell ref="B5:C5"/>
    <mergeCell ref="D5:E5"/>
    <mergeCell ref="F5:G5"/>
    <mergeCell ref="H5:K5"/>
    <mergeCell ref="B6:EH6"/>
    <mergeCell ref="AG7:AP7"/>
    <mergeCell ref="AQ7:AZ7"/>
    <mergeCell ref="B7:B8"/>
    <mergeCell ref="EG7:EG8"/>
    <mergeCell ref="C7:L7"/>
    <mergeCell ref="M7:V7"/>
    <mergeCell ref="BU7:CD7"/>
    <mergeCell ref="CE7:CN7"/>
    <mergeCell ref="CO7:CX7"/>
    <mergeCell ref="EE7:EE8"/>
    <mergeCell ref="BA7:BJ7"/>
    <mergeCell ref="BK7:BT7"/>
    <mergeCell ref="CY7:DH7"/>
    <mergeCell ref="DI7:DR7"/>
    <mergeCell ref="DS7:ED7"/>
  </mergeCells>
  <pageMargins left="0.7" right="0.7" top="0.75" bottom="0.75" header="0.3" footer="0.3"/>
  <ignoredErrors>
    <ignoredError sqref="EG9:EG104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1:EH109"/>
  <sheetViews>
    <sheetView zoomScale="70" zoomScaleNormal="70" workbookViewId="0"/>
  </sheetViews>
  <sheetFormatPr baseColWidth="10" defaultColWidth="9.140625" defaultRowHeight="15" x14ac:dyDescent="0.25"/>
  <cols>
    <col min="1" max="1" width="13.5703125" bestFit="1" customWidth="1"/>
    <col min="2" max="2" width="17" bestFit="1" customWidth="1"/>
    <col min="3" max="102" width="13.5703125" style="1" bestFit="1" customWidth="1"/>
    <col min="103" max="122" width="13.5703125" style="84" customWidth="1"/>
    <col min="123" max="132" width="13.5703125" style="1" bestFit="1" customWidth="1"/>
    <col min="133" max="134" width="13.5703125" style="84" customWidth="1"/>
    <col min="135" max="137" width="13.5703125" style="2" bestFit="1" customWidth="1"/>
    <col min="138" max="138" width="13.5703125" style="1" bestFit="1" customWidth="1"/>
  </cols>
  <sheetData>
    <row r="1" spans="2:138" ht="18.75" customHeight="1" x14ac:dyDescent="0.25"/>
    <row r="2" spans="2:138" ht="30" customHeight="1" x14ac:dyDescent="0.4">
      <c r="B2" s="198" t="s">
        <v>22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99"/>
      <c r="BT2" s="1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  <c r="CS2" s="199"/>
      <c r="CT2" s="199"/>
      <c r="CU2" s="199"/>
      <c r="CV2" s="199"/>
      <c r="CW2" s="199"/>
      <c r="CX2" s="199"/>
      <c r="CY2" s="199"/>
      <c r="CZ2" s="199"/>
      <c r="DA2" s="199"/>
      <c r="DB2" s="199"/>
      <c r="DC2" s="199"/>
      <c r="DD2" s="199"/>
      <c r="DE2" s="199"/>
      <c r="DF2" s="199"/>
      <c r="DG2" s="199"/>
      <c r="DH2" s="199"/>
      <c r="DI2" s="199"/>
      <c r="DJ2" s="199"/>
      <c r="DK2" s="199"/>
      <c r="DL2" s="199"/>
      <c r="DM2" s="199"/>
      <c r="DN2" s="199"/>
      <c r="DO2" s="199"/>
      <c r="DP2" s="199"/>
      <c r="DQ2" s="199"/>
      <c r="DR2" s="199"/>
      <c r="DS2" s="199"/>
      <c r="DT2" s="199"/>
      <c r="DU2" s="199"/>
      <c r="DV2" s="199"/>
      <c r="DW2" s="199"/>
      <c r="DX2" s="199"/>
      <c r="DY2" s="199"/>
      <c r="DZ2" s="199"/>
      <c r="EA2" s="199"/>
      <c r="EB2" s="199"/>
      <c r="EC2" s="199"/>
      <c r="ED2" s="199"/>
      <c r="EE2" s="199"/>
      <c r="EF2" s="199"/>
      <c r="EG2" s="199"/>
      <c r="EH2" s="200"/>
    </row>
    <row r="3" spans="2:138" ht="20.25" customHeight="1" x14ac:dyDescent="0.3">
      <c r="B3" s="201" t="s">
        <v>125</v>
      </c>
      <c r="C3" s="202"/>
      <c r="D3" s="203" t="str">
        <f>Inicio!G5</f>
        <v/>
      </c>
      <c r="E3" s="203"/>
      <c r="F3" s="203"/>
      <c r="G3" s="203"/>
      <c r="H3" s="203"/>
      <c r="I3" s="203"/>
      <c r="J3" s="203"/>
      <c r="K3" s="203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5"/>
      <c r="DM3" s="205"/>
      <c r="DN3" s="205"/>
      <c r="DO3" s="205"/>
      <c r="DP3" s="205"/>
      <c r="DQ3" s="205"/>
      <c r="DR3" s="205"/>
      <c r="DS3" s="205"/>
      <c r="DT3" s="205"/>
      <c r="DU3" s="205"/>
      <c r="DV3" s="205"/>
      <c r="DW3" s="205"/>
      <c r="DX3" s="205"/>
      <c r="DY3" s="205"/>
      <c r="DZ3" s="205"/>
      <c r="EA3" s="205"/>
      <c r="EB3" s="205"/>
      <c r="EC3" s="205"/>
      <c r="ED3" s="205"/>
      <c r="EE3" s="205"/>
      <c r="EF3" s="205"/>
      <c r="EG3" s="205"/>
      <c r="EH3" s="206"/>
    </row>
    <row r="4" spans="2:138" ht="20.25" customHeight="1" x14ac:dyDescent="0.3">
      <c r="B4" s="201" t="s">
        <v>126</v>
      </c>
      <c r="C4" s="202"/>
      <c r="D4" s="204">
        <f>Inicio!G6</f>
        <v>45658</v>
      </c>
      <c r="E4" s="204"/>
      <c r="F4" s="204"/>
      <c r="G4" s="204"/>
      <c r="H4" s="204"/>
      <c r="I4" s="204"/>
      <c r="J4" s="204"/>
      <c r="K4" s="204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6"/>
    </row>
    <row r="5" spans="2:138" ht="20.25" customHeight="1" x14ac:dyDescent="0.3">
      <c r="B5" s="201" t="s">
        <v>127</v>
      </c>
      <c r="C5" s="202"/>
      <c r="D5" s="207" t="str">
        <f>Inicio!G8</f>
        <v>MIÉRCOLES</v>
      </c>
      <c r="E5" s="207"/>
      <c r="F5" s="202" t="s">
        <v>128</v>
      </c>
      <c r="G5" s="202"/>
      <c r="H5" s="207" t="str">
        <f>Inicio!G9</f>
        <v/>
      </c>
      <c r="I5" s="207"/>
      <c r="J5" s="207"/>
      <c r="K5" s="207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6"/>
    </row>
    <row r="6" spans="2:138" ht="20.25" customHeight="1" x14ac:dyDescent="0.3">
      <c r="B6" s="208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  <c r="CU6" s="209"/>
      <c r="CV6" s="209"/>
      <c r="CW6" s="209"/>
      <c r="CX6" s="209"/>
      <c r="CY6" s="209"/>
      <c r="CZ6" s="209"/>
      <c r="DA6" s="209"/>
      <c r="DB6" s="209"/>
      <c r="DC6" s="209"/>
      <c r="DD6" s="209"/>
      <c r="DE6" s="209"/>
      <c r="DF6" s="209"/>
      <c r="DG6" s="209"/>
      <c r="DH6" s="209"/>
      <c r="DI6" s="209"/>
      <c r="DJ6" s="209"/>
      <c r="DK6" s="209"/>
      <c r="DL6" s="209"/>
      <c r="DM6" s="209"/>
      <c r="DN6" s="209"/>
      <c r="DO6" s="209"/>
      <c r="DP6" s="209"/>
      <c r="DQ6" s="209"/>
      <c r="DR6" s="209"/>
      <c r="DS6" s="209"/>
      <c r="DT6" s="209"/>
      <c r="DU6" s="209"/>
      <c r="DV6" s="209"/>
      <c r="DW6" s="209"/>
      <c r="DX6" s="209"/>
      <c r="DY6" s="209"/>
      <c r="DZ6" s="209"/>
      <c r="EA6" s="209"/>
      <c r="EB6" s="209"/>
      <c r="EC6" s="209"/>
      <c r="ED6" s="209"/>
      <c r="EE6" s="209"/>
      <c r="EF6" s="209"/>
      <c r="EG6" s="209"/>
      <c r="EH6" s="210"/>
    </row>
    <row r="7" spans="2:138" ht="22.7" customHeight="1" x14ac:dyDescent="0.35">
      <c r="B7" s="217" t="s">
        <v>23</v>
      </c>
      <c r="C7" s="193" t="str">
        <f>Inicio!V4</f>
        <v>Auto</v>
      </c>
      <c r="D7" s="194"/>
      <c r="E7" s="194"/>
      <c r="F7" s="194"/>
      <c r="G7" s="194"/>
      <c r="H7" s="194"/>
      <c r="I7" s="194"/>
      <c r="J7" s="194"/>
      <c r="K7" s="194"/>
      <c r="L7" s="195"/>
      <c r="M7" s="193" t="str">
        <f>Inicio!V5</f>
        <v>Moto</v>
      </c>
      <c r="N7" s="194"/>
      <c r="O7" s="194"/>
      <c r="P7" s="194"/>
      <c r="Q7" s="194"/>
      <c r="R7" s="194"/>
      <c r="S7" s="194"/>
      <c r="T7" s="194"/>
      <c r="U7" s="194"/>
      <c r="V7" s="195"/>
      <c r="W7" s="193" t="str">
        <f>Inicio!V6</f>
        <v>Bus</v>
      </c>
      <c r="X7" s="194"/>
      <c r="Y7" s="194"/>
      <c r="Z7" s="194"/>
      <c r="AA7" s="194"/>
      <c r="AB7" s="194"/>
      <c r="AC7" s="194"/>
      <c r="AD7" s="194"/>
      <c r="AE7" s="194"/>
      <c r="AF7" s="195"/>
      <c r="AG7" s="220" t="str">
        <f>Inicio!V7</f>
        <v>Camion</v>
      </c>
      <c r="AH7" s="221"/>
      <c r="AI7" s="221"/>
      <c r="AJ7" s="221"/>
      <c r="AK7" s="221"/>
      <c r="AL7" s="221"/>
      <c r="AM7" s="221"/>
      <c r="AN7" s="221"/>
      <c r="AO7" s="221"/>
      <c r="AP7" s="222"/>
      <c r="AQ7" s="220" t="str">
        <f>Inicio!V8</f>
        <v>Bicicleta</v>
      </c>
      <c r="AR7" s="221"/>
      <c r="AS7" s="221"/>
      <c r="AT7" s="221"/>
      <c r="AU7" s="221"/>
      <c r="AV7" s="221"/>
      <c r="AW7" s="221"/>
      <c r="AX7" s="221"/>
      <c r="AY7" s="221"/>
      <c r="AZ7" s="222"/>
      <c r="BA7" s="220" t="str">
        <f>Inicio!V9</f>
        <v>Taxi</v>
      </c>
      <c r="BB7" s="221"/>
      <c r="BC7" s="221"/>
      <c r="BD7" s="221"/>
      <c r="BE7" s="221"/>
      <c r="BF7" s="221"/>
      <c r="BG7" s="221"/>
      <c r="BH7" s="221"/>
      <c r="BI7" s="221"/>
      <c r="BJ7" s="222"/>
      <c r="BK7" s="220" t="str">
        <f>Inicio!V10</f>
        <v>Van</v>
      </c>
      <c r="BL7" s="221"/>
      <c r="BM7" s="221"/>
      <c r="BN7" s="221"/>
      <c r="BO7" s="221"/>
      <c r="BP7" s="221"/>
      <c r="BQ7" s="221"/>
      <c r="BR7" s="221"/>
      <c r="BS7" s="221"/>
      <c r="BT7" s="222"/>
      <c r="BU7" s="220" t="str">
        <f>Inicio!V11</f>
        <v>Combi</v>
      </c>
      <c r="BV7" s="221"/>
      <c r="BW7" s="221"/>
      <c r="BX7" s="221"/>
      <c r="BY7" s="221"/>
      <c r="BZ7" s="221"/>
      <c r="CA7" s="221"/>
      <c r="CB7" s="221"/>
      <c r="CC7" s="221"/>
      <c r="CD7" s="222"/>
      <c r="CE7" s="220" t="str">
        <f>Inicio!V12</f>
        <v>Microbus</v>
      </c>
      <c r="CF7" s="221"/>
      <c r="CG7" s="221"/>
      <c r="CH7" s="221"/>
      <c r="CI7" s="221"/>
      <c r="CJ7" s="221"/>
      <c r="CK7" s="221"/>
      <c r="CL7" s="221"/>
      <c r="CM7" s="221"/>
      <c r="CN7" s="222"/>
      <c r="CO7" s="220" t="str">
        <f>Inicio!V13</f>
        <v>Mototaxi</v>
      </c>
      <c r="CP7" s="221"/>
      <c r="CQ7" s="221"/>
      <c r="CR7" s="221"/>
      <c r="CS7" s="221"/>
      <c r="CT7" s="221"/>
      <c r="CU7" s="221"/>
      <c r="CV7" s="221"/>
      <c r="CW7" s="221"/>
      <c r="CX7" s="222"/>
      <c r="CY7" s="220" t="str">
        <f>Inicio!V14</f>
        <v>Semi-trailer</v>
      </c>
      <c r="CZ7" s="221"/>
      <c r="DA7" s="221"/>
      <c r="DB7" s="221"/>
      <c r="DC7" s="221"/>
      <c r="DD7" s="221"/>
      <c r="DE7" s="221"/>
      <c r="DF7" s="221"/>
      <c r="DG7" s="221"/>
      <c r="DH7" s="222"/>
      <c r="DI7" s="220" t="str">
        <f>Inicio!V15</f>
        <v>Otros</v>
      </c>
      <c r="DJ7" s="221"/>
      <c r="DK7" s="221"/>
      <c r="DL7" s="221"/>
      <c r="DM7" s="221"/>
      <c r="DN7" s="221"/>
      <c r="DO7" s="221"/>
      <c r="DP7" s="221"/>
      <c r="DQ7" s="221"/>
      <c r="DR7" s="222"/>
      <c r="DS7" s="223" t="s">
        <v>24</v>
      </c>
      <c r="DT7" s="224"/>
      <c r="DU7" s="224"/>
      <c r="DV7" s="224"/>
      <c r="DW7" s="224"/>
      <c r="DX7" s="224"/>
      <c r="DY7" s="224"/>
      <c r="DZ7" s="224"/>
      <c r="EA7" s="224"/>
      <c r="EB7" s="225"/>
      <c r="EC7" s="82"/>
      <c r="ED7" s="82"/>
      <c r="EE7" s="196" t="s">
        <v>136</v>
      </c>
      <c r="EF7" s="196" t="s">
        <v>135</v>
      </c>
      <c r="EG7" s="196" t="s">
        <v>137</v>
      </c>
      <c r="EH7" s="196" t="s">
        <v>138</v>
      </c>
    </row>
    <row r="8" spans="2:138" ht="23.25" customHeight="1" x14ac:dyDescent="0.35">
      <c r="B8" s="219"/>
      <c r="C8" s="14" t="str">
        <f>IF(Inicio!$M24 = 0,"",Inicio!$M24)</f>
        <v/>
      </c>
      <c r="D8" s="14" t="str">
        <f>IF(Inicio!$M25 = 0,"",Inicio!$M25)</f>
        <v/>
      </c>
      <c r="E8" s="14" t="str">
        <f>IF(Inicio!$M26 = 0,"",Inicio!$M26)</f>
        <v/>
      </c>
      <c r="F8" s="14" t="str">
        <f>IF(Inicio!$M27 = 0,"",Inicio!$M27)</f>
        <v/>
      </c>
      <c r="G8" s="14" t="str">
        <f>IF(Inicio!$M28 = 0,"",Inicio!$M28)</f>
        <v/>
      </c>
      <c r="H8" s="14" t="str">
        <f>IF(Inicio!$M29 = 0,"",Inicio!$M29)</f>
        <v/>
      </c>
      <c r="I8" s="14" t="str">
        <f>IF(Inicio!$M30 = 0,"",Inicio!$M30)</f>
        <v/>
      </c>
      <c r="J8" s="14" t="str">
        <f>IF(Inicio!$M31 = 0,"",Inicio!$M31)</f>
        <v/>
      </c>
      <c r="K8" s="14" t="str">
        <f>IF(Inicio!$M32 = 0,"",Inicio!$M32)</f>
        <v/>
      </c>
      <c r="L8" s="14" t="str">
        <f>IF(Inicio!$M33 = 0,"",Inicio!$M33)</f>
        <v/>
      </c>
      <c r="M8" s="14" t="str">
        <f>IF(Inicio!$M24 = 0,"",Inicio!$M24)</f>
        <v/>
      </c>
      <c r="N8" s="14" t="str">
        <f>IF(Inicio!$M25 = 0,"",Inicio!$M25)</f>
        <v/>
      </c>
      <c r="O8" s="14" t="str">
        <f>IF(Inicio!$M26 = 0,"",Inicio!$M26)</f>
        <v/>
      </c>
      <c r="P8" s="14" t="str">
        <f>IF(Inicio!$M27 = 0,"",Inicio!$M27)</f>
        <v/>
      </c>
      <c r="Q8" s="14" t="str">
        <f>IF(Inicio!$M28 = 0,"",Inicio!$M28)</f>
        <v/>
      </c>
      <c r="R8" s="14" t="str">
        <f>IF(Inicio!$M29 = 0,"",Inicio!$M29)</f>
        <v/>
      </c>
      <c r="S8" s="14" t="str">
        <f>IF(Inicio!$M30 = 0,"",Inicio!$M30)</f>
        <v/>
      </c>
      <c r="T8" s="14" t="str">
        <f>IF(Inicio!$M31 = 0,"",Inicio!$M31)</f>
        <v/>
      </c>
      <c r="U8" s="14" t="str">
        <f>IF(Inicio!$M32 = 0,"",Inicio!$M32)</f>
        <v/>
      </c>
      <c r="V8" s="14" t="str">
        <f>IF(Inicio!$M33 = 0,"",Inicio!$M33)</f>
        <v/>
      </c>
      <c r="W8" s="14" t="str">
        <f>IF(Inicio!$M24 = 0,"",Inicio!$M24)</f>
        <v/>
      </c>
      <c r="X8" s="14" t="str">
        <f>IF(Inicio!$M25 = 0,"",Inicio!$M25)</f>
        <v/>
      </c>
      <c r="Y8" s="14" t="str">
        <f>IF(Inicio!$M26 = 0,"",Inicio!$M26)</f>
        <v/>
      </c>
      <c r="Z8" s="14" t="str">
        <f>IF(Inicio!$M27 = 0,"",Inicio!$M27)</f>
        <v/>
      </c>
      <c r="AA8" s="14" t="str">
        <f>IF(Inicio!$M28 = 0,"",Inicio!$M28)</f>
        <v/>
      </c>
      <c r="AB8" s="14" t="str">
        <f>IF(Inicio!$M29 = 0,"",Inicio!$M29)</f>
        <v/>
      </c>
      <c r="AC8" s="14" t="str">
        <f>IF(Inicio!$M30 = 0,"",Inicio!$M30)</f>
        <v/>
      </c>
      <c r="AD8" s="14" t="str">
        <f>IF(Inicio!$M31 = 0,"",Inicio!$M31)</f>
        <v/>
      </c>
      <c r="AE8" s="14" t="str">
        <f>IF(Inicio!$M32 = 0,"",Inicio!$M32)</f>
        <v/>
      </c>
      <c r="AF8" s="14" t="str">
        <f>IF(Inicio!$M33 = 0,"",Inicio!$M33)</f>
        <v/>
      </c>
      <c r="AG8" s="14" t="str">
        <f>IF(Inicio!$M24 = 0,"",Inicio!$M24)</f>
        <v/>
      </c>
      <c r="AH8" s="14" t="str">
        <f>IF(Inicio!$M25 = 0,"",Inicio!$M25)</f>
        <v/>
      </c>
      <c r="AI8" s="14" t="str">
        <f>IF(Inicio!$M26 = 0,"",Inicio!$M26)</f>
        <v/>
      </c>
      <c r="AJ8" s="14" t="str">
        <f>IF(Inicio!$M27 = 0,"",Inicio!$M27)</f>
        <v/>
      </c>
      <c r="AK8" s="14" t="str">
        <f>IF(Inicio!$M28 = 0,"",Inicio!$M28)</f>
        <v/>
      </c>
      <c r="AL8" s="14" t="str">
        <f>IF(Inicio!$M29 = 0,"",Inicio!$M29)</f>
        <v/>
      </c>
      <c r="AM8" s="14" t="str">
        <f>IF(Inicio!$M30 = 0,"",Inicio!$M30)</f>
        <v/>
      </c>
      <c r="AN8" s="14" t="str">
        <f>IF(Inicio!$M31 = 0,"",Inicio!$M31)</f>
        <v/>
      </c>
      <c r="AO8" s="14" t="str">
        <f>IF(Inicio!$M32 = 0,"",Inicio!$M32)</f>
        <v/>
      </c>
      <c r="AP8" s="14" t="str">
        <f>IF(Inicio!$M33 = 0,"",Inicio!$M33)</f>
        <v/>
      </c>
      <c r="AQ8" s="14" t="str">
        <f>IF(Inicio!$M24 = 0,"",Inicio!$M24)</f>
        <v/>
      </c>
      <c r="AR8" s="14" t="str">
        <f>IF(Inicio!$M25 = 0,"",Inicio!$M25)</f>
        <v/>
      </c>
      <c r="AS8" s="14" t="str">
        <f>IF(Inicio!$M26 = 0,"",Inicio!$M26)</f>
        <v/>
      </c>
      <c r="AT8" s="14" t="str">
        <f>IF(Inicio!$M27 = 0,"",Inicio!$M27)</f>
        <v/>
      </c>
      <c r="AU8" s="14" t="str">
        <f>IF(Inicio!$M28 = 0,"",Inicio!$M28)</f>
        <v/>
      </c>
      <c r="AV8" s="14" t="str">
        <f>IF(Inicio!$M29 = 0,"",Inicio!$M29)</f>
        <v/>
      </c>
      <c r="AW8" s="14" t="str">
        <f>IF(Inicio!$M30 = 0,"",Inicio!$M30)</f>
        <v/>
      </c>
      <c r="AX8" s="14" t="str">
        <f>IF(Inicio!$M31 = 0,"",Inicio!$M31)</f>
        <v/>
      </c>
      <c r="AY8" s="14" t="str">
        <f>IF(Inicio!$M32 = 0,"",Inicio!$M32)</f>
        <v/>
      </c>
      <c r="AZ8" s="14" t="str">
        <f>IF(Inicio!$M33 = 0,"",Inicio!$M33)</f>
        <v/>
      </c>
      <c r="BA8" s="14" t="str">
        <f>IF(Inicio!$M24 = 0,"",Inicio!$M24)</f>
        <v/>
      </c>
      <c r="BB8" s="14" t="str">
        <f>IF(Inicio!$M25 = 0,"",Inicio!$M25)</f>
        <v/>
      </c>
      <c r="BC8" s="14" t="str">
        <f>IF(Inicio!$M26 = 0,"",Inicio!$M26)</f>
        <v/>
      </c>
      <c r="BD8" s="14" t="str">
        <f>IF(Inicio!$M27 = 0,"",Inicio!$M27)</f>
        <v/>
      </c>
      <c r="BE8" s="14" t="str">
        <f>IF(Inicio!$M28 = 0,"",Inicio!$M28)</f>
        <v/>
      </c>
      <c r="BF8" s="14" t="str">
        <f>IF(Inicio!$M29 = 0,"",Inicio!$M29)</f>
        <v/>
      </c>
      <c r="BG8" s="14" t="str">
        <f>IF(Inicio!$M30 = 0,"",Inicio!$M30)</f>
        <v/>
      </c>
      <c r="BH8" s="14" t="str">
        <f>IF(Inicio!$M31 = 0,"",Inicio!$M31)</f>
        <v/>
      </c>
      <c r="BI8" s="14" t="str">
        <f>IF(Inicio!$M32 = 0,"",Inicio!$M32)</f>
        <v/>
      </c>
      <c r="BJ8" s="14" t="str">
        <f>IF(Inicio!$M33 = 0,"",Inicio!$M33)</f>
        <v/>
      </c>
      <c r="BK8" s="14" t="str">
        <f>IF(Inicio!$M24 = 0,"",Inicio!$M24)</f>
        <v/>
      </c>
      <c r="BL8" s="14" t="str">
        <f>IF(Inicio!$M25 = 0,"",Inicio!$M25)</f>
        <v/>
      </c>
      <c r="BM8" s="14" t="str">
        <f>IF(Inicio!$M26 = 0,"",Inicio!$M26)</f>
        <v/>
      </c>
      <c r="BN8" s="14" t="str">
        <f>IF(Inicio!$M27 = 0,"",Inicio!$M27)</f>
        <v/>
      </c>
      <c r="BO8" s="14" t="str">
        <f>IF(Inicio!$M28 = 0,"",Inicio!$M28)</f>
        <v/>
      </c>
      <c r="BP8" s="14" t="str">
        <f>IF(Inicio!$M29 = 0,"",Inicio!$M29)</f>
        <v/>
      </c>
      <c r="BQ8" s="14" t="str">
        <f>IF(Inicio!$M30 = 0,"",Inicio!$M30)</f>
        <v/>
      </c>
      <c r="BR8" s="14" t="str">
        <f>IF(Inicio!$M31 = 0,"",Inicio!$M31)</f>
        <v/>
      </c>
      <c r="BS8" s="14" t="str">
        <f>IF(Inicio!$M32 = 0,"",Inicio!$M32)</f>
        <v/>
      </c>
      <c r="BT8" s="14" t="str">
        <f>IF(Inicio!$M33 = 0,"",Inicio!$M33)</f>
        <v/>
      </c>
      <c r="BU8" s="14" t="str">
        <f>IF(Inicio!$M24 = 0,"",Inicio!$M24)</f>
        <v/>
      </c>
      <c r="BV8" s="14" t="str">
        <f>IF(Inicio!$M25 = 0,"",Inicio!$M25)</f>
        <v/>
      </c>
      <c r="BW8" s="14" t="str">
        <f>IF(Inicio!$M26 = 0,"",Inicio!$M26)</f>
        <v/>
      </c>
      <c r="BX8" s="14" t="str">
        <f>IF(Inicio!$M27 = 0,"",Inicio!$M27)</f>
        <v/>
      </c>
      <c r="BY8" s="14" t="str">
        <f>IF(Inicio!$M28 = 0,"",Inicio!$M28)</f>
        <v/>
      </c>
      <c r="BZ8" s="14" t="str">
        <f>IF(Inicio!$M29 = 0,"",Inicio!$M29)</f>
        <v/>
      </c>
      <c r="CA8" s="14" t="str">
        <f>IF(Inicio!$M30 = 0,"",Inicio!$M30)</f>
        <v/>
      </c>
      <c r="CB8" s="14" t="str">
        <f>IF(Inicio!$M31 = 0,"",Inicio!$M31)</f>
        <v/>
      </c>
      <c r="CC8" s="14" t="str">
        <f>IF(Inicio!$M32 = 0,"",Inicio!$M32)</f>
        <v/>
      </c>
      <c r="CD8" s="14" t="str">
        <f>IF(Inicio!$M33 = 0,"",Inicio!$M33)</f>
        <v/>
      </c>
      <c r="CE8" s="14" t="str">
        <f>IF(Inicio!$M24 = 0,"",Inicio!$M24)</f>
        <v/>
      </c>
      <c r="CF8" s="14" t="str">
        <f>IF(Inicio!$M25 = 0,"",Inicio!$M25)</f>
        <v/>
      </c>
      <c r="CG8" s="14" t="str">
        <f>IF(Inicio!$M26 = 0,"",Inicio!$M26)</f>
        <v/>
      </c>
      <c r="CH8" s="14" t="str">
        <f>IF(Inicio!$M27 = 0,"",Inicio!$M27)</f>
        <v/>
      </c>
      <c r="CI8" s="14" t="str">
        <f>IF(Inicio!$M28 = 0,"",Inicio!$M28)</f>
        <v/>
      </c>
      <c r="CJ8" s="14" t="str">
        <f>IF(Inicio!$M29 = 0,"",Inicio!$M29)</f>
        <v/>
      </c>
      <c r="CK8" s="14" t="str">
        <f>IF(Inicio!$M30 = 0,"",Inicio!$M30)</f>
        <v/>
      </c>
      <c r="CL8" s="14" t="str">
        <f>IF(Inicio!$M31 = 0,"",Inicio!$M31)</f>
        <v/>
      </c>
      <c r="CM8" s="14" t="str">
        <f>IF(Inicio!$M32 = 0,"",Inicio!$M32)</f>
        <v/>
      </c>
      <c r="CN8" s="14" t="str">
        <f>IF(Inicio!$M33 = 0,"",Inicio!$M33)</f>
        <v/>
      </c>
      <c r="CO8" s="14" t="str">
        <f>IF(Inicio!$M24 = 0,"",Inicio!$M24)</f>
        <v/>
      </c>
      <c r="CP8" s="14" t="str">
        <f>IF(Inicio!$M25 = 0,"",Inicio!$M25)</f>
        <v/>
      </c>
      <c r="CQ8" s="14" t="str">
        <f>IF(Inicio!$M26 = 0,"",Inicio!$M26)</f>
        <v/>
      </c>
      <c r="CR8" s="14" t="str">
        <f>IF(Inicio!$M27 = 0,"",Inicio!$M27)</f>
        <v/>
      </c>
      <c r="CS8" s="14" t="str">
        <f>IF(Inicio!$M28 = 0,"",Inicio!$M28)</f>
        <v/>
      </c>
      <c r="CT8" s="14" t="str">
        <f>IF(Inicio!$M29 = 0,"",Inicio!$M29)</f>
        <v/>
      </c>
      <c r="CU8" s="14" t="str">
        <f>IF(Inicio!$M30 = 0,"",Inicio!$M30)</f>
        <v/>
      </c>
      <c r="CV8" s="14" t="str">
        <f>IF(Inicio!$M31 = 0,"",Inicio!$M31)</f>
        <v/>
      </c>
      <c r="CW8" s="14" t="str">
        <f>IF(Inicio!$M32 = 0,"",Inicio!$M32)</f>
        <v/>
      </c>
      <c r="CX8" s="14" t="str">
        <f>IF(Inicio!$M33 = 0,"",Inicio!$M33)</f>
        <v/>
      </c>
      <c r="CY8" s="14" t="str">
        <f>IF(Inicio!$M24 = 0,"",Inicio!$M24)</f>
        <v/>
      </c>
      <c r="CZ8" s="14" t="str">
        <f>IF(Inicio!$M25 = 0,"",Inicio!$M25)</f>
        <v/>
      </c>
      <c r="DA8" s="14" t="str">
        <f>IF(Inicio!$M26 = 0,"",Inicio!$M26)</f>
        <v/>
      </c>
      <c r="DB8" s="14" t="str">
        <f>IF(Inicio!$M27 = 0,"",Inicio!$M27)</f>
        <v/>
      </c>
      <c r="DC8" s="14" t="str">
        <f>IF(Inicio!$M28 = 0,"",Inicio!$M28)</f>
        <v/>
      </c>
      <c r="DD8" s="14" t="str">
        <f>IF(Inicio!$M29 = 0,"",Inicio!$M29)</f>
        <v/>
      </c>
      <c r="DE8" s="14" t="str">
        <f>IF(Inicio!$M30 = 0,"",Inicio!$M30)</f>
        <v/>
      </c>
      <c r="DF8" s="14" t="str">
        <f>IF(Inicio!$M31 = 0,"",Inicio!$M31)</f>
        <v/>
      </c>
      <c r="DG8" s="14" t="str">
        <f>IF(Inicio!$M32 = 0,"",Inicio!$M32)</f>
        <v/>
      </c>
      <c r="DH8" s="14" t="str">
        <f>IF(Inicio!$M33 = 0,"",Inicio!$M33)</f>
        <v/>
      </c>
      <c r="DI8" s="14" t="str">
        <f>IF(Inicio!$M24 = 0,"",Inicio!$M24)</f>
        <v/>
      </c>
      <c r="DJ8" s="14" t="str">
        <f>IF(Inicio!$M25 = 0,"",Inicio!$M25)</f>
        <v/>
      </c>
      <c r="DK8" s="14" t="str">
        <f>IF(Inicio!$M26 = 0,"",Inicio!$M26)</f>
        <v/>
      </c>
      <c r="DL8" s="14" t="str">
        <f>IF(Inicio!$M27 = 0,"",Inicio!$M27)</f>
        <v/>
      </c>
      <c r="DM8" s="14" t="str">
        <f>IF(Inicio!$M28 = 0,"",Inicio!$M28)</f>
        <v/>
      </c>
      <c r="DN8" s="14" t="str">
        <f>IF(Inicio!$M29 = 0,"",Inicio!$M29)</f>
        <v/>
      </c>
      <c r="DO8" s="14" t="str">
        <f>IF(Inicio!$M30 = 0,"",Inicio!$M30)</f>
        <v/>
      </c>
      <c r="DP8" s="14" t="str">
        <f>IF(Inicio!$M31 = 0,"",Inicio!$M31)</f>
        <v/>
      </c>
      <c r="DQ8" s="14" t="str">
        <f>IF(Inicio!$M32 = 0,"",Inicio!$M32)</f>
        <v/>
      </c>
      <c r="DR8" s="14" t="str">
        <f>IF(Inicio!$M33 = 0,"",Inicio!$M33)</f>
        <v/>
      </c>
      <c r="DS8" s="52" t="str">
        <f>C7</f>
        <v>Auto</v>
      </c>
      <c r="DT8" s="52" t="str">
        <f>M7</f>
        <v>Moto</v>
      </c>
      <c r="DU8" s="52" t="str">
        <f>W7</f>
        <v>Bus</v>
      </c>
      <c r="DV8" s="52" t="str">
        <f>AG7</f>
        <v>Camion</v>
      </c>
      <c r="DW8" s="52" t="str">
        <f>AQ7</f>
        <v>Bicicleta</v>
      </c>
      <c r="DX8" s="52" t="str">
        <f>BA7</f>
        <v>Taxi</v>
      </c>
      <c r="DY8" s="52" t="str">
        <f>BK7</f>
        <v>Van</v>
      </c>
      <c r="DZ8" s="52" t="str">
        <f>BU7</f>
        <v>Combi</v>
      </c>
      <c r="EA8" s="52" t="str">
        <f>CE7</f>
        <v>Microbus</v>
      </c>
      <c r="EB8" s="52" t="str">
        <f>CO7</f>
        <v>Mototaxi</v>
      </c>
      <c r="EC8" s="52" t="str">
        <f>CY7</f>
        <v>Semi-trailer</v>
      </c>
      <c r="ED8" s="52" t="str">
        <f>DI7</f>
        <v>Otros</v>
      </c>
      <c r="EE8" s="197"/>
      <c r="EF8" s="197"/>
      <c r="EG8" s="197"/>
      <c r="EH8" s="197"/>
    </row>
    <row r="9" spans="2:138" ht="20.25" customHeight="1" x14ac:dyDescent="0.3">
      <c r="B9" s="23" t="s">
        <v>25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3">
        <f>SUM(C9:L9)*Inicio!$W$4</f>
        <v>0</v>
      </c>
      <c r="DT9" s="3">
        <f>SUM(M9:V9)*Inicio!$W$5</f>
        <v>0</v>
      </c>
      <c r="DU9" s="3">
        <f>SUM(W9:AF9)*Inicio!$W$6</f>
        <v>0</v>
      </c>
      <c r="DV9" s="3">
        <f>SUM(AG9:AP9)*Inicio!$W$7</f>
        <v>0</v>
      </c>
      <c r="DW9" s="3">
        <f>SUM(AQ9:AZ9)*Inicio!$W$8</f>
        <v>0</v>
      </c>
      <c r="DX9" s="3">
        <f>SUM(BA9:BJ9)*Inicio!$W$9</f>
        <v>0</v>
      </c>
      <c r="DY9" s="3">
        <f>SUM(BK9:BT9)*Inicio!$W$10</f>
        <v>0</v>
      </c>
      <c r="DZ9" s="3">
        <f>SUM(BU9:CD9)*Inicio!$W$11</f>
        <v>0</v>
      </c>
      <c r="EA9" s="3">
        <f>SUM(CE9:CN9)*Inicio!$W$12</f>
        <v>0</v>
      </c>
      <c r="EB9" s="3">
        <f>SUM(CO9:CX9)*Inicio!$W$13</f>
        <v>0</v>
      </c>
      <c r="EC9" s="3">
        <f>SUM(CY9:DH9)*Inicio!$W$11</f>
        <v>0</v>
      </c>
      <c r="ED9" s="3">
        <f>SUM(DI9:DR9)*Inicio!$W$12</f>
        <v>0</v>
      </c>
      <c r="EE9" s="3">
        <f>SUM(C9:DR9)</f>
        <v>0</v>
      </c>
      <c r="EF9" s="3">
        <f>EE9</f>
        <v>0</v>
      </c>
      <c r="EG9" s="3">
        <f>SUM(DS9:ED9)</f>
        <v>0</v>
      </c>
      <c r="EH9" s="3">
        <f>EG9</f>
        <v>0</v>
      </c>
    </row>
    <row r="10" spans="2:138" ht="20.25" customHeight="1" x14ac:dyDescent="0.3">
      <c r="B10" s="24" t="s">
        <v>26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4">
        <f>SUM(C10:L10)*Inicio!$W$4</f>
        <v>0</v>
      </c>
      <c r="DT10" s="4">
        <f>SUM(M10:V10)*Inicio!$W$5</f>
        <v>0</v>
      </c>
      <c r="DU10" s="4">
        <f>SUM(W10:AF10)*Inicio!$W$6</f>
        <v>0</v>
      </c>
      <c r="DV10" s="4">
        <f>SUM(AG10:AP10)*Inicio!$W$7</f>
        <v>0</v>
      </c>
      <c r="DW10" s="4">
        <f>SUM(AQ10:AZ10)*Inicio!$W$8</f>
        <v>0</v>
      </c>
      <c r="DX10" s="4">
        <f>SUM(BA10:BJ10)*Inicio!$W$9</f>
        <v>0</v>
      </c>
      <c r="DY10" s="4">
        <f>SUM(BK10:BT10)*Inicio!$W$10</f>
        <v>0</v>
      </c>
      <c r="DZ10" s="4">
        <f>SUM(BU10:CD10)*Inicio!$W$11</f>
        <v>0</v>
      </c>
      <c r="EA10" s="4">
        <f>SUM(CE10:CN10)*Inicio!$W$12</f>
        <v>0</v>
      </c>
      <c r="EB10" s="4">
        <f>SUM(CO10:CX10)*Inicio!$W$13</f>
        <v>0</v>
      </c>
      <c r="EC10" s="4">
        <f>SUM(CY10:DH10)*Inicio!$W$11</f>
        <v>0</v>
      </c>
      <c r="ED10" s="4">
        <f>SUM(DI10:DR10)*Inicio!$W$12</f>
        <v>0</v>
      </c>
      <c r="EE10" s="4">
        <f t="shared" ref="EE10:EE73" si="0">SUM(C10:DR10)</f>
        <v>0</v>
      </c>
      <c r="EF10" s="4">
        <f>SUM(EE9:EE10)</f>
        <v>0</v>
      </c>
      <c r="EG10" s="4">
        <f t="shared" ref="EG10:EG73" si="1">SUM(DS10:ED10)</f>
        <v>0</v>
      </c>
      <c r="EH10" s="4">
        <f>SUM(EG9:EG10)</f>
        <v>0</v>
      </c>
    </row>
    <row r="11" spans="2:138" ht="20.25" customHeight="1" x14ac:dyDescent="0.3">
      <c r="B11" s="24" t="s">
        <v>27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4">
        <f>SUM(C11:L11)*Inicio!$W$4</f>
        <v>0</v>
      </c>
      <c r="DT11" s="4">
        <f>SUM(M11:V11)*Inicio!$W$5</f>
        <v>0</v>
      </c>
      <c r="DU11" s="4">
        <f>SUM(W11:AF11)*Inicio!$W$6</f>
        <v>0</v>
      </c>
      <c r="DV11" s="4">
        <f>SUM(AG11:AP11)*Inicio!$W$7</f>
        <v>0</v>
      </c>
      <c r="DW11" s="4">
        <f>SUM(AQ11:AZ11)*Inicio!$W$8</f>
        <v>0</v>
      </c>
      <c r="DX11" s="4">
        <f>SUM(BA11:BJ11)*Inicio!$W$9</f>
        <v>0</v>
      </c>
      <c r="DY11" s="4">
        <f>SUM(BK11:BT11)*Inicio!$W$10</f>
        <v>0</v>
      </c>
      <c r="DZ11" s="4">
        <f>SUM(BU11:CD11)*Inicio!$W$11</f>
        <v>0</v>
      </c>
      <c r="EA11" s="4">
        <f>SUM(CE11:CN11)*Inicio!$W$12</f>
        <v>0</v>
      </c>
      <c r="EB11" s="4">
        <f>SUM(CO11:CX11)*Inicio!$W$13</f>
        <v>0</v>
      </c>
      <c r="EC11" s="4">
        <f>SUM(CY11:DH11)*Inicio!$W$11</f>
        <v>0</v>
      </c>
      <c r="ED11" s="4">
        <f>SUM(DI11:DR11)*Inicio!$W$12</f>
        <v>0</v>
      </c>
      <c r="EE11" s="4">
        <f t="shared" si="0"/>
        <v>0</v>
      </c>
      <c r="EF11" s="4">
        <f>SUM(EE9:EE11)</f>
        <v>0</v>
      </c>
      <c r="EG11" s="4">
        <f t="shared" si="1"/>
        <v>0</v>
      </c>
      <c r="EH11" s="4">
        <f>SUM(EG9:EG11)</f>
        <v>0</v>
      </c>
    </row>
    <row r="12" spans="2:138" ht="20.25" customHeight="1" x14ac:dyDescent="0.3">
      <c r="B12" s="25" t="s">
        <v>28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5">
        <f>SUM(C12:L12)*Inicio!$W$4</f>
        <v>0</v>
      </c>
      <c r="DT12" s="5">
        <f>SUM(M12:V12)*Inicio!$W$5</f>
        <v>0</v>
      </c>
      <c r="DU12" s="5">
        <f>SUM(W12:AF12)*Inicio!$W$6</f>
        <v>0</v>
      </c>
      <c r="DV12" s="5">
        <f>SUM(AG12:AP12)*Inicio!$W$7</f>
        <v>0</v>
      </c>
      <c r="DW12" s="5">
        <f>SUM(AQ12:AZ12)*Inicio!$W$8</f>
        <v>0</v>
      </c>
      <c r="DX12" s="5">
        <f>SUM(BA12:BJ12)*Inicio!$W$9</f>
        <v>0</v>
      </c>
      <c r="DY12" s="5">
        <f>SUM(BK12:BT12)*Inicio!$W$10</f>
        <v>0</v>
      </c>
      <c r="DZ12" s="5">
        <f>SUM(BU12:CD12)*Inicio!$W$11</f>
        <v>0</v>
      </c>
      <c r="EA12" s="5">
        <f>SUM(CE12:CN12)*Inicio!$W$12</f>
        <v>0</v>
      </c>
      <c r="EB12" s="5">
        <f>SUM(CO12:CX12)*Inicio!$W$13</f>
        <v>0</v>
      </c>
      <c r="EC12" s="85">
        <f>SUM(CY12:DH12)*Inicio!$W$11</f>
        <v>0</v>
      </c>
      <c r="ED12" s="85">
        <f>SUM(DI12:DR12)*Inicio!$W$12</f>
        <v>0</v>
      </c>
      <c r="EE12" s="4">
        <f t="shared" si="0"/>
        <v>0</v>
      </c>
      <c r="EF12" s="5">
        <f>SUM(EE9:EE12)</f>
        <v>0</v>
      </c>
      <c r="EG12" s="5">
        <f t="shared" si="1"/>
        <v>0</v>
      </c>
      <c r="EH12" s="5">
        <f>SUM(EG9:EG12)</f>
        <v>0</v>
      </c>
    </row>
    <row r="13" spans="2:138" ht="20.25" customHeight="1" x14ac:dyDescent="0.3">
      <c r="B13" s="23" t="s">
        <v>29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3">
        <f>SUM(C13:L13)*Inicio!$W$4</f>
        <v>0</v>
      </c>
      <c r="DT13" s="3">
        <f>SUM(M13:V13)*Inicio!$W$5</f>
        <v>0</v>
      </c>
      <c r="DU13" s="3">
        <f>SUM(W13:AF13)*Inicio!$W$6</f>
        <v>0</v>
      </c>
      <c r="DV13" s="3">
        <f>SUM(AG13:AP13)*Inicio!$W$7</f>
        <v>0</v>
      </c>
      <c r="DW13" s="3">
        <f>SUM(AQ13:AZ13)*Inicio!$W$8</f>
        <v>0</v>
      </c>
      <c r="DX13" s="3">
        <f>SUM(BA13:BJ13)*Inicio!$W$9</f>
        <v>0</v>
      </c>
      <c r="DY13" s="3">
        <f>SUM(BK13:BT13)*Inicio!$W$10</f>
        <v>0</v>
      </c>
      <c r="DZ13" s="3">
        <f>SUM(BU13:CD13)*Inicio!$W$11</f>
        <v>0</v>
      </c>
      <c r="EA13" s="3">
        <f>SUM(CE13:CN13)*Inicio!$W$12</f>
        <v>0</v>
      </c>
      <c r="EB13" s="3">
        <f>SUM(CO13:CX13)*Inicio!$W$13</f>
        <v>0</v>
      </c>
      <c r="EC13" s="3">
        <f>SUM(CY13:DH13)*Inicio!$W$11</f>
        <v>0</v>
      </c>
      <c r="ED13" s="3">
        <f>SUM(DI13:DR13)*Inicio!$W$12</f>
        <v>0</v>
      </c>
      <c r="EE13" s="3">
        <f t="shared" si="0"/>
        <v>0</v>
      </c>
      <c r="EF13" s="3">
        <f>SUM(EE10:EE13)</f>
        <v>0</v>
      </c>
      <c r="EG13" s="3">
        <f t="shared" si="1"/>
        <v>0</v>
      </c>
      <c r="EH13" s="3">
        <f>SUM(EG10:EG13)</f>
        <v>0</v>
      </c>
    </row>
    <row r="14" spans="2:138" ht="20.25" customHeight="1" x14ac:dyDescent="0.3">
      <c r="B14" s="24" t="s">
        <v>30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4">
        <f>SUM(C14:L14)*Inicio!$W$4</f>
        <v>0</v>
      </c>
      <c r="DT14" s="4">
        <f>SUM(M14:V14)*Inicio!$W$5</f>
        <v>0</v>
      </c>
      <c r="DU14" s="4">
        <f>SUM(W14:AF14)*Inicio!$W$6</f>
        <v>0</v>
      </c>
      <c r="DV14" s="4">
        <f>SUM(AG14:AP14)*Inicio!$W$7</f>
        <v>0</v>
      </c>
      <c r="DW14" s="4">
        <f>SUM(AQ14:AZ14)*Inicio!$W$8</f>
        <v>0</v>
      </c>
      <c r="DX14" s="4">
        <f>SUM(BA14:BJ14)*Inicio!$W$9</f>
        <v>0</v>
      </c>
      <c r="DY14" s="4">
        <f>SUM(BK14:BT14)*Inicio!$W$10</f>
        <v>0</v>
      </c>
      <c r="DZ14" s="4">
        <f>SUM(BU14:CD14)*Inicio!$W$11</f>
        <v>0</v>
      </c>
      <c r="EA14" s="4">
        <f>SUM(CE14:CN14)*Inicio!$W$12</f>
        <v>0</v>
      </c>
      <c r="EB14" s="4">
        <f>SUM(CO14:CX14)*Inicio!$W$13</f>
        <v>0</v>
      </c>
      <c r="EC14" s="4">
        <f>SUM(CY14:DH14)*Inicio!$W$11</f>
        <v>0</v>
      </c>
      <c r="ED14" s="4">
        <f>SUM(DI14:DR14)*Inicio!$W$12</f>
        <v>0</v>
      </c>
      <c r="EE14" s="4">
        <f t="shared" si="0"/>
        <v>0</v>
      </c>
      <c r="EF14" s="4">
        <f t="shared" ref="EF14:EH29" si="2">SUM(EE11:EE14)</f>
        <v>0</v>
      </c>
      <c r="EG14" s="4">
        <f t="shared" si="1"/>
        <v>0</v>
      </c>
      <c r="EH14" s="4">
        <f t="shared" si="2"/>
        <v>0</v>
      </c>
    </row>
    <row r="15" spans="2:138" ht="20.25" customHeight="1" x14ac:dyDescent="0.3">
      <c r="B15" s="24" t="s">
        <v>31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4">
        <f>SUM(C15:L15)*Inicio!$W$4</f>
        <v>0</v>
      </c>
      <c r="DT15" s="4">
        <f>SUM(M15:V15)*Inicio!$W$5</f>
        <v>0</v>
      </c>
      <c r="DU15" s="4">
        <f>SUM(W15:AF15)*Inicio!$W$6</f>
        <v>0</v>
      </c>
      <c r="DV15" s="4">
        <f>SUM(AG15:AP15)*Inicio!$W$7</f>
        <v>0</v>
      </c>
      <c r="DW15" s="4">
        <f>SUM(AQ15:AZ15)*Inicio!$W$8</f>
        <v>0</v>
      </c>
      <c r="DX15" s="4">
        <f>SUM(BA15:BJ15)*Inicio!$W$9</f>
        <v>0</v>
      </c>
      <c r="DY15" s="4">
        <f>SUM(BK15:BT15)*Inicio!$W$10</f>
        <v>0</v>
      </c>
      <c r="DZ15" s="4">
        <f>SUM(BU15:CD15)*Inicio!$W$11</f>
        <v>0</v>
      </c>
      <c r="EA15" s="4">
        <f>SUM(CE15:CN15)*Inicio!$W$12</f>
        <v>0</v>
      </c>
      <c r="EB15" s="4">
        <f>SUM(CO15:CX15)*Inicio!$W$13</f>
        <v>0</v>
      </c>
      <c r="EC15" s="4">
        <f>SUM(CY15:DH15)*Inicio!$W$11</f>
        <v>0</v>
      </c>
      <c r="ED15" s="4">
        <f>SUM(DI15:DR15)*Inicio!$W$12</f>
        <v>0</v>
      </c>
      <c r="EE15" s="4">
        <f t="shared" si="0"/>
        <v>0</v>
      </c>
      <c r="EF15" s="4">
        <f t="shared" si="2"/>
        <v>0</v>
      </c>
      <c r="EG15" s="4">
        <f t="shared" si="1"/>
        <v>0</v>
      </c>
      <c r="EH15" s="4">
        <f t="shared" si="2"/>
        <v>0</v>
      </c>
    </row>
    <row r="16" spans="2:138" ht="20.25" customHeight="1" x14ac:dyDescent="0.3">
      <c r="B16" s="25" t="s">
        <v>32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5">
        <f>SUM(C16:L16)*Inicio!$W$4</f>
        <v>0</v>
      </c>
      <c r="DT16" s="5">
        <f>SUM(M16:V16)*Inicio!$W$5</f>
        <v>0</v>
      </c>
      <c r="DU16" s="5">
        <f>SUM(W16:AF16)*Inicio!$W$6</f>
        <v>0</v>
      </c>
      <c r="DV16" s="5">
        <f>SUM(AG16:AP16)*Inicio!$W$7</f>
        <v>0</v>
      </c>
      <c r="DW16" s="5">
        <f>SUM(AQ16:AZ16)*Inicio!$W$8</f>
        <v>0</v>
      </c>
      <c r="DX16" s="5">
        <f>SUM(BA16:BJ16)*Inicio!$W$9</f>
        <v>0</v>
      </c>
      <c r="DY16" s="5">
        <f>SUM(BK16:BT16)*Inicio!$W$10</f>
        <v>0</v>
      </c>
      <c r="DZ16" s="5">
        <f>SUM(BU16:CD16)*Inicio!$W$11</f>
        <v>0</v>
      </c>
      <c r="EA16" s="5">
        <f>SUM(CE16:CN16)*Inicio!$W$12</f>
        <v>0</v>
      </c>
      <c r="EB16" s="5">
        <f>SUM(CO16:CX16)*Inicio!$W$13</f>
        <v>0</v>
      </c>
      <c r="EC16" s="5">
        <f>SUM(CY16:DH16)*Inicio!$W$11</f>
        <v>0</v>
      </c>
      <c r="ED16" s="5">
        <f>SUM(DI16:DR16)*Inicio!$W$12</f>
        <v>0</v>
      </c>
      <c r="EE16" s="5">
        <f t="shared" si="0"/>
        <v>0</v>
      </c>
      <c r="EF16" s="5">
        <f t="shared" si="2"/>
        <v>0</v>
      </c>
      <c r="EG16" s="5">
        <f t="shared" si="1"/>
        <v>0</v>
      </c>
      <c r="EH16" s="5">
        <f t="shared" si="2"/>
        <v>0</v>
      </c>
    </row>
    <row r="17" spans="2:138" ht="20.25" customHeight="1" x14ac:dyDescent="0.3">
      <c r="B17" s="23" t="s">
        <v>33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3">
        <f>SUM(C17:L17)*Inicio!$W$4</f>
        <v>0</v>
      </c>
      <c r="DT17" s="3">
        <f>SUM(M17:V17)*Inicio!$W$5</f>
        <v>0</v>
      </c>
      <c r="DU17" s="3">
        <f>SUM(W17:AF17)*Inicio!$W$6</f>
        <v>0</v>
      </c>
      <c r="DV17" s="3">
        <f>SUM(AG17:AP17)*Inicio!$W$7</f>
        <v>0</v>
      </c>
      <c r="DW17" s="3">
        <f>SUM(AQ17:AZ17)*Inicio!$W$8</f>
        <v>0</v>
      </c>
      <c r="DX17" s="3">
        <f>SUM(BA17:BJ17)*Inicio!$W$9</f>
        <v>0</v>
      </c>
      <c r="DY17" s="3">
        <f>SUM(BK17:BT17)*Inicio!$W$10</f>
        <v>0</v>
      </c>
      <c r="DZ17" s="3">
        <f>SUM(BU17:CD17)*Inicio!$W$11</f>
        <v>0</v>
      </c>
      <c r="EA17" s="3">
        <f>SUM(CE17:CN17)*Inicio!$W$12</f>
        <v>0</v>
      </c>
      <c r="EB17" s="3">
        <f>SUM(CO17:CX17)*Inicio!$W$13</f>
        <v>0</v>
      </c>
      <c r="EC17" s="3">
        <f>SUM(CY17:DH17)*Inicio!$W$11</f>
        <v>0</v>
      </c>
      <c r="ED17" s="3">
        <f>SUM(DI17:DR17)*Inicio!$W$12</f>
        <v>0</v>
      </c>
      <c r="EE17" s="3">
        <f t="shared" si="0"/>
        <v>0</v>
      </c>
      <c r="EF17" s="3">
        <f t="shared" si="2"/>
        <v>0</v>
      </c>
      <c r="EG17" s="3">
        <f t="shared" si="1"/>
        <v>0</v>
      </c>
      <c r="EH17" s="3">
        <f t="shared" si="2"/>
        <v>0</v>
      </c>
    </row>
    <row r="18" spans="2:138" ht="20.25" customHeight="1" x14ac:dyDescent="0.3">
      <c r="B18" s="24" t="s">
        <v>34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4">
        <f>SUM(C18:L18)*Inicio!$W$4</f>
        <v>0</v>
      </c>
      <c r="DT18" s="4">
        <f>SUM(M18:V18)*Inicio!$W$5</f>
        <v>0</v>
      </c>
      <c r="DU18" s="4">
        <f>SUM(W18:AF18)*Inicio!$W$6</f>
        <v>0</v>
      </c>
      <c r="DV18" s="4">
        <f>SUM(AG18:AP18)*Inicio!$W$7</f>
        <v>0</v>
      </c>
      <c r="DW18" s="4">
        <f>SUM(AQ18:AZ18)*Inicio!$W$8</f>
        <v>0</v>
      </c>
      <c r="DX18" s="4">
        <f>SUM(BA18:BJ18)*Inicio!$W$9</f>
        <v>0</v>
      </c>
      <c r="DY18" s="4">
        <f>SUM(BK18:BT18)*Inicio!$W$10</f>
        <v>0</v>
      </c>
      <c r="DZ18" s="4">
        <f>SUM(BU18:CD18)*Inicio!$W$11</f>
        <v>0</v>
      </c>
      <c r="EA18" s="4">
        <f>SUM(CE18:CN18)*Inicio!$W$12</f>
        <v>0</v>
      </c>
      <c r="EB18" s="4">
        <f>SUM(CO18:CX18)*Inicio!$W$13</f>
        <v>0</v>
      </c>
      <c r="EC18" s="4">
        <f>SUM(CY18:DH18)*Inicio!$W$11</f>
        <v>0</v>
      </c>
      <c r="ED18" s="4">
        <f>SUM(DI18:DR18)*Inicio!$W$12</f>
        <v>0</v>
      </c>
      <c r="EE18" s="4">
        <f t="shared" si="0"/>
        <v>0</v>
      </c>
      <c r="EF18" s="4">
        <f t="shared" si="2"/>
        <v>0</v>
      </c>
      <c r="EG18" s="4">
        <f t="shared" si="1"/>
        <v>0</v>
      </c>
      <c r="EH18" s="4">
        <f t="shared" si="2"/>
        <v>0</v>
      </c>
    </row>
    <row r="19" spans="2:138" ht="20.25" customHeight="1" x14ac:dyDescent="0.3">
      <c r="B19" s="24" t="s">
        <v>35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4">
        <f>SUM(C19:L19)*Inicio!$W$4</f>
        <v>0</v>
      </c>
      <c r="DT19" s="4">
        <f>SUM(M19:V19)*Inicio!$W$5</f>
        <v>0</v>
      </c>
      <c r="DU19" s="4">
        <f>SUM(W19:AF19)*Inicio!$W$6</f>
        <v>0</v>
      </c>
      <c r="DV19" s="4">
        <f>SUM(AG19:AP19)*Inicio!$W$7</f>
        <v>0</v>
      </c>
      <c r="DW19" s="4">
        <f>SUM(AQ19:AZ19)*Inicio!$W$8</f>
        <v>0</v>
      </c>
      <c r="DX19" s="4">
        <f>SUM(BA19:BJ19)*Inicio!$W$9</f>
        <v>0</v>
      </c>
      <c r="DY19" s="4">
        <f>SUM(BK19:BT19)*Inicio!$W$10</f>
        <v>0</v>
      </c>
      <c r="DZ19" s="4">
        <f>SUM(BU19:CD19)*Inicio!$W$11</f>
        <v>0</v>
      </c>
      <c r="EA19" s="4">
        <f>SUM(CE19:CN19)*Inicio!$W$12</f>
        <v>0</v>
      </c>
      <c r="EB19" s="4">
        <f>SUM(CO19:CX19)*Inicio!$W$13</f>
        <v>0</v>
      </c>
      <c r="EC19" s="4">
        <f>SUM(CY19:DH19)*Inicio!$W$11</f>
        <v>0</v>
      </c>
      <c r="ED19" s="4">
        <f>SUM(DI19:DR19)*Inicio!$W$12</f>
        <v>0</v>
      </c>
      <c r="EE19" s="4">
        <f t="shared" si="0"/>
        <v>0</v>
      </c>
      <c r="EF19" s="4">
        <f t="shared" si="2"/>
        <v>0</v>
      </c>
      <c r="EG19" s="4">
        <f t="shared" si="1"/>
        <v>0</v>
      </c>
      <c r="EH19" s="4">
        <f t="shared" si="2"/>
        <v>0</v>
      </c>
    </row>
    <row r="20" spans="2:138" ht="20.25" customHeight="1" x14ac:dyDescent="0.3">
      <c r="B20" s="25" t="s">
        <v>36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5">
        <f>SUM(C20:L20)*Inicio!$W$4</f>
        <v>0</v>
      </c>
      <c r="DT20" s="5">
        <f>SUM(M20:V20)*Inicio!$W$5</f>
        <v>0</v>
      </c>
      <c r="DU20" s="5">
        <f>SUM(W20:AF20)*Inicio!$W$6</f>
        <v>0</v>
      </c>
      <c r="DV20" s="5">
        <f>SUM(AG20:AP20)*Inicio!$W$7</f>
        <v>0</v>
      </c>
      <c r="DW20" s="5">
        <f>SUM(AQ20:AZ20)*Inicio!$W$8</f>
        <v>0</v>
      </c>
      <c r="DX20" s="5">
        <f>SUM(BA20:BJ20)*Inicio!$W$9</f>
        <v>0</v>
      </c>
      <c r="DY20" s="5">
        <f>SUM(BK20:BT20)*Inicio!$W$10</f>
        <v>0</v>
      </c>
      <c r="DZ20" s="5">
        <f>SUM(BU20:CD20)*Inicio!$W$11</f>
        <v>0</v>
      </c>
      <c r="EA20" s="5">
        <f>SUM(CE20:CN20)*Inicio!$W$12</f>
        <v>0</v>
      </c>
      <c r="EB20" s="5">
        <f>SUM(CO20:CX20)*Inicio!$W$13</f>
        <v>0</v>
      </c>
      <c r="EC20" s="5">
        <f>SUM(CY20:DH20)*Inicio!$W$11</f>
        <v>0</v>
      </c>
      <c r="ED20" s="5">
        <f>SUM(DI20:DR20)*Inicio!$W$12</f>
        <v>0</v>
      </c>
      <c r="EE20" s="5">
        <f t="shared" si="0"/>
        <v>0</v>
      </c>
      <c r="EF20" s="5">
        <f t="shared" si="2"/>
        <v>0</v>
      </c>
      <c r="EG20" s="5">
        <f t="shared" si="1"/>
        <v>0</v>
      </c>
      <c r="EH20" s="5">
        <f t="shared" si="2"/>
        <v>0</v>
      </c>
    </row>
    <row r="21" spans="2:138" ht="20.25" customHeight="1" x14ac:dyDescent="0.3">
      <c r="B21" s="23" t="s">
        <v>37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3">
        <f>SUM(C21:L21)*Inicio!$W$4</f>
        <v>0</v>
      </c>
      <c r="DT21" s="3">
        <f>SUM(M21:V21)*Inicio!$W$5</f>
        <v>0</v>
      </c>
      <c r="DU21" s="3">
        <f>SUM(W21:AF21)*Inicio!$W$6</f>
        <v>0</v>
      </c>
      <c r="DV21" s="3">
        <f>SUM(AG21:AP21)*Inicio!$W$7</f>
        <v>0</v>
      </c>
      <c r="DW21" s="3">
        <f>SUM(AQ21:AZ21)*Inicio!$W$8</f>
        <v>0</v>
      </c>
      <c r="DX21" s="3">
        <f>SUM(BA21:BJ21)*Inicio!$W$9</f>
        <v>0</v>
      </c>
      <c r="DY21" s="3">
        <f>SUM(BK21:BT21)*Inicio!$W$10</f>
        <v>0</v>
      </c>
      <c r="DZ21" s="3">
        <f>SUM(BU21:CD21)*Inicio!$W$11</f>
        <v>0</v>
      </c>
      <c r="EA21" s="3">
        <f>SUM(CE21:CN21)*Inicio!$W$12</f>
        <v>0</v>
      </c>
      <c r="EB21" s="3">
        <f>SUM(CO21:CX21)*Inicio!$W$13</f>
        <v>0</v>
      </c>
      <c r="EC21" s="3">
        <f>SUM(CY21:DH21)*Inicio!$W$11</f>
        <v>0</v>
      </c>
      <c r="ED21" s="3">
        <f>SUM(DI21:DR21)*Inicio!$W$12</f>
        <v>0</v>
      </c>
      <c r="EE21" s="3">
        <f t="shared" si="0"/>
        <v>0</v>
      </c>
      <c r="EF21" s="3">
        <f t="shared" si="2"/>
        <v>0</v>
      </c>
      <c r="EG21" s="3">
        <f t="shared" si="1"/>
        <v>0</v>
      </c>
      <c r="EH21" s="3">
        <f t="shared" si="2"/>
        <v>0</v>
      </c>
    </row>
    <row r="22" spans="2:138" ht="20.25" customHeight="1" x14ac:dyDescent="0.3">
      <c r="B22" s="24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4">
        <f>SUM(C22:L22)*Inicio!$W$4</f>
        <v>0</v>
      </c>
      <c r="DT22" s="4">
        <f>SUM(M22:V22)*Inicio!$W$5</f>
        <v>0</v>
      </c>
      <c r="DU22" s="4">
        <f>SUM(W22:AF22)*Inicio!$W$6</f>
        <v>0</v>
      </c>
      <c r="DV22" s="4">
        <f>SUM(AG22:AP22)*Inicio!$W$7</f>
        <v>0</v>
      </c>
      <c r="DW22" s="4">
        <f>SUM(AQ22:AZ22)*Inicio!$W$8</f>
        <v>0</v>
      </c>
      <c r="DX22" s="4">
        <f>SUM(BA22:BJ22)*Inicio!$W$9</f>
        <v>0</v>
      </c>
      <c r="DY22" s="4">
        <f>SUM(BK22:BT22)*Inicio!$W$10</f>
        <v>0</v>
      </c>
      <c r="DZ22" s="4">
        <f>SUM(BU22:CD22)*Inicio!$W$11</f>
        <v>0</v>
      </c>
      <c r="EA22" s="4">
        <f>SUM(CE22:CN22)*Inicio!$W$12</f>
        <v>0</v>
      </c>
      <c r="EB22" s="4">
        <f>SUM(CO22:CX22)*Inicio!$W$13</f>
        <v>0</v>
      </c>
      <c r="EC22" s="4">
        <f>SUM(CY22:DH22)*Inicio!$W$11</f>
        <v>0</v>
      </c>
      <c r="ED22" s="4">
        <f>SUM(DI22:DR22)*Inicio!$W$12</f>
        <v>0</v>
      </c>
      <c r="EE22" s="4">
        <f t="shared" si="0"/>
        <v>0</v>
      </c>
      <c r="EF22" s="4">
        <f t="shared" si="2"/>
        <v>0</v>
      </c>
      <c r="EG22" s="4">
        <f t="shared" si="1"/>
        <v>0</v>
      </c>
      <c r="EH22" s="4">
        <f t="shared" si="2"/>
        <v>0</v>
      </c>
    </row>
    <row r="23" spans="2:138" ht="20.25" customHeight="1" x14ac:dyDescent="0.3">
      <c r="B23" s="24" t="s">
        <v>39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4">
        <f>SUM(C23:L23)*Inicio!$W$4</f>
        <v>0</v>
      </c>
      <c r="DT23" s="4">
        <f>SUM(M23:V23)*Inicio!$W$5</f>
        <v>0</v>
      </c>
      <c r="DU23" s="4">
        <f>SUM(W23:AF23)*Inicio!$W$6</f>
        <v>0</v>
      </c>
      <c r="DV23" s="4">
        <f>SUM(AG23:AP23)*Inicio!$W$7</f>
        <v>0</v>
      </c>
      <c r="DW23" s="4">
        <f>SUM(AQ23:AZ23)*Inicio!$W$8</f>
        <v>0</v>
      </c>
      <c r="DX23" s="4">
        <f>SUM(BA23:BJ23)*Inicio!$W$9</f>
        <v>0</v>
      </c>
      <c r="DY23" s="4">
        <f>SUM(BK23:BT23)*Inicio!$W$10</f>
        <v>0</v>
      </c>
      <c r="DZ23" s="4">
        <f>SUM(BU23:CD23)*Inicio!$W$11</f>
        <v>0</v>
      </c>
      <c r="EA23" s="4">
        <f>SUM(CE23:CN23)*Inicio!$W$12</f>
        <v>0</v>
      </c>
      <c r="EB23" s="4">
        <f>SUM(CO23:CX23)*Inicio!$W$13</f>
        <v>0</v>
      </c>
      <c r="EC23" s="4">
        <f>SUM(CY23:DH23)*Inicio!$W$11</f>
        <v>0</v>
      </c>
      <c r="ED23" s="4">
        <f>SUM(DI23:DR23)*Inicio!$W$12</f>
        <v>0</v>
      </c>
      <c r="EE23" s="4">
        <f t="shared" si="0"/>
        <v>0</v>
      </c>
      <c r="EF23" s="4">
        <f t="shared" si="2"/>
        <v>0</v>
      </c>
      <c r="EG23" s="4">
        <f t="shared" si="1"/>
        <v>0</v>
      </c>
      <c r="EH23" s="4">
        <f t="shared" si="2"/>
        <v>0</v>
      </c>
    </row>
    <row r="24" spans="2:138" ht="20.25" customHeight="1" x14ac:dyDescent="0.3">
      <c r="B24" s="25" t="s">
        <v>40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5">
        <f>SUM(C24:L24)*Inicio!$W$4</f>
        <v>0</v>
      </c>
      <c r="DT24" s="5">
        <f>SUM(M24:V24)*Inicio!$W$5</f>
        <v>0</v>
      </c>
      <c r="DU24" s="5">
        <f>SUM(W24:AF24)*Inicio!$W$6</f>
        <v>0</v>
      </c>
      <c r="DV24" s="5">
        <f>SUM(AG24:AP24)*Inicio!$W$7</f>
        <v>0</v>
      </c>
      <c r="DW24" s="5">
        <f>SUM(AQ24:AZ24)*Inicio!$W$8</f>
        <v>0</v>
      </c>
      <c r="DX24" s="5">
        <f>SUM(BA24:BJ24)*Inicio!$W$9</f>
        <v>0</v>
      </c>
      <c r="DY24" s="5">
        <f>SUM(BK24:BT24)*Inicio!$W$10</f>
        <v>0</v>
      </c>
      <c r="DZ24" s="5">
        <f>SUM(BU24:CD24)*Inicio!$W$11</f>
        <v>0</v>
      </c>
      <c r="EA24" s="5">
        <f>SUM(CE24:CN24)*Inicio!$W$12</f>
        <v>0</v>
      </c>
      <c r="EB24" s="5">
        <f>SUM(CO24:CX24)*Inicio!$W$13</f>
        <v>0</v>
      </c>
      <c r="EC24" s="5">
        <f>SUM(CY24:DH24)*Inicio!$W$11</f>
        <v>0</v>
      </c>
      <c r="ED24" s="5">
        <f>SUM(DI24:DR24)*Inicio!$W$12</f>
        <v>0</v>
      </c>
      <c r="EE24" s="5">
        <f t="shared" si="0"/>
        <v>0</v>
      </c>
      <c r="EF24" s="5">
        <f t="shared" si="2"/>
        <v>0</v>
      </c>
      <c r="EG24" s="5">
        <f t="shared" si="1"/>
        <v>0</v>
      </c>
      <c r="EH24" s="5">
        <f t="shared" si="2"/>
        <v>0</v>
      </c>
    </row>
    <row r="25" spans="2:138" ht="20.25" customHeight="1" x14ac:dyDescent="0.3">
      <c r="B25" s="23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3">
        <f>SUM(C25:L25)*Inicio!$W$4</f>
        <v>0</v>
      </c>
      <c r="DT25" s="3">
        <f>SUM(M25:V25)*Inicio!$W$5</f>
        <v>0</v>
      </c>
      <c r="DU25" s="3">
        <f>SUM(W25:AF25)*Inicio!$W$6</f>
        <v>0</v>
      </c>
      <c r="DV25" s="3">
        <f>SUM(AG25:AP25)*Inicio!$W$7</f>
        <v>0</v>
      </c>
      <c r="DW25" s="3">
        <f>SUM(AQ25:AZ25)*Inicio!$W$8</f>
        <v>0</v>
      </c>
      <c r="DX25" s="3">
        <f>SUM(BA25:BJ25)*Inicio!$W$9</f>
        <v>0</v>
      </c>
      <c r="DY25" s="3">
        <f>SUM(BK25:BT25)*Inicio!$W$10</f>
        <v>0</v>
      </c>
      <c r="DZ25" s="3">
        <f>SUM(BU25:CD25)*Inicio!$W$11</f>
        <v>0</v>
      </c>
      <c r="EA25" s="3">
        <f>SUM(CE25:CN25)*Inicio!$W$12</f>
        <v>0</v>
      </c>
      <c r="EB25" s="3">
        <f>SUM(CO25:CX25)*Inicio!$W$13</f>
        <v>0</v>
      </c>
      <c r="EC25" s="3">
        <f>SUM(CY25:DH25)*Inicio!$W$11</f>
        <v>0</v>
      </c>
      <c r="ED25" s="3">
        <f>SUM(DI25:DR25)*Inicio!$W$12</f>
        <v>0</v>
      </c>
      <c r="EE25" s="3">
        <f t="shared" si="0"/>
        <v>0</v>
      </c>
      <c r="EF25" s="3">
        <f t="shared" si="2"/>
        <v>0</v>
      </c>
      <c r="EG25" s="3">
        <f t="shared" si="1"/>
        <v>0</v>
      </c>
      <c r="EH25" s="3">
        <f t="shared" si="2"/>
        <v>0</v>
      </c>
    </row>
    <row r="26" spans="2:138" ht="20.25" customHeight="1" x14ac:dyDescent="0.3">
      <c r="B26" s="24" t="s">
        <v>42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4">
        <f>SUM(C26:L26)*Inicio!$W$4</f>
        <v>0</v>
      </c>
      <c r="DT26" s="4">
        <f>SUM(M26:V26)*Inicio!$W$5</f>
        <v>0</v>
      </c>
      <c r="DU26" s="4">
        <f>SUM(W26:AF26)*Inicio!$W$6</f>
        <v>0</v>
      </c>
      <c r="DV26" s="4">
        <f>SUM(AG26:AP26)*Inicio!$W$7</f>
        <v>0</v>
      </c>
      <c r="DW26" s="4">
        <f>SUM(AQ26:AZ26)*Inicio!$W$8</f>
        <v>0</v>
      </c>
      <c r="DX26" s="4">
        <f>SUM(BA26:BJ26)*Inicio!$W$9</f>
        <v>0</v>
      </c>
      <c r="DY26" s="4">
        <f>SUM(BK26:BT26)*Inicio!$W$10</f>
        <v>0</v>
      </c>
      <c r="DZ26" s="4">
        <f>SUM(BU26:CD26)*Inicio!$W$11</f>
        <v>0</v>
      </c>
      <c r="EA26" s="4">
        <f>SUM(CE26:CN26)*Inicio!$W$12</f>
        <v>0</v>
      </c>
      <c r="EB26" s="4">
        <f>SUM(CO26:CX26)*Inicio!$W$13</f>
        <v>0</v>
      </c>
      <c r="EC26" s="4">
        <f>SUM(CY26:DH26)*Inicio!$W$11</f>
        <v>0</v>
      </c>
      <c r="ED26" s="4">
        <f>SUM(DI26:DR26)*Inicio!$W$12</f>
        <v>0</v>
      </c>
      <c r="EE26" s="4">
        <f t="shared" si="0"/>
        <v>0</v>
      </c>
      <c r="EF26" s="4">
        <f t="shared" si="2"/>
        <v>0</v>
      </c>
      <c r="EG26" s="4">
        <f t="shared" si="1"/>
        <v>0</v>
      </c>
      <c r="EH26" s="4">
        <f t="shared" si="2"/>
        <v>0</v>
      </c>
    </row>
    <row r="27" spans="2:138" ht="20.25" customHeight="1" x14ac:dyDescent="0.3">
      <c r="B27" s="24" t="s">
        <v>43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4">
        <f>SUM(C27:L27)*Inicio!$W$4</f>
        <v>0</v>
      </c>
      <c r="DT27" s="4">
        <f>SUM(M27:V27)*Inicio!$W$5</f>
        <v>0</v>
      </c>
      <c r="DU27" s="4">
        <f>SUM(W27:AF27)*Inicio!$W$6</f>
        <v>0</v>
      </c>
      <c r="DV27" s="4">
        <f>SUM(AG27:AP27)*Inicio!$W$7</f>
        <v>0</v>
      </c>
      <c r="DW27" s="4">
        <f>SUM(AQ27:AZ27)*Inicio!$W$8</f>
        <v>0</v>
      </c>
      <c r="DX27" s="4">
        <f>SUM(BA27:BJ27)*Inicio!$W$9</f>
        <v>0</v>
      </c>
      <c r="DY27" s="4">
        <f>SUM(BK27:BT27)*Inicio!$W$10</f>
        <v>0</v>
      </c>
      <c r="DZ27" s="4">
        <f>SUM(BU27:CD27)*Inicio!$W$11</f>
        <v>0</v>
      </c>
      <c r="EA27" s="4">
        <f>SUM(CE27:CN27)*Inicio!$W$12</f>
        <v>0</v>
      </c>
      <c r="EB27" s="4">
        <f>SUM(CO27:CX27)*Inicio!$W$13</f>
        <v>0</v>
      </c>
      <c r="EC27" s="4">
        <f>SUM(CY27:DH27)*Inicio!$W$11</f>
        <v>0</v>
      </c>
      <c r="ED27" s="4">
        <f>SUM(DI27:DR27)*Inicio!$W$12</f>
        <v>0</v>
      </c>
      <c r="EE27" s="4">
        <f t="shared" si="0"/>
        <v>0</v>
      </c>
      <c r="EF27" s="4">
        <f t="shared" si="2"/>
        <v>0</v>
      </c>
      <c r="EG27" s="4">
        <f t="shared" si="1"/>
        <v>0</v>
      </c>
      <c r="EH27" s="4">
        <f t="shared" si="2"/>
        <v>0</v>
      </c>
    </row>
    <row r="28" spans="2:138" ht="20.25" customHeight="1" x14ac:dyDescent="0.3">
      <c r="B28" s="25" t="s">
        <v>44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5">
        <f>SUM(C28:L28)*Inicio!$W$4</f>
        <v>0</v>
      </c>
      <c r="DT28" s="5">
        <f>SUM(M28:V28)*Inicio!$W$5</f>
        <v>0</v>
      </c>
      <c r="DU28" s="5">
        <f>SUM(W28:AF28)*Inicio!$W$6</f>
        <v>0</v>
      </c>
      <c r="DV28" s="5">
        <f>SUM(AG28:AP28)*Inicio!$W$7</f>
        <v>0</v>
      </c>
      <c r="DW28" s="5">
        <f>SUM(AQ28:AZ28)*Inicio!$W$8</f>
        <v>0</v>
      </c>
      <c r="DX28" s="5">
        <f>SUM(BA28:BJ28)*Inicio!$W$9</f>
        <v>0</v>
      </c>
      <c r="DY28" s="5">
        <f>SUM(BK28:BT28)*Inicio!$W$10</f>
        <v>0</v>
      </c>
      <c r="DZ28" s="5">
        <f>SUM(BU28:CD28)*Inicio!$W$11</f>
        <v>0</v>
      </c>
      <c r="EA28" s="5">
        <f>SUM(CE28:CN28)*Inicio!$W$12</f>
        <v>0</v>
      </c>
      <c r="EB28" s="5">
        <f>SUM(CO28:CX28)*Inicio!$W$13</f>
        <v>0</v>
      </c>
      <c r="EC28" s="5">
        <f>SUM(CY28:DH28)*Inicio!$W$11</f>
        <v>0</v>
      </c>
      <c r="ED28" s="5">
        <f>SUM(DI28:DR28)*Inicio!$W$12</f>
        <v>0</v>
      </c>
      <c r="EE28" s="5">
        <f t="shared" si="0"/>
        <v>0</v>
      </c>
      <c r="EF28" s="5">
        <f t="shared" si="2"/>
        <v>0</v>
      </c>
      <c r="EG28" s="5">
        <f t="shared" si="1"/>
        <v>0</v>
      </c>
      <c r="EH28" s="5">
        <f t="shared" si="2"/>
        <v>0</v>
      </c>
    </row>
    <row r="29" spans="2:138" ht="20.25" customHeight="1" x14ac:dyDescent="0.3">
      <c r="B29" s="23" t="s">
        <v>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3">
        <f>SUM(C29:L29)*Inicio!$W$4</f>
        <v>0</v>
      </c>
      <c r="DT29" s="3">
        <f>SUM(M29:V29)*Inicio!$W$5</f>
        <v>0</v>
      </c>
      <c r="DU29" s="3">
        <f>SUM(W29:AF29)*Inicio!$W$6</f>
        <v>0</v>
      </c>
      <c r="DV29" s="3">
        <f>SUM(AG29:AP29)*Inicio!$W$7</f>
        <v>0</v>
      </c>
      <c r="DW29" s="3">
        <f>SUM(AQ29:AZ29)*Inicio!$W$8</f>
        <v>0</v>
      </c>
      <c r="DX29" s="3">
        <f>SUM(BA29:BJ29)*Inicio!$W$9</f>
        <v>0</v>
      </c>
      <c r="DY29" s="3">
        <f>SUM(BK29:BT29)*Inicio!$W$10</f>
        <v>0</v>
      </c>
      <c r="DZ29" s="3">
        <f>SUM(BU29:CD29)*Inicio!$W$11</f>
        <v>0</v>
      </c>
      <c r="EA29" s="3">
        <f>SUM(CE29:CN29)*Inicio!$W$12</f>
        <v>0</v>
      </c>
      <c r="EB29" s="3">
        <f>SUM(CO29:CX29)*Inicio!$W$13</f>
        <v>0</v>
      </c>
      <c r="EC29" s="3">
        <f>SUM(CY29:DH29)*Inicio!$W$11</f>
        <v>0</v>
      </c>
      <c r="ED29" s="3">
        <f>SUM(DI29:DR29)*Inicio!$W$12</f>
        <v>0</v>
      </c>
      <c r="EE29" s="3">
        <f t="shared" si="0"/>
        <v>0</v>
      </c>
      <c r="EF29" s="3">
        <f t="shared" si="2"/>
        <v>0</v>
      </c>
      <c r="EG29" s="3">
        <f t="shared" si="1"/>
        <v>0</v>
      </c>
      <c r="EH29" s="3">
        <f t="shared" si="2"/>
        <v>0</v>
      </c>
    </row>
    <row r="30" spans="2:138" ht="20.25" customHeight="1" x14ac:dyDescent="0.3">
      <c r="B30" s="24" t="s">
        <v>46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4">
        <f>SUM(C30:L30)*Inicio!$W$4</f>
        <v>0</v>
      </c>
      <c r="DT30" s="4">
        <f>SUM(M30:V30)*Inicio!$W$5</f>
        <v>0</v>
      </c>
      <c r="DU30" s="4">
        <f>SUM(W30:AF30)*Inicio!$W$6</f>
        <v>0</v>
      </c>
      <c r="DV30" s="4">
        <f>SUM(AG30:AP30)*Inicio!$W$7</f>
        <v>0</v>
      </c>
      <c r="DW30" s="4">
        <f>SUM(AQ30:AZ30)*Inicio!$W$8</f>
        <v>0</v>
      </c>
      <c r="DX30" s="4">
        <f>SUM(BA30:BJ30)*Inicio!$W$9</f>
        <v>0</v>
      </c>
      <c r="DY30" s="4">
        <f>SUM(BK30:BT30)*Inicio!$W$10</f>
        <v>0</v>
      </c>
      <c r="DZ30" s="4">
        <f>SUM(BU30:CD30)*Inicio!$W$11</f>
        <v>0</v>
      </c>
      <c r="EA30" s="4">
        <f>SUM(CE30:CN30)*Inicio!$W$12</f>
        <v>0</v>
      </c>
      <c r="EB30" s="4">
        <f>SUM(CO30:CX30)*Inicio!$W$13</f>
        <v>0</v>
      </c>
      <c r="EC30" s="4">
        <f>SUM(CY30:DH30)*Inicio!$W$11</f>
        <v>0</v>
      </c>
      <c r="ED30" s="4">
        <f>SUM(DI30:DR30)*Inicio!$W$12</f>
        <v>0</v>
      </c>
      <c r="EE30" s="4">
        <f t="shared" si="0"/>
        <v>0</v>
      </c>
      <c r="EF30" s="4">
        <f t="shared" ref="EF30:EH45" si="3">SUM(EE27:EE30)</f>
        <v>0</v>
      </c>
      <c r="EG30" s="4">
        <f t="shared" si="1"/>
        <v>0</v>
      </c>
      <c r="EH30" s="4">
        <f t="shared" si="3"/>
        <v>0</v>
      </c>
    </row>
    <row r="31" spans="2:138" ht="20.25" customHeight="1" x14ac:dyDescent="0.3">
      <c r="B31" s="24" t="s">
        <v>47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4">
        <f>SUM(C31:L31)*Inicio!$W$4</f>
        <v>0</v>
      </c>
      <c r="DT31" s="4">
        <f>SUM(M31:V31)*Inicio!$W$5</f>
        <v>0</v>
      </c>
      <c r="DU31" s="4">
        <f>SUM(W31:AF31)*Inicio!$W$6</f>
        <v>0</v>
      </c>
      <c r="DV31" s="4">
        <f>SUM(AG31:AP31)*Inicio!$W$7</f>
        <v>0</v>
      </c>
      <c r="DW31" s="4">
        <f>SUM(AQ31:AZ31)*Inicio!$W$8</f>
        <v>0</v>
      </c>
      <c r="DX31" s="4">
        <f>SUM(BA31:BJ31)*Inicio!$W$9</f>
        <v>0</v>
      </c>
      <c r="DY31" s="4">
        <f>SUM(BK31:BT31)*Inicio!$W$10</f>
        <v>0</v>
      </c>
      <c r="DZ31" s="4">
        <f>SUM(BU31:CD31)*Inicio!$W$11</f>
        <v>0</v>
      </c>
      <c r="EA31" s="4">
        <f>SUM(CE31:CN31)*Inicio!$W$12</f>
        <v>0</v>
      </c>
      <c r="EB31" s="4">
        <f>SUM(CO31:CX31)*Inicio!$W$13</f>
        <v>0</v>
      </c>
      <c r="EC31" s="4">
        <f>SUM(CY31:DH31)*Inicio!$W$11</f>
        <v>0</v>
      </c>
      <c r="ED31" s="4">
        <f>SUM(DI31:DR31)*Inicio!$W$12</f>
        <v>0</v>
      </c>
      <c r="EE31" s="4">
        <f t="shared" si="0"/>
        <v>0</v>
      </c>
      <c r="EF31" s="4">
        <f t="shared" si="3"/>
        <v>0</v>
      </c>
      <c r="EG31" s="4">
        <f t="shared" si="1"/>
        <v>0</v>
      </c>
      <c r="EH31" s="4">
        <f t="shared" si="3"/>
        <v>0</v>
      </c>
    </row>
    <row r="32" spans="2:138" ht="20.25" customHeight="1" x14ac:dyDescent="0.3">
      <c r="B32" s="25" t="s">
        <v>48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5">
        <f>SUM(C32:L32)*Inicio!$W$4</f>
        <v>0</v>
      </c>
      <c r="DT32" s="5">
        <f>SUM(M32:V32)*Inicio!$W$5</f>
        <v>0</v>
      </c>
      <c r="DU32" s="5">
        <f>SUM(W32:AF32)*Inicio!$W$6</f>
        <v>0</v>
      </c>
      <c r="DV32" s="5">
        <f>SUM(AG32:AP32)*Inicio!$W$7</f>
        <v>0</v>
      </c>
      <c r="DW32" s="5">
        <f>SUM(AQ32:AZ32)*Inicio!$W$8</f>
        <v>0</v>
      </c>
      <c r="DX32" s="5">
        <f>SUM(BA32:BJ32)*Inicio!$W$9</f>
        <v>0</v>
      </c>
      <c r="DY32" s="5">
        <f>SUM(BK32:BT32)*Inicio!$W$10</f>
        <v>0</v>
      </c>
      <c r="DZ32" s="5">
        <f>SUM(BU32:CD32)*Inicio!$W$11</f>
        <v>0</v>
      </c>
      <c r="EA32" s="5">
        <f>SUM(CE32:CN32)*Inicio!$W$12</f>
        <v>0</v>
      </c>
      <c r="EB32" s="5">
        <f>SUM(CO32:CX32)*Inicio!$W$13</f>
        <v>0</v>
      </c>
      <c r="EC32" s="5">
        <f>SUM(CY32:DH32)*Inicio!$W$11</f>
        <v>0</v>
      </c>
      <c r="ED32" s="5">
        <f>SUM(DI32:DR32)*Inicio!$W$12</f>
        <v>0</v>
      </c>
      <c r="EE32" s="5">
        <f t="shared" si="0"/>
        <v>0</v>
      </c>
      <c r="EF32" s="5">
        <f t="shared" si="3"/>
        <v>0</v>
      </c>
      <c r="EG32" s="5">
        <f t="shared" si="1"/>
        <v>0</v>
      </c>
      <c r="EH32" s="5">
        <f t="shared" si="3"/>
        <v>0</v>
      </c>
    </row>
    <row r="33" spans="2:138" ht="20.25" customHeight="1" x14ac:dyDescent="0.3">
      <c r="B33" s="23" t="s">
        <v>49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3">
        <f>SUM(C33:L33)*Inicio!$W$4</f>
        <v>0</v>
      </c>
      <c r="DT33" s="3">
        <f>SUM(M33:V33)*Inicio!$W$5</f>
        <v>0</v>
      </c>
      <c r="DU33" s="3">
        <f>SUM(W33:AF33)*Inicio!$W$6</f>
        <v>0</v>
      </c>
      <c r="DV33" s="3">
        <f>SUM(AG33:AP33)*Inicio!$W$7</f>
        <v>0</v>
      </c>
      <c r="DW33" s="3">
        <f>SUM(AQ33:AZ33)*Inicio!$W$8</f>
        <v>0</v>
      </c>
      <c r="DX33" s="3">
        <f>SUM(BA33:BJ33)*Inicio!$W$9</f>
        <v>0</v>
      </c>
      <c r="DY33" s="3">
        <f>SUM(BK33:BT33)*Inicio!$W$10</f>
        <v>0</v>
      </c>
      <c r="DZ33" s="3">
        <f>SUM(BU33:CD33)*Inicio!$W$11</f>
        <v>0</v>
      </c>
      <c r="EA33" s="3">
        <f>SUM(CE33:CN33)*Inicio!$W$12</f>
        <v>0</v>
      </c>
      <c r="EB33" s="3">
        <f>SUM(CO33:CX33)*Inicio!$W$13</f>
        <v>0</v>
      </c>
      <c r="EC33" s="3">
        <f>SUM(CY33:DH33)*Inicio!$W$11</f>
        <v>0</v>
      </c>
      <c r="ED33" s="3">
        <f>SUM(DI33:DR33)*Inicio!$W$12</f>
        <v>0</v>
      </c>
      <c r="EE33" s="3">
        <f t="shared" si="0"/>
        <v>0</v>
      </c>
      <c r="EF33" s="3">
        <f t="shared" si="3"/>
        <v>0</v>
      </c>
      <c r="EG33" s="3">
        <f t="shared" si="1"/>
        <v>0</v>
      </c>
      <c r="EH33" s="3">
        <f t="shared" si="3"/>
        <v>0</v>
      </c>
    </row>
    <row r="34" spans="2:138" ht="20.25" customHeight="1" x14ac:dyDescent="0.3">
      <c r="B34" s="24" t="s">
        <v>50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4">
        <f>SUM(C34:L34)*Inicio!$W$4</f>
        <v>0</v>
      </c>
      <c r="DT34" s="4">
        <f>SUM(M34:V34)*Inicio!$W$5</f>
        <v>0</v>
      </c>
      <c r="DU34" s="4">
        <f>SUM(W34:AF34)*Inicio!$W$6</f>
        <v>0</v>
      </c>
      <c r="DV34" s="4">
        <f>SUM(AG34:AP34)*Inicio!$W$7</f>
        <v>0</v>
      </c>
      <c r="DW34" s="4">
        <f>SUM(AQ34:AZ34)*Inicio!$W$8</f>
        <v>0</v>
      </c>
      <c r="DX34" s="4">
        <f>SUM(BA34:BJ34)*Inicio!$W$9</f>
        <v>0</v>
      </c>
      <c r="DY34" s="4">
        <f>SUM(BK34:BT34)*Inicio!$W$10</f>
        <v>0</v>
      </c>
      <c r="DZ34" s="4">
        <f>SUM(BU34:CD34)*Inicio!$W$11</f>
        <v>0</v>
      </c>
      <c r="EA34" s="4">
        <f>SUM(CE34:CN34)*Inicio!$W$12</f>
        <v>0</v>
      </c>
      <c r="EB34" s="4">
        <f>SUM(CO34:CX34)*Inicio!$W$13</f>
        <v>0</v>
      </c>
      <c r="EC34" s="4">
        <f>SUM(CY34:DH34)*Inicio!$W$11</f>
        <v>0</v>
      </c>
      <c r="ED34" s="4">
        <f>SUM(DI34:DR34)*Inicio!$W$12</f>
        <v>0</v>
      </c>
      <c r="EE34" s="4">
        <f t="shared" si="0"/>
        <v>0</v>
      </c>
      <c r="EF34" s="4">
        <f t="shared" si="3"/>
        <v>0</v>
      </c>
      <c r="EG34" s="4">
        <f t="shared" si="1"/>
        <v>0</v>
      </c>
      <c r="EH34" s="4">
        <f t="shared" si="3"/>
        <v>0</v>
      </c>
    </row>
    <row r="35" spans="2:138" ht="20.25" customHeight="1" x14ac:dyDescent="0.3">
      <c r="B35" s="24" t="s">
        <v>51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4">
        <f>SUM(C35:L35)*Inicio!$W$4</f>
        <v>0</v>
      </c>
      <c r="DT35" s="4">
        <f>SUM(M35:V35)*Inicio!$W$5</f>
        <v>0</v>
      </c>
      <c r="DU35" s="4">
        <f>SUM(W35:AF35)*Inicio!$W$6</f>
        <v>0</v>
      </c>
      <c r="DV35" s="4">
        <f>SUM(AG35:AP35)*Inicio!$W$7</f>
        <v>0</v>
      </c>
      <c r="DW35" s="4">
        <f>SUM(AQ35:AZ35)*Inicio!$W$8</f>
        <v>0</v>
      </c>
      <c r="DX35" s="4">
        <f>SUM(BA35:BJ35)*Inicio!$W$9</f>
        <v>0</v>
      </c>
      <c r="DY35" s="4">
        <f>SUM(BK35:BT35)*Inicio!$W$10</f>
        <v>0</v>
      </c>
      <c r="DZ35" s="4">
        <f>SUM(BU35:CD35)*Inicio!$W$11</f>
        <v>0</v>
      </c>
      <c r="EA35" s="4">
        <f>SUM(CE35:CN35)*Inicio!$W$12</f>
        <v>0</v>
      </c>
      <c r="EB35" s="4">
        <f>SUM(CO35:CX35)*Inicio!$W$13</f>
        <v>0</v>
      </c>
      <c r="EC35" s="4">
        <f>SUM(CY35:DH35)*Inicio!$W$11</f>
        <v>0</v>
      </c>
      <c r="ED35" s="4">
        <f>SUM(DI35:DR35)*Inicio!$W$12</f>
        <v>0</v>
      </c>
      <c r="EE35" s="4">
        <f t="shared" si="0"/>
        <v>0</v>
      </c>
      <c r="EF35" s="4">
        <f t="shared" si="3"/>
        <v>0</v>
      </c>
      <c r="EG35" s="4">
        <f t="shared" si="1"/>
        <v>0</v>
      </c>
      <c r="EH35" s="4">
        <f t="shared" si="3"/>
        <v>0</v>
      </c>
    </row>
    <row r="36" spans="2:138" ht="20.25" customHeight="1" x14ac:dyDescent="0.3">
      <c r="B36" s="26" t="s">
        <v>52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5">
        <f>SUM(C36:L36)*Inicio!$W$4</f>
        <v>0</v>
      </c>
      <c r="DT36" s="5">
        <f>SUM(M36:V36)*Inicio!$W$5</f>
        <v>0</v>
      </c>
      <c r="DU36" s="5">
        <f>SUM(W36:AF36)*Inicio!$W$6</f>
        <v>0</v>
      </c>
      <c r="DV36" s="5">
        <f>SUM(AG36:AP36)*Inicio!$W$7</f>
        <v>0</v>
      </c>
      <c r="DW36" s="5">
        <f>SUM(AQ36:AZ36)*Inicio!$W$8</f>
        <v>0</v>
      </c>
      <c r="DX36" s="5">
        <f>SUM(BA36:BJ36)*Inicio!$W$9</f>
        <v>0</v>
      </c>
      <c r="DY36" s="5">
        <f>SUM(BK36:BT36)*Inicio!$W$10</f>
        <v>0</v>
      </c>
      <c r="DZ36" s="5">
        <f>SUM(BU36:CD36)*Inicio!$W$11</f>
        <v>0</v>
      </c>
      <c r="EA36" s="5">
        <f>SUM(CE36:CN36)*Inicio!$W$12</f>
        <v>0</v>
      </c>
      <c r="EB36" s="5">
        <f>SUM(CO36:CX36)*Inicio!$W$13</f>
        <v>0</v>
      </c>
      <c r="EC36" s="5">
        <f>SUM(CY36:DH36)*Inicio!$W$11</f>
        <v>0</v>
      </c>
      <c r="ED36" s="5">
        <f>SUM(DI36:DR36)*Inicio!$W$12</f>
        <v>0</v>
      </c>
      <c r="EE36" s="5">
        <f t="shared" si="0"/>
        <v>0</v>
      </c>
      <c r="EF36" s="5">
        <f t="shared" si="3"/>
        <v>0</v>
      </c>
      <c r="EG36" s="5">
        <f t="shared" si="1"/>
        <v>0</v>
      </c>
      <c r="EH36" s="5">
        <f t="shared" si="3"/>
        <v>0</v>
      </c>
    </row>
    <row r="37" spans="2:138" ht="20.25" customHeight="1" x14ac:dyDescent="0.3">
      <c r="B37" s="27" t="s">
        <v>53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3">
        <f>SUM(C37:L37)*Inicio!$W$4</f>
        <v>0</v>
      </c>
      <c r="DT37" s="3">
        <f>SUM(M37:V37)*Inicio!$W$5</f>
        <v>0</v>
      </c>
      <c r="DU37" s="3">
        <f>SUM(W37:AF37)*Inicio!$W$6</f>
        <v>0</v>
      </c>
      <c r="DV37" s="3">
        <f>SUM(AG37:AP37)*Inicio!$W$7</f>
        <v>0</v>
      </c>
      <c r="DW37" s="3">
        <f>SUM(AQ37:AZ37)*Inicio!$W$8</f>
        <v>0</v>
      </c>
      <c r="DX37" s="3">
        <f>SUM(BA37:BJ37)*Inicio!$W$9</f>
        <v>0</v>
      </c>
      <c r="DY37" s="3">
        <f>SUM(BK37:BT37)*Inicio!$W$10</f>
        <v>0</v>
      </c>
      <c r="DZ37" s="3">
        <f>SUM(BU37:CD37)*Inicio!$W$11</f>
        <v>0</v>
      </c>
      <c r="EA37" s="3">
        <f>SUM(CE37:CN37)*Inicio!$W$12</f>
        <v>0</v>
      </c>
      <c r="EB37" s="3">
        <f>SUM(CO37:CX37)*Inicio!$W$13</f>
        <v>0</v>
      </c>
      <c r="EC37" s="3">
        <f>SUM(CY37:DH37)*Inicio!$W$11</f>
        <v>0</v>
      </c>
      <c r="ED37" s="3">
        <f>SUM(DI37:DR37)*Inicio!$W$12</f>
        <v>0</v>
      </c>
      <c r="EE37" s="3">
        <f t="shared" si="0"/>
        <v>0</v>
      </c>
      <c r="EF37" s="3">
        <f t="shared" si="3"/>
        <v>0</v>
      </c>
      <c r="EG37" s="3">
        <f t="shared" si="1"/>
        <v>0</v>
      </c>
      <c r="EH37" s="3">
        <f t="shared" si="3"/>
        <v>0</v>
      </c>
    </row>
    <row r="38" spans="2:138" ht="20.25" customHeight="1" x14ac:dyDescent="0.3">
      <c r="B38" s="28" t="s">
        <v>54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4">
        <f>SUM(C38:L38)*Inicio!$W$4</f>
        <v>0</v>
      </c>
      <c r="DT38" s="4">
        <f>SUM(M38:V38)*Inicio!$W$5</f>
        <v>0</v>
      </c>
      <c r="DU38" s="4">
        <f>SUM(W38:AF38)*Inicio!$W$6</f>
        <v>0</v>
      </c>
      <c r="DV38" s="4">
        <f>SUM(AG38:AP38)*Inicio!$W$7</f>
        <v>0</v>
      </c>
      <c r="DW38" s="4">
        <f>SUM(AQ38:AZ38)*Inicio!$W$8</f>
        <v>0</v>
      </c>
      <c r="DX38" s="4">
        <f>SUM(BA38:BJ38)*Inicio!$W$9</f>
        <v>0</v>
      </c>
      <c r="DY38" s="4">
        <f>SUM(BK38:BT38)*Inicio!$W$10</f>
        <v>0</v>
      </c>
      <c r="DZ38" s="4">
        <f>SUM(BU38:CD38)*Inicio!$W$11</f>
        <v>0</v>
      </c>
      <c r="EA38" s="4">
        <f>SUM(CE38:CN38)*Inicio!$W$12</f>
        <v>0</v>
      </c>
      <c r="EB38" s="4">
        <f>SUM(CO38:CX38)*Inicio!$W$13</f>
        <v>0</v>
      </c>
      <c r="EC38" s="4">
        <f>SUM(CY38:DH38)*Inicio!$W$11</f>
        <v>0</v>
      </c>
      <c r="ED38" s="4">
        <f>SUM(DI38:DR38)*Inicio!$W$12</f>
        <v>0</v>
      </c>
      <c r="EE38" s="4">
        <f t="shared" si="0"/>
        <v>0</v>
      </c>
      <c r="EF38" s="4">
        <f t="shared" si="3"/>
        <v>0</v>
      </c>
      <c r="EG38" s="4">
        <f t="shared" si="1"/>
        <v>0</v>
      </c>
      <c r="EH38" s="4">
        <f t="shared" si="3"/>
        <v>0</v>
      </c>
    </row>
    <row r="39" spans="2:138" ht="20.25" customHeight="1" x14ac:dyDescent="0.3">
      <c r="B39" s="28" t="s">
        <v>55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4">
        <f>SUM(C39:L39)*Inicio!$W$4</f>
        <v>0</v>
      </c>
      <c r="DT39" s="4">
        <f>SUM(M39:V39)*Inicio!$W$5</f>
        <v>0</v>
      </c>
      <c r="DU39" s="4">
        <f>SUM(W39:AF39)*Inicio!$W$6</f>
        <v>0</v>
      </c>
      <c r="DV39" s="4">
        <f>SUM(AG39:AP39)*Inicio!$W$7</f>
        <v>0</v>
      </c>
      <c r="DW39" s="4">
        <f>SUM(AQ39:AZ39)*Inicio!$W$8</f>
        <v>0</v>
      </c>
      <c r="DX39" s="4">
        <f>SUM(BA39:BJ39)*Inicio!$W$9</f>
        <v>0</v>
      </c>
      <c r="DY39" s="4">
        <f>SUM(BK39:BT39)*Inicio!$W$10</f>
        <v>0</v>
      </c>
      <c r="DZ39" s="4">
        <f>SUM(BU39:CD39)*Inicio!$W$11</f>
        <v>0</v>
      </c>
      <c r="EA39" s="4">
        <f>SUM(CE39:CN39)*Inicio!$W$12</f>
        <v>0</v>
      </c>
      <c r="EB39" s="4">
        <f>SUM(CO39:CX39)*Inicio!$W$13</f>
        <v>0</v>
      </c>
      <c r="EC39" s="4">
        <f>SUM(CY39:DH39)*Inicio!$W$11</f>
        <v>0</v>
      </c>
      <c r="ED39" s="4">
        <f>SUM(DI39:DR39)*Inicio!$W$12</f>
        <v>0</v>
      </c>
      <c r="EE39" s="4">
        <f t="shared" si="0"/>
        <v>0</v>
      </c>
      <c r="EF39" s="4">
        <f t="shared" si="3"/>
        <v>0</v>
      </c>
      <c r="EG39" s="4">
        <f t="shared" si="1"/>
        <v>0</v>
      </c>
      <c r="EH39" s="4">
        <f t="shared" si="3"/>
        <v>0</v>
      </c>
    </row>
    <row r="40" spans="2:138" ht="20.25" customHeight="1" x14ac:dyDescent="0.3">
      <c r="B40" s="26" t="s">
        <v>56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5">
        <f>SUM(C40:L40)*Inicio!$W$4</f>
        <v>0</v>
      </c>
      <c r="DT40" s="5">
        <f>SUM(M40:V40)*Inicio!$W$5</f>
        <v>0</v>
      </c>
      <c r="DU40" s="5">
        <f>SUM(W40:AF40)*Inicio!$W$6</f>
        <v>0</v>
      </c>
      <c r="DV40" s="5">
        <f>SUM(AG40:AP40)*Inicio!$W$7</f>
        <v>0</v>
      </c>
      <c r="DW40" s="5">
        <f>SUM(AQ40:AZ40)*Inicio!$W$8</f>
        <v>0</v>
      </c>
      <c r="DX40" s="5">
        <f>SUM(BA40:BJ40)*Inicio!$W$9</f>
        <v>0</v>
      </c>
      <c r="DY40" s="5">
        <f>SUM(BK40:BT40)*Inicio!$W$10</f>
        <v>0</v>
      </c>
      <c r="DZ40" s="5">
        <f>SUM(BU40:CD40)*Inicio!$W$11</f>
        <v>0</v>
      </c>
      <c r="EA40" s="5">
        <f>SUM(CE40:CN40)*Inicio!$W$12</f>
        <v>0</v>
      </c>
      <c r="EB40" s="5">
        <f>SUM(CO40:CX40)*Inicio!$W$13</f>
        <v>0</v>
      </c>
      <c r="EC40" s="5">
        <f>SUM(CY40:DH40)*Inicio!$W$11</f>
        <v>0</v>
      </c>
      <c r="ED40" s="5">
        <f>SUM(DI40:DR40)*Inicio!$W$12</f>
        <v>0</v>
      </c>
      <c r="EE40" s="5">
        <f t="shared" si="0"/>
        <v>0</v>
      </c>
      <c r="EF40" s="5">
        <f t="shared" si="3"/>
        <v>0</v>
      </c>
      <c r="EG40" s="5">
        <f t="shared" si="1"/>
        <v>0</v>
      </c>
      <c r="EH40" s="5">
        <f t="shared" si="3"/>
        <v>0</v>
      </c>
    </row>
    <row r="41" spans="2:138" ht="20.25" customHeight="1" x14ac:dyDescent="0.3">
      <c r="B41" s="27" t="s">
        <v>57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3">
        <f>SUM(C41:L41)*Inicio!$W$4</f>
        <v>0</v>
      </c>
      <c r="DT41" s="3">
        <f>SUM(M41:V41)*Inicio!$W$5</f>
        <v>0</v>
      </c>
      <c r="DU41" s="3">
        <f>SUM(W41:AF41)*Inicio!$W$6</f>
        <v>0</v>
      </c>
      <c r="DV41" s="3">
        <f>SUM(AG41:AP41)*Inicio!$W$7</f>
        <v>0</v>
      </c>
      <c r="DW41" s="3">
        <f>SUM(AQ41:AZ41)*Inicio!$W$8</f>
        <v>0</v>
      </c>
      <c r="DX41" s="3">
        <f>SUM(BA41:BJ41)*Inicio!$W$9</f>
        <v>0</v>
      </c>
      <c r="DY41" s="3">
        <f>SUM(BK41:BT41)*Inicio!$W$10</f>
        <v>0</v>
      </c>
      <c r="DZ41" s="3">
        <f>SUM(BU41:CD41)*Inicio!$W$11</f>
        <v>0</v>
      </c>
      <c r="EA41" s="3">
        <f>SUM(CE41:CN41)*Inicio!$W$12</f>
        <v>0</v>
      </c>
      <c r="EB41" s="3">
        <f>SUM(CO41:CX41)*Inicio!$W$13</f>
        <v>0</v>
      </c>
      <c r="EC41" s="3">
        <f>SUM(CY41:DH41)*Inicio!$W$11</f>
        <v>0</v>
      </c>
      <c r="ED41" s="3">
        <f>SUM(DI41:DR41)*Inicio!$W$12</f>
        <v>0</v>
      </c>
      <c r="EE41" s="3">
        <f t="shared" si="0"/>
        <v>0</v>
      </c>
      <c r="EF41" s="3">
        <f t="shared" si="3"/>
        <v>0</v>
      </c>
      <c r="EG41" s="3">
        <f t="shared" si="1"/>
        <v>0</v>
      </c>
      <c r="EH41" s="3">
        <f t="shared" si="3"/>
        <v>0</v>
      </c>
    </row>
    <row r="42" spans="2:138" ht="20.25" customHeight="1" x14ac:dyDescent="0.3">
      <c r="B42" s="28" t="s">
        <v>58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4">
        <f>SUM(C42:L42)*Inicio!$W$4</f>
        <v>0</v>
      </c>
      <c r="DT42" s="4">
        <f>SUM(M42:V42)*Inicio!$W$5</f>
        <v>0</v>
      </c>
      <c r="DU42" s="4">
        <f>SUM(W42:AF42)*Inicio!$W$6</f>
        <v>0</v>
      </c>
      <c r="DV42" s="4">
        <f>SUM(AG42:AP42)*Inicio!$W$7</f>
        <v>0</v>
      </c>
      <c r="DW42" s="4">
        <f>SUM(AQ42:AZ42)*Inicio!$W$8</f>
        <v>0</v>
      </c>
      <c r="DX42" s="4">
        <f>SUM(BA42:BJ42)*Inicio!$W$9</f>
        <v>0</v>
      </c>
      <c r="DY42" s="4">
        <f>SUM(BK42:BT42)*Inicio!$W$10</f>
        <v>0</v>
      </c>
      <c r="DZ42" s="4">
        <f>SUM(BU42:CD42)*Inicio!$W$11</f>
        <v>0</v>
      </c>
      <c r="EA42" s="4">
        <f>SUM(CE42:CN42)*Inicio!$W$12</f>
        <v>0</v>
      </c>
      <c r="EB42" s="4">
        <f>SUM(CO42:CX42)*Inicio!$W$13</f>
        <v>0</v>
      </c>
      <c r="EC42" s="4">
        <f>SUM(CY42:DH42)*Inicio!$W$11</f>
        <v>0</v>
      </c>
      <c r="ED42" s="4">
        <f>SUM(DI42:DR42)*Inicio!$W$12</f>
        <v>0</v>
      </c>
      <c r="EE42" s="4">
        <f t="shared" si="0"/>
        <v>0</v>
      </c>
      <c r="EF42" s="4">
        <f t="shared" si="3"/>
        <v>0</v>
      </c>
      <c r="EG42" s="4">
        <f t="shared" si="1"/>
        <v>0</v>
      </c>
      <c r="EH42" s="4">
        <f t="shared" si="3"/>
        <v>0</v>
      </c>
    </row>
    <row r="43" spans="2:138" ht="20.25" customHeight="1" x14ac:dyDescent="0.3">
      <c r="B43" s="28" t="s">
        <v>59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4">
        <f>SUM(C43:L43)*Inicio!$W$4</f>
        <v>0</v>
      </c>
      <c r="DT43" s="4">
        <f>SUM(M43:V43)*Inicio!$W$5</f>
        <v>0</v>
      </c>
      <c r="DU43" s="4">
        <f>SUM(W43:AF43)*Inicio!$W$6</f>
        <v>0</v>
      </c>
      <c r="DV43" s="4">
        <f>SUM(AG43:AP43)*Inicio!$W$7</f>
        <v>0</v>
      </c>
      <c r="DW43" s="4">
        <f>SUM(AQ43:AZ43)*Inicio!$W$8</f>
        <v>0</v>
      </c>
      <c r="DX43" s="4">
        <f>SUM(BA43:BJ43)*Inicio!$W$9</f>
        <v>0</v>
      </c>
      <c r="DY43" s="4">
        <f>SUM(BK43:BT43)*Inicio!$W$10</f>
        <v>0</v>
      </c>
      <c r="DZ43" s="4">
        <f>SUM(BU43:CD43)*Inicio!$W$11</f>
        <v>0</v>
      </c>
      <c r="EA43" s="4">
        <f>SUM(CE43:CN43)*Inicio!$W$12</f>
        <v>0</v>
      </c>
      <c r="EB43" s="4">
        <f>SUM(CO43:CX43)*Inicio!$W$13</f>
        <v>0</v>
      </c>
      <c r="EC43" s="4">
        <f>SUM(CY43:DH43)*Inicio!$W$11</f>
        <v>0</v>
      </c>
      <c r="ED43" s="4">
        <f>SUM(DI43:DR43)*Inicio!$W$12</f>
        <v>0</v>
      </c>
      <c r="EE43" s="4">
        <f t="shared" si="0"/>
        <v>0</v>
      </c>
      <c r="EF43" s="4">
        <f t="shared" si="3"/>
        <v>0</v>
      </c>
      <c r="EG43" s="4">
        <f t="shared" si="1"/>
        <v>0</v>
      </c>
      <c r="EH43" s="4">
        <f t="shared" si="3"/>
        <v>0</v>
      </c>
    </row>
    <row r="44" spans="2:138" ht="20.25" customHeight="1" x14ac:dyDescent="0.3">
      <c r="B44" s="26" t="s">
        <v>60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5">
        <f>SUM(C44:L44)*Inicio!$W$4</f>
        <v>0</v>
      </c>
      <c r="DT44" s="5">
        <f>SUM(M44:V44)*Inicio!$W$5</f>
        <v>0</v>
      </c>
      <c r="DU44" s="5">
        <f>SUM(W44:AF44)*Inicio!$W$6</f>
        <v>0</v>
      </c>
      <c r="DV44" s="5">
        <f>SUM(AG44:AP44)*Inicio!$W$7</f>
        <v>0</v>
      </c>
      <c r="DW44" s="5">
        <f>SUM(AQ44:AZ44)*Inicio!$W$8</f>
        <v>0</v>
      </c>
      <c r="DX44" s="5">
        <f>SUM(BA44:BJ44)*Inicio!$W$9</f>
        <v>0</v>
      </c>
      <c r="DY44" s="5">
        <f>SUM(BK44:BT44)*Inicio!$W$10</f>
        <v>0</v>
      </c>
      <c r="DZ44" s="5">
        <f>SUM(BU44:CD44)*Inicio!$W$11</f>
        <v>0</v>
      </c>
      <c r="EA44" s="5">
        <f>SUM(CE44:CN44)*Inicio!$W$12</f>
        <v>0</v>
      </c>
      <c r="EB44" s="5">
        <f>SUM(CO44:CX44)*Inicio!$W$13</f>
        <v>0</v>
      </c>
      <c r="EC44" s="5">
        <f>SUM(CY44:DH44)*Inicio!$W$11</f>
        <v>0</v>
      </c>
      <c r="ED44" s="5">
        <f>SUM(DI44:DR44)*Inicio!$W$12</f>
        <v>0</v>
      </c>
      <c r="EE44" s="5">
        <f t="shared" si="0"/>
        <v>0</v>
      </c>
      <c r="EF44" s="5">
        <f t="shared" si="3"/>
        <v>0</v>
      </c>
      <c r="EG44" s="5">
        <f t="shared" si="1"/>
        <v>0</v>
      </c>
      <c r="EH44" s="5">
        <f t="shared" si="3"/>
        <v>0</v>
      </c>
    </row>
    <row r="45" spans="2:138" ht="20.25" customHeight="1" x14ac:dyDescent="0.3">
      <c r="B45" s="27" t="s">
        <v>61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3">
        <f>SUM(C45:L45)*Inicio!$W$4</f>
        <v>0</v>
      </c>
      <c r="DT45" s="3">
        <f>SUM(M45:V45)*Inicio!$W$5</f>
        <v>0</v>
      </c>
      <c r="DU45" s="3">
        <f>SUM(W45:AF45)*Inicio!$W$6</f>
        <v>0</v>
      </c>
      <c r="DV45" s="3">
        <f>SUM(AG45:AP45)*Inicio!$W$7</f>
        <v>0</v>
      </c>
      <c r="DW45" s="3">
        <f>SUM(AQ45:AZ45)*Inicio!$W$8</f>
        <v>0</v>
      </c>
      <c r="DX45" s="3">
        <f>SUM(BA45:BJ45)*Inicio!$W$9</f>
        <v>0</v>
      </c>
      <c r="DY45" s="3">
        <f>SUM(BK45:BT45)*Inicio!$W$10</f>
        <v>0</v>
      </c>
      <c r="DZ45" s="3">
        <f>SUM(BU45:CD45)*Inicio!$W$11</f>
        <v>0</v>
      </c>
      <c r="EA45" s="3">
        <f>SUM(CE45:CN45)*Inicio!$W$12</f>
        <v>0</v>
      </c>
      <c r="EB45" s="3">
        <f>SUM(CO45:CX45)*Inicio!$W$13</f>
        <v>0</v>
      </c>
      <c r="EC45" s="3">
        <f>SUM(CY45:DH45)*Inicio!$W$11</f>
        <v>0</v>
      </c>
      <c r="ED45" s="3">
        <f>SUM(DI45:DR45)*Inicio!$W$12</f>
        <v>0</v>
      </c>
      <c r="EE45" s="3">
        <f t="shared" si="0"/>
        <v>0</v>
      </c>
      <c r="EF45" s="3">
        <f t="shared" si="3"/>
        <v>0</v>
      </c>
      <c r="EG45" s="3">
        <f t="shared" si="1"/>
        <v>0</v>
      </c>
      <c r="EH45" s="3">
        <f t="shared" si="3"/>
        <v>0</v>
      </c>
    </row>
    <row r="46" spans="2:138" ht="20.25" customHeight="1" x14ac:dyDescent="0.3">
      <c r="B46" s="28" t="s">
        <v>62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4">
        <f>SUM(C46:L46)*Inicio!$W$4</f>
        <v>0</v>
      </c>
      <c r="DT46" s="4">
        <f>SUM(M46:V46)*Inicio!$W$5</f>
        <v>0</v>
      </c>
      <c r="DU46" s="4">
        <f>SUM(W46:AF46)*Inicio!$W$6</f>
        <v>0</v>
      </c>
      <c r="DV46" s="4">
        <f>SUM(AG46:AP46)*Inicio!$W$7</f>
        <v>0</v>
      </c>
      <c r="DW46" s="4">
        <f>SUM(AQ46:AZ46)*Inicio!$W$8</f>
        <v>0</v>
      </c>
      <c r="DX46" s="4">
        <f>SUM(BA46:BJ46)*Inicio!$W$9</f>
        <v>0</v>
      </c>
      <c r="DY46" s="4">
        <f>SUM(BK46:BT46)*Inicio!$W$10</f>
        <v>0</v>
      </c>
      <c r="DZ46" s="4">
        <f>SUM(BU46:CD46)*Inicio!$W$11</f>
        <v>0</v>
      </c>
      <c r="EA46" s="4">
        <f>SUM(CE46:CN46)*Inicio!$W$12</f>
        <v>0</v>
      </c>
      <c r="EB46" s="4">
        <f>SUM(CO46:CX46)*Inicio!$W$13</f>
        <v>0</v>
      </c>
      <c r="EC46" s="4">
        <f>SUM(CY46:DH46)*Inicio!$W$11</f>
        <v>0</v>
      </c>
      <c r="ED46" s="4">
        <f>SUM(DI46:DR46)*Inicio!$W$12</f>
        <v>0</v>
      </c>
      <c r="EE46" s="4">
        <f t="shared" si="0"/>
        <v>0</v>
      </c>
      <c r="EF46" s="4">
        <f t="shared" ref="EF46:EH61" si="4">SUM(EE43:EE46)</f>
        <v>0</v>
      </c>
      <c r="EG46" s="4">
        <f t="shared" si="1"/>
        <v>0</v>
      </c>
      <c r="EH46" s="4">
        <f t="shared" si="4"/>
        <v>0</v>
      </c>
    </row>
    <row r="47" spans="2:138" ht="20.25" customHeight="1" x14ac:dyDescent="0.3">
      <c r="B47" s="28" t="s">
        <v>63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4">
        <f>SUM(C47:L47)*Inicio!$W$4</f>
        <v>0</v>
      </c>
      <c r="DT47" s="4">
        <f>SUM(M47:V47)*Inicio!$W$5</f>
        <v>0</v>
      </c>
      <c r="DU47" s="4">
        <f>SUM(W47:AF47)*Inicio!$W$6</f>
        <v>0</v>
      </c>
      <c r="DV47" s="4">
        <f>SUM(AG47:AP47)*Inicio!$W$7</f>
        <v>0</v>
      </c>
      <c r="DW47" s="4">
        <f>SUM(AQ47:AZ47)*Inicio!$W$8</f>
        <v>0</v>
      </c>
      <c r="DX47" s="4">
        <f>SUM(BA47:BJ47)*Inicio!$W$9</f>
        <v>0</v>
      </c>
      <c r="DY47" s="4">
        <f>SUM(BK47:BT47)*Inicio!$W$10</f>
        <v>0</v>
      </c>
      <c r="DZ47" s="4">
        <f>SUM(BU47:CD47)*Inicio!$W$11</f>
        <v>0</v>
      </c>
      <c r="EA47" s="4">
        <f>SUM(CE47:CN47)*Inicio!$W$12</f>
        <v>0</v>
      </c>
      <c r="EB47" s="4">
        <f>SUM(CO47:CX47)*Inicio!$W$13</f>
        <v>0</v>
      </c>
      <c r="EC47" s="4">
        <f>SUM(CY47:DH47)*Inicio!$W$11</f>
        <v>0</v>
      </c>
      <c r="ED47" s="4">
        <f>SUM(DI47:DR47)*Inicio!$W$12</f>
        <v>0</v>
      </c>
      <c r="EE47" s="4">
        <f t="shared" si="0"/>
        <v>0</v>
      </c>
      <c r="EF47" s="4">
        <f t="shared" si="4"/>
        <v>0</v>
      </c>
      <c r="EG47" s="4">
        <f t="shared" si="1"/>
        <v>0</v>
      </c>
      <c r="EH47" s="4">
        <f t="shared" si="4"/>
        <v>0</v>
      </c>
    </row>
    <row r="48" spans="2:138" ht="20.25" customHeight="1" x14ac:dyDescent="0.3">
      <c r="B48" s="26" t="s">
        <v>64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5">
        <f>SUM(C48:L48)*Inicio!$W$4</f>
        <v>0</v>
      </c>
      <c r="DT48" s="5">
        <f>SUM(M48:V48)*Inicio!$W$5</f>
        <v>0</v>
      </c>
      <c r="DU48" s="5">
        <f>SUM(W48:AF48)*Inicio!$W$6</f>
        <v>0</v>
      </c>
      <c r="DV48" s="5">
        <f>SUM(AG48:AP48)*Inicio!$W$7</f>
        <v>0</v>
      </c>
      <c r="DW48" s="5">
        <f>SUM(AQ48:AZ48)*Inicio!$W$8</f>
        <v>0</v>
      </c>
      <c r="DX48" s="5">
        <f>SUM(BA48:BJ48)*Inicio!$W$9</f>
        <v>0</v>
      </c>
      <c r="DY48" s="5">
        <f>SUM(BK48:BT48)*Inicio!$W$10</f>
        <v>0</v>
      </c>
      <c r="DZ48" s="5">
        <f>SUM(BU48:CD48)*Inicio!$W$11</f>
        <v>0</v>
      </c>
      <c r="EA48" s="5">
        <f>SUM(CE48:CN48)*Inicio!$W$12</f>
        <v>0</v>
      </c>
      <c r="EB48" s="5">
        <f>SUM(CO48:CX48)*Inicio!$W$13</f>
        <v>0</v>
      </c>
      <c r="EC48" s="5">
        <f>SUM(CY48:DH48)*Inicio!$W$11</f>
        <v>0</v>
      </c>
      <c r="ED48" s="5">
        <f>SUM(DI48:DR48)*Inicio!$W$12</f>
        <v>0</v>
      </c>
      <c r="EE48" s="5">
        <f t="shared" si="0"/>
        <v>0</v>
      </c>
      <c r="EF48" s="5">
        <f t="shared" si="4"/>
        <v>0</v>
      </c>
      <c r="EG48" s="5">
        <f t="shared" si="1"/>
        <v>0</v>
      </c>
      <c r="EH48" s="5">
        <f t="shared" si="4"/>
        <v>0</v>
      </c>
    </row>
    <row r="49" spans="2:138" ht="20.25" customHeight="1" x14ac:dyDescent="0.3">
      <c r="B49" s="27" t="s">
        <v>65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3">
        <f>SUM(C49:L49)*Inicio!$W$4</f>
        <v>0</v>
      </c>
      <c r="DT49" s="3">
        <f>SUM(M49:V49)*Inicio!$W$5</f>
        <v>0</v>
      </c>
      <c r="DU49" s="3">
        <f>SUM(W49:AF49)*Inicio!$W$6</f>
        <v>0</v>
      </c>
      <c r="DV49" s="3">
        <f>SUM(AG49:AP49)*Inicio!$W$7</f>
        <v>0</v>
      </c>
      <c r="DW49" s="3">
        <f>SUM(AQ49:AZ49)*Inicio!$W$8</f>
        <v>0</v>
      </c>
      <c r="DX49" s="3">
        <f>SUM(BA49:BJ49)*Inicio!$W$9</f>
        <v>0</v>
      </c>
      <c r="DY49" s="3">
        <f>SUM(BK49:BT49)*Inicio!$W$10</f>
        <v>0</v>
      </c>
      <c r="DZ49" s="3">
        <f>SUM(BU49:CD49)*Inicio!$W$11</f>
        <v>0</v>
      </c>
      <c r="EA49" s="3">
        <f>SUM(CE49:CN49)*Inicio!$W$12</f>
        <v>0</v>
      </c>
      <c r="EB49" s="3">
        <f>SUM(CO49:CX49)*Inicio!$W$13</f>
        <v>0</v>
      </c>
      <c r="EC49" s="3">
        <f>SUM(CY49:DH49)*Inicio!$W$11</f>
        <v>0</v>
      </c>
      <c r="ED49" s="3">
        <f>SUM(DI49:DR49)*Inicio!$W$12</f>
        <v>0</v>
      </c>
      <c r="EE49" s="3">
        <f t="shared" si="0"/>
        <v>0</v>
      </c>
      <c r="EF49" s="3">
        <f t="shared" si="4"/>
        <v>0</v>
      </c>
      <c r="EG49" s="3">
        <f t="shared" si="1"/>
        <v>0</v>
      </c>
      <c r="EH49" s="3">
        <f t="shared" si="4"/>
        <v>0</v>
      </c>
    </row>
    <row r="50" spans="2:138" ht="20.25" customHeight="1" x14ac:dyDescent="0.3">
      <c r="B50" s="28" t="s">
        <v>66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4">
        <f>SUM(C50:L50)*Inicio!$W$4</f>
        <v>0</v>
      </c>
      <c r="DT50" s="4">
        <f>SUM(M50:V50)*Inicio!$W$5</f>
        <v>0</v>
      </c>
      <c r="DU50" s="4">
        <f>SUM(W50:AF50)*Inicio!$W$6</f>
        <v>0</v>
      </c>
      <c r="DV50" s="4">
        <f>SUM(AG50:AP50)*Inicio!$W$7</f>
        <v>0</v>
      </c>
      <c r="DW50" s="4">
        <f>SUM(AQ50:AZ50)*Inicio!$W$8</f>
        <v>0</v>
      </c>
      <c r="DX50" s="4">
        <f>SUM(BA50:BJ50)*Inicio!$W$9</f>
        <v>0</v>
      </c>
      <c r="DY50" s="4">
        <f>SUM(BK50:BT50)*Inicio!$W$10</f>
        <v>0</v>
      </c>
      <c r="DZ50" s="4">
        <f>SUM(BU50:CD50)*Inicio!$W$11</f>
        <v>0</v>
      </c>
      <c r="EA50" s="4">
        <f>SUM(CE50:CN50)*Inicio!$W$12</f>
        <v>0</v>
      </c>
      <c r="EB50" s="4">
        <f>SUM(CO50:CX50)*Inicio!$W$13</f>
        <v>0</v>
      </c>
      <c r="EC50" s="4">
        <f>SUM(CY50:DH50)*Inicio!$W$11</f>
        <v>0</v>
      </c>
      <c r="ED50" s="4">
        <f>SUM(DI50:DR50)*Inicio!$W$12</f>
        <v>0</v>
      </c>
      <c r="EE50" s="4">
        <f t="shared" si="0"/>
        <v>0</v>
      </c>
      <c r="EF50" s="4">
        <f t="shared" si="4"/>
        <v>0</v>
      </c>
      <c r="EG50" s="4">
        <f t="shared" si="1"/>
        <v>0</v>
      </c>
      <c r="EH50" s="4">
        <f t="shared" si="4"/>
        <v>0</v>
      </c>
    </row>
    <row r="51" spans="2:138" ht="20.25" customHeight="1" x14ac:dyDescent="0.3">
      <c r="B51" s="28" t="s">
        <v>67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4">
        <f>SUM(C51:L51)*Inicio!$W$4</f>
        <v>0</v>
      </c>
      <c r="DT51" s="4">
        <f>SUM(M51:V51)*Inicio!$W$5</f>
        <v>0</v>
      </c>
      <c r="DU51" s="4">
        <f>SUM(W51:AF51)*Inicio!$W$6</f>
        <v>0</v>
      </c>
      <c r="DV51" s="4">
        <f>SUM(AG51:AP51)*Inicio!$W$7</f>
        <v>0</v>
      </c>
      <c r="DW51" s="4">
        <f>SUM(AQ51:AZ51)*Inicio!$W$8</f>
        <v>0</v>
      </c>
      <c r="DX51" s="4">
        <f>SUM(BA51:BJ51)*Inicio!$W$9</f>
        <v>0</v>
      </c>
      <c r="DY51" s="4">
        <f>SUM(BK51:BT51)*Inicio!$W$10</f>
        <v>0</v>
      </c>
      <c r="DZ51" s="4">
        <f>SUM(BU51:CD51)*Inicio!$W$11</f>
        <v>0</v>
      </c>
      <c r="EA51" s="4">
        <f>SUM(CE51:CN51)*Inicio!$W$12</f>
        <v>0</v>
      </c>
      <c r="EB51" s="4">
        <f>SUM(CO51:CX51)*Inicio!$W$13</f>
        <v>0</v>
      </c>
      <c r="EC51" s="4">
        <f>SUM(CY51:DH51)*Inicio!$W$11</f>
        <v>0</v>
      </c>
      <c r="ED51" s="4">
        <f>SUM(DI51:DR51)*Inicio!$W$12</f>
        <v>0</v>
      </c>
      <c r="EE51" s="4">
        <f t="shared" si="0"/>
        <v>0</v>
      </c>
      <c r="EF51" s="4">
        <f t="shared" si="4"/>
        <v>0</v>
      </c>
      <c r="EG51" s="4">
        <f t="shared" si="1"/>
        <v>0</v>
      </c>
      <c r="EH51" s="4">
        <f t="shared" si="4"/>
        <v>0</v>
      </c>
    </row>
    <row r="52" spans="2:138" ht="20.25" customHeight="1" x14ac:dyDescent="0.3">
      <c r="B52" s="26" t="s">
        <v>68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5">
        <f>SUM(C52:L52)*Inicio!$W$4</f>
        <v>0</v>
      </c>
      <c r="DT52" s="5">
        <f>SUM(M52:V52)*Inicio!$W$5</f>
        <v>0</v>
      </c>
      <c r="DU52" s="5">
        <f>SUM(W52:AF52)*Inicio!$W$6</f>
        <v>0</v>
      </c>
      <c r="DV52" s="5">
        <f>SUM(AG52:AP52)*Inicio!$W$7</f>
        <v>0</v>
      </c>
      <c r="DW52" s="5">
        <f>SUM(AQ52:AZ52)*Inicio!$W$8</f>
        <v>0</v>
      </c>
      <c r="DX52" s="5">
        <f>SUM(BA52:BJ52)*Inicio!$W$9</f>
        <v>0</v>
      </c>
      <c r="DY52" s="5">
        <f>SUM(BK52:BT52)*Inicio!$W$10</f>
        <v>0</v>
      </c>
      <c r="DZ52" s="5">
        <f>SUM(BU52:CD52)*Inicio!$W$11</f>
        <v>0</v>
      </c>
      <c r="EA52" s="5">
        <f>SUM(CE52:CN52)*Inicio!$W$12</f>
        <v>0</v>
      </c>
      <c r="EB52" s="5">
        <f>SUM(CO52:CX52)*Inicio!$W$13</f>
        <v>0</v>
      </c>
      <c r="EC52" s="5">
        <f>SUM(CY52:DH52)*Inicio!$W$11</f>
        <v>0</v>
      </c>
      <c r="ED52" s="5">
        <f>SUM(DI52:DR52)*Inicio!$W$12</f>
        <v>0</v>
      </c>
      <c r="EE52" s="5">
        <f t="shared" si="0"/>
        <v>0</v>
      </c>
      <c r="EF52" s="5">
        <f t="shared" si="4"/>
        <v>0</v>
      </c>
      <c r="EG52" s="5">
        <f t="shared" si="1"/>
        <v>0</v>
      </c>
      <c r="EH52" s="5">
        <f t="shared" si="4"/>
        <v>0</v>
      </c>
    </row>
    <row r="53" spans="2:138" ht="20.25" customHeight="1" x14ac:dyDescent="0.3">
      <c r="B53" s="27" t="s">
        <v>69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4">
        <f>SUM(C53:L53)*Inicio!$W$4</f>
        <v>0</v>
      </c>
      <c r="DT53" s="4">
        <f>SUM(M53:V53)*Inicio!$W$5</f>
        <v>0</v>
      </c>
      <c r="DU53" s="4">
        <f>SUM(W53:AF53)*Inicio!$W$6</f>
        <v>0</v>
      </c>
      <c r="DV53" s="4">
        <f>SUM(AG53:AP53)*Inicio!$W$7</f>
        <v>0</v>
      </c>
      <c r="DW53" s="4">
        <f>SUM(AQ53:AZ53)*Inicio!$W$8</f>
        <v>0</v>
      </c>
      <c r="DX53" s="4">
        <f>SUM(BA53:BJ53)*Inicio!$W$9</f>
        <v>0</v>
      </c>
      <c r="DY53" s="4">
        <f>SUM(BK53:BT53)*Inicio!$W$10</f>
        <v>0</v>
      </c>
      <c r="DZ53" s="4">
        <f>SUM(BU53:CD53)*Inicio!$W$11</f>
        <v>0</v>
      </c>
      <c r="EA53" s="4">
        <f>SUM(CE53:CN53)*Inicio!$W$12</f>
        <v>0</v>
      </c>
      <c r="EB53" s="4">
        <f>SUM(CO53:CX53)*Inicio!$W$13</f>
        <v>0</v>
      </c>
      <c r="EC53" s="4">
        <f>SUM(CY53:DH53)*Inicio!$W$11</f>
        <v>0</v>
      </c>
      <c r="ED53" s="4">
        <f>SUM(DI53:DR53)*Inicio!$W$12</f>
        <v>0</v>
      </c>
      <c r="EE53" s="4">
        <f t="shared" si="0"/>
        <v>0</v>
      </c>
      <c r="EF53" s="4">
        <f t="shared" si="4"/>
        <v>0</v>
      </c>
      <c r="EG53" s="4">
        <f t="shared" si="1"/>
        <v>0</v>
      </c>
      <c r="EH53" s="4">
        <f t="shared" si="4"/>
        <v>0</v>
      </c>
    </row>
    <row r="54" spans="2:138" ht="20.25" customHeight="1" x14ac:dyDescent="0.3">
      <c r="B54" s="28" t="s">
        <v>70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4">
        <f>SUM(C54:L54)*Inicio!$W$4</f>
        <v>0</v>
      </c>
      <c r="DT54" s="4">
        <f>SUM(M54:V54)*Inicio!$W$5</f>
        <v>0</v>
      </c>
      <c r="DU54" s="4">
        <f>SUM(W54:AF54)*Inicio!$W$6</f>
        <v>0</v>
      </c>
      <c r="DV54" s="4">
        <f>SUM(AG54:AP54)*Inicio!$W$7</f>
        <v>0</v>
      </c>
      <c r="DW54" s="4">
        <f>SUM(AQ54:AZ54)*Inicio!$W$8</f>
        <v>0</v>
      </c>
      <c r="DX54" s="4">
        <f>SUM(BA54:BJ54)*Inicio!$W$9</f>
        <v>0</v>
      </c>
      <c r="DY54" s="4">
        <f>SUM(BK54:BT54)*Inicio!$W$10</f>
        <v>0</v>
      </c>
      <c r="DZ54" s="4">
        <f>SUM(BU54:CD54)*Inicio!$W$11</f>
        <v>0</v>
      </c>
      <c r="EA54" s="4">
        <f>SUM(CE54:CN54)*Inicio!$W$12</f>
        <v>0</v>
      </c>
      <c r="EB54" s="4">
        <f>SUM(CO54:CX54)*Inicio!$W$13</f>
        <v>0</v>
      </c>
      <c r="EC54" s="4">
        <f>SUM(CY54:DH54)*Inicio!$W$11</f>
        <v>0</v>
      </c>
      <c r="ED54" s="4">
        <f>SUM(DI54:DR54)*Inicio!$W$12</f>
        <v>0</v>
      </c>
      <c r="EE54" s="4">
        <f t="shared" si="0"/>
        <v>0</v>
      </c>
      <c r="EF54" s="4">
        <f t="shared" si="4"/>
        <v>0</v>
      </c>
      <c r="EG54" s="4">
        <f t="shared" si="1"/>
        <v>0</v>
      </c>
      <c r="EH54" s="4">
        <f t="shared" si="4"/>
        <v>0</v>
      </c>
    </row>
    <row r="55" spans="2:138" ht="20.25" customHeight="1" x14ac:dyDescent="0.3">
      <c r="B55" s="28" t="s">
        <v>71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4">
        <f>SUM(C55:L55)*Inicio!$W$4</f>
        <v>0</v>
      </c>
      <c r="DT55" s="4">
        <f>SUM(M55:V55)*Inicio!$W$5</f>
        <v>0</v>
      </c>
      <c r="DU55" s="4">
        <f>SUM(W55:AF55)*Inicio!$W$6</f>
        <v>0</v>
      </c>
      <c r="DV55" s="4">
        <f>SUM(AG55:AP55)*Inicio!$W$7</f>
        <v>0</v>
      </c>
      <c r="DW55" s="4">
        <f>SUM(AQ55:AZ55)*Inicio!$W$8</f>
        <v>0</v>
      </c>
      <c r="DX55" s="4">
        <f>SUM(BA55:BJ55)*Inicio!$W$9</f>
        <v>0</v>
      </c>
      <c r="DY55" s="4">
        <f>SUM(BK55:BT55)*Inicio!$W$10</f>
        <v>0</v>
      </c>
      <c r="DZ55" s="4">
        <f>SUM(BU55:CD55)*Inicio!$W$11</f>
        <v>0</v>
      </c>
      <c r="EA55" s="4">
        <f>SUM(CE55:CN55)*Inicio!$W$12</f>
        <v>0</v>
      </c>
      <c r="EB55" s="4">
        <f>SUM(CO55:CX55)*Inicio!$W$13</f>
        <v>0</v>
      </c>
      <c r="EC55" s="4">
        <f>SUM(CY55:DH55)*Inicio!$W$11</f>
        <v>0</v>
      </c>
      <c r="ED55" s="4">
        <f>SUM(DI55:DR55)*Inicio!$W$12</f>
        <v>0</v>
      </c>
      <c r="EE55" s="4">
        <f t="shared" si="0"/>
        <v>0</v>
      </c>
      <c r="EF55" s="4">
        <f t="shared" si="4"/>
        <v>0</v>
      </c>
      <c r="EG55" s="4">
        <f t="shared" si="1"/>
        <v>0</v>
      </c>
      <c r="EH55" s="4">
        <f t="shared" si="4"/>
        <v>0</v>
      </c>
    </row>
    <row r="56" spans="2:138" ht="20.25" customHeight="1" x14ac:dyDescent="0.3">
      <c r="B56" s="26" t="s">
        <v>72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4">
        <f>SUM(C56:L56)*Inicio!$W$4</f>
        <v>0</v>
      </c>
      <c r="DT56" s="4">
        <f>SUM(M56:V56)*Inicio!$W$5</f>
        <v>0</v>
      </c>
      <c r="DU56" s="4">
        <f>SUM(W56:AF56)*Inicio!$W$6</f>
        <v>0</v>
      </c>
      <c r="DV56" s="4">
        <f>SUM(AG56:AP56)*Inicio!$W$7</f>
        <v>0</v>
      </c>
      <c r="DW56" s="4">
        <f>SUM(AQ56:AZ56)*Inicio!$W$8</f>
        <v>0</v>
      </c>
      <c r="DX56" s="4">
        <f>SUM(BA56:BJ56)*Inicio!$W$9</f>
        <v>0</v>
      </c>
      <c r="DY56" s="4">
        <f>SUM(BK56:BT56)*Inicio!$W$10</f>
        <v>0</v>
      </c>
      <c r="DZ56" s="4">
        <f>SUM(BU56:CD56)*Inicio!$W$11</f>
        <v>0</v>
      </c>
      <c r="EA56" s="4">
        <f>SUM(CE56:CN56)*Inicio!$W$12</f>
        <v>0</v>
      </c>
      <c r="EB56" s="4">
        <f>SUM(CO56:CX56)*Inicio!$W$13</f>
        <v>0</v>
      </c>
      <c r="EC56" s="4">
        <f>SUM(CY56:DH56)*Inicio!$W$11</f>
        <v>0</v>
      </c>
      <c r="ED56" s="4">
        <f>SUM(DI56:DR56)*Inicio!$W$12</f>
        <v>0</v>
      </c>
      <c r="EE56" s="4">
        <f t="shared" si="0"/>
        <v>0</v>
      </c>
      <c r="EF56" s="4">
        <f t="shared" si="4"/>
        <v>0</v>
      </c>
      <c r="EG56" s="4">
        <f t="shared" si="1"/>
        <v>0</v>
      </c>
      <c r="EH56" s="4">
        <f t="shared" si="4"/>
        <v>0</v>
      </c>
    </row>
    <row r="57" spans="2:138" ht="20.25" customHeight="1" x14ac:dyDescent="0.3">
      <c r="B57" s="27" t="s">
        <v>73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3">
        <f>SUM(C57:L57)*Inicio!$W$4</f>
        <v>0</v>
      </c>
      <c r="DT57" s="3">
        <f>SUM(M57:V57)*Inicio!$W$5</f>
        <v>0</v>
      </c>
      <c r="DU57" s="3">
        <f>SUM(W57:AF57)*Inicio!$W$6</f>
        <v>0</v>
      </c>
      <c r="DV57" s="3">
        <f>SUM(AG57:AP57)*Inicio!$W$7</f>
        <v>0</v>
      </c>
      <c r="DW57" s="3">
        <f>SUM(AQ57:AZ57)*Inicio!$W$8</f>
        <v>0</v>
      </c>
      <c r="DX57" s="3">
        <f>SUM(BA57:BJ57)*Inicio!$W$9</f>
        <v>0</v>
      </c>
      <c r="DY57" s="3">
        <f>SUM(BK57:BT57)*Inicio!$W$10</f>
        <v>0</v>
      </c>
      <c r="DZ57" s="3">
        <f>SUM(BU57:CD57)*Inicio!$W$11</f>
        <v>0</v>
      </c>
      <c r="EA57" s="3">
        <f>SUM(CE57:CN57)*Inicio!$W$12</f>
        <v>0</v>
      </c>
      <c r="EB57" s="3">
        <f>SUM(CO57:CX57)*Inicio!$W$13</f>
        <v>0</v>
      </c>
      <c r="EC57" s="3">
        <f>SUM(CY57:DH57)*Inicio!$W$11</f>
        <v>0</v>
      </c>
      <c r="ED57" s="3">
        <f>SUM(DI57:DR57)*Inicio!$W$12</f>
        <v>0</v>
      </c>
      <c r="EE57" s="3">
        <f t="shared" si="0"/>
        <v>0</v>
      </c>
      <c r="EF57" s="3">
        <f t="shared" si="4"/>
        <v>0</v>
      </c>
      <c r="EG57" s="3">
        <f t="shared" si="1"/>
        <v>0</v>
      </c>
      <c r="EH57" s="3">
        <f t="shared" si="4"/>
        <v>0</v>
      </c>
    </row>
    <row r="58" spans="2:138" ht="20.25" customHeight="1" x14ac:dyDescent="0.3">
      <c r="B58" s="28" t="s">
        <v>74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4">
        <f>SUM(C58:L58)*Inicio!$W$4</f>
        <v>0</v>
      </c>
      <c r="DT58" s="4">
        <f>SUM(M58:V58)*Inicio!$W$5</f>
        <v>0</v>
      </c>
      <c r="DU58" s="4">
        <f>SUM(W58:AF58)*Inicio!$W$6</f>
        <v>0</v>
      </c>
      <c r="DV58" s="4">
        <f>SUM(AG58:AP58)*Inicio!$W$7</f>
        <v>0</v>
      </c>
      <c r="DW58" s="4">
        <f>SUM(AQ58:AZ58)*Inicio!$W$8</f>
        <v>0</v>
      </c>
      <c r="DX58" s="4">
        <f>SUM(BA58:BJ58)*Inicio!$W$9</f>
        <v>0</v>
      </c>
      <c r="DY58" s="4">
        <f>SUM(BK58:BT58)*Inicio!$W$10</f>
        <v>0</v>
      </c>
      <c r="DZ58" s="4">
        <f>SUM(BU58:CD58)*Inicio!$W$11</f>
        <v>0</v>
      </c>
      <c r="EA58" s="4">
        <f>SUM(CE58:CN58)*Inicio!$W$12</f>
        <v>0</v>
      </c>
      <c r="EB58" s="4">
        <f>SUM(CO58:CX58)*Inicio!$W$13</f>
        <v>0</v>
      </c>
      <c r="EC58" s="4">
        <f>SUM(CY58:DH58)*Inicio!$W$11</f>
        <v>0</v>
      </c>
      <c r="ED58" s="4">
        <f>SUM(DI58:DR58)*Inicio!$W$12</f>
        <v>0</v>
      </c>
      <c r="EE58" s="4">
        <f t="shared" si="0"/>
        <v>0</v>
      </c>
      <c r="EF58" s="4">
        <f t="shared" si="4"/>
        <v>0</v>
      </c>
      <c r="EG58" s="4">
        <f t="shared" si="1"/>
        <v>0</v>
      </c>
      <c r="EH58" s="4">
        <f t="shared" si="4"/>
        <v>0</v>
      </c>
    </row>
    <row r="59" spans="2:138" ht="20.25" customHeight="1" x14ac:dyDescent="0.3">
      <c r="B59" s="28" t="s">
        <v>75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4">
        <f>SUM(C59:L59)*Inicio!$W$4</f>
        <v>0</v>
      </c>
      <c r="DT59" s="4">
        <f>SUM(M59:V59)*Inicio!$W$5</f>
        <v>0</v>
      </c>
      <c r="DU59" s="4">
        <f>SUM(W59:AF59)*Inicio!$W$6</f>
        <v>0</v>
      </c>
      <c r="DV59" s="4">
        <f>SUM(AG59:AP59)*Inicio!$W$7</f>
        <v>0</v>
      </c>
      <c r="DW59" s="4">
        <f>SUM(AQ59:AZ59)*Inicio!$W$8</f>
        <v>0</v>
      </c>
      <c r="DX59" s="4">
        <f>SUM(BA59:BJ59)*Inicio!$W$9</f>
        <v>0</v>
      </c>
      <c r="DY59" s="4">
        <f>SUM(BK59:BT59)*Inicio!$W$10</f>
        <v>0</v>
      </c>
      <c r="DZ59" s="4">
        <f>SUM(BU59:CD59)*Inicio!$W$11</f>
        <v>0</v>
      </c>
      <c r="EA59" s="4">
        <f>SUM(CE59:CN59)*Inicio!$W$12</f>
        <v>0</v>
      </c>
      <c r="EB59" s="4">
        <f>SUM(CO59:CX59)*Inicio!$W$13</f>
        <v>0</v>
      </c>
      <c r="EC59" s="4">
        <f>SUM(CY59:DH59)*Inicio!$W$11</f>
        <v>0</v>
      </c>
      <c r="ED59" s="4">
        <f>SUM(DI59:DR59)*Inicio!$W$12</f>
        <v>0</v>
      </c>
      <c r="EE59" s="4">
        <f t="shared" si="0"/>
        <v>0</v>
      </c>
      <c r="EF59" s="4">
        <f t="shared" si="4"/>
        <v>0</v>
      </c>
      <c r="EG59" s="4">
        <f t="shared" si="1"/>
        <v>0</v>
      </c>
      <c r="EH59" s="4">
        <f t="shared" si="4"/>
        <v>0</v>
      </c>
    </row>
    <row r="60" spans="2:138" ht="20.25" customHeight="1" x14ac:dyDescent="0.3">
      <c r="B60" s="26" t="s">
        <v>76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5">
        <f>SUM(C60:L60)*Inicio!$W$4</f>
        <v>0</v>
      </c>
      <c r="DT60" s="5">
        <f>SUM(M60:V60)*Inicio!$W$5</f>
        <v>0</v>
      </c>
      <c r="DU60" s="5">
        <f>SUM(W60:AF60)*Inicio!$W$6</f>
        <v>0</v>
      </c>
      <c r="DV60" s="5">
        <f>SUM(AG60:AP60)*Inicio!$W$7</f>
        <v>0</v>
      </c>
      <c r="DW60" s="5">
        <f>SUM(AQ60:AZ60)*Inicio!$W$8</f>
        <v>0</v>
      </c>
      <c r="DX60" s="5">
        <f>SUM(BA60:BJ60)*Inicio!$W$9</f>
        <v>0</v>
      </c>
      <c r="DY60" s="5">
        <f>SUM(BK60:BT60)*Inicio!$W$10</f>
        <v>0</v>
      </c>
      <c r="DZ60" s="5">
        <f>SUM(BU60:CD60)*Inicio!$W$11</f>
        <v>0</v>
      </c>
      <c r="EA60" s="5">
        <f>SUM(CE60:CN60)*Inicio!$W$12</f>
        <v>0</v>
      </c>
      <c r="EB60" s="5">
        <f>SUM(CO60:CX60)*Inicio!$W$13</f>
        <v>0</v>
      </c>
      <c r="EC60" s="5">
        <f>SUM(CY60:DH60)*Inicio!$W$11</f>
        <v>0</v>
      </c>
      <c r="ED60" s="5">
        <f>SUM(DI60:DR60)*Inicio!$W$12</f>
        <v>0</v>
      </c>
      <c r="EE60" s="5">
        <f t="shared" si="0"/>
        <v>0</v>
      </c>
      <c r="EF60" s="5">
        <f t="shared" si="4"/>
        <v>0</v>
      </c>
      <c r="EG60" s="5">
        <f t="shared" si="1"/>
        <v>0</v>
      </c>
      <c r="EH60" s="5">
        <f t="shared" si="4"/>
        <v>0</v>
      </c>
    </row>
    <row r="61" spans="2:138" ht="20.25" customHeight="1" x14ac:dyDescent="0.3">
      <c r="B61" s="27" t="s">
        <v>77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3">
        <f>SUM(C61:L61)*Inicio!$W$4</f>
        <v>0</v>
      </c>
      <c r="DT61" s="3">
        <f>SUM(M61:V61)*Inicio!$W$5</f>
        <v>0</v>
      </c>
      <c r="DU61" s="3">
        <f>SUM(W61:AF61)*Inicio!$W$6</f>
        <v>0</v>
      </c>
      <c r="DV61" s="3">
        <f>SUM(AG61:AP61)*Inicio!$W$7</f>
        <v>0</v>
      </c>
      <c r="DW61" s="3">
        <f>SUM(AQ61:AZ61)*Inicio!$W$8</f>
        <v>0</v>
      </c>
      <c r="DX61" s="3">
        <f>SUM(BA61:BJ61)*Inicio!$W$9</f>
        <v>0</v>
      </c>
      <c r="DY61" s="3">
        <f>SUM(BK61:BT61)*Inicio!$W$10</f>
        <v>0</v>
      </c>
      <c r="DZ61" s="3">
        <f>SUM(BU61:CD61)*Inicio!$W$11</f>
        <v>0</v>
      </c>
      <c r="EA61" s="3">
        <f>SUM(CE61:CN61)*Inicio!$W$12</f>
        <v>0</v>
      </c>
      <c r="EB61" s="3">
        <f>SUM(CO61:CX61)*Inicio!$W$13</f>
        <v>0</v>
      </c>
      <c r="EC61" s="3">
        <f>SUM(CY61:DH61)*Inicio!$W$11</f>
        <v>0</v>
      </c>
      <c r="ED61" s="3">
        <f>SUM(DI61:DR61)*Inicio!$W$12</f>
        <v>0</v>
      </c>
      <c r="EE61" s="3">
        <f t="shared" si="0"/>
        <v>0</v>
      </c>
      <c r="EF61" s="3">
        <f t="shared" si="4"/>
        <v>0</v>
      </c>
      <c r="EG61" s="3">
        <f t="shared" si="1"/>
        <v>0</v>
      </c>
      <c r="EH61" s="3">
        <f t="shared" si="4"/>
        <v>0</v>
      </c>
    </row>
    <row r="62" spans="2:138" ht="20.25" customHeight="1" x14ac:dyDescent="0.3">
      <c r="B62" s="28" t="s">
        <v>78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4">
        <f>SUM(C62:L62)*Inicio!$W$4</f>
        <v>0</v>
      </c>
      <c r="DT62" s="4">
        <f>SUM(M62:V62)*Inicio!$W$5</f>
        <v>0</v>
      </c>
      <c r="DU62" s="4">
        <f>SUM(W62:AF62)*Inicio!$W$6</f>
        <v>0</v>
      </c>
      <c r="DV62" s="4">
        <f>SUM(AG62:AP62)*Inicio!$W$7</f>
        <v>0</v>
      </c>
      <c r="DW62" s="4">
        <f>SUM(AQ62:AZ62)*Inicio!$W$8</f>
        <v>0</v>
      </c>
      <c r="DX62" s="4">
        <f>SUM(BA62:BJ62)*Inicio!$W$9</f>
        <v>0</v>
      </c>
      <c r="DY62" s="4">
        <f>SUM(BK62:BT62)*Inicio!$W$10</f>
        <v>0</v>
      </c>
      <c r="DZ62" s="4">
        <f>SUM(BU62:CD62)*Inicio!$W$11</f>
        <v>0</v>
      </c>
      <c r="EA62" s="4">
        <f>SUM(CE62:CN62)*Inicio!$W$12</f>
        <v>0</v>
      </c>
      <c r="EB62" s="4">
        <f>SUM(CO62:CX62)*Inicio!$W$13</f>
        <v>0</v>
      </c>
      <c r="EC62" s="4">
        <f>SUM(CY62:DH62)*Inicio!$W$11</f>
        <v>0</v>
      </c>
      <c r="ED62" s="4">
        <f>SUM(DI62:DR62)*Inicio!$W$12</f>
        <v>0</v>
      </c>
      <c r="EE62" s="4">
        <f t="shared" si="0"/>
        <v>0</v>
      </c>
      <c r="EF62" s="4">
        <f t="shared" ref="EF62:EH77" si="5">SUM(EE59:EE62)</f>
        <v>0</v>
      </c>
      <c r="EG62" s="4">
        <f t="shared" si="1"/>
        <v>0</v>
      </c>
      <c r="EH62" s="4">
        <f t="shared" si="5"/>
        <v>0</v>
      </c>
    </row>
    <row r="63" spans="2:138" ht="20.25" customHeight="1" x14ac:dyDescent="0.3">
      <c r="B63" s="28" t="s">
        <v>79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4">
        <f>SUM(C63:L63)*Inicio!$W$4</f>
        <v>0</v>
      </c>
      <c r="DT63" s="4">
        <f>SUM(M63:V63)*Inicio!$W$5</f>
        <v>0</v>
      </c>
      <c r="DU63" s="4">
        <f>SUM(W63:AF63)*Inicio!$W$6</f>
        <v>0</v>
      </c>
      <c r="DV63" s="4">
        <f>SUM(AG63:AP63)*Inicio!$W$7</f>
        <v>0</v>
      </c>
      <c r="DW63" s="4">
        <f>SUM(AQ63:AZ63)*Inicio!$W$8</f>
        <v>0</v>
      </c>
      <c r="DX63" s="4">
        <f>SUM(BA63:BJ63)*Inicio!$W$9</f>
        <v>0</v>
      </c>
      <c r="DY63" s="4">
        <f>SUM(BK63:BT63)*Inicio!$W$10</f>
        <v>0</v>
      </c>
      <c r="DZ63" s="4">
        <f>SUM(BU63:CD63)*Inicio!$W$11</f>
        <v>0</v>
      </c>
      <c r="EA63" s="4">
        <f>SUM(CE63:CN63)*Inicio!$W$12</f>
        <v>0</v>
      </c>
      <c r="EB63" s="4">
        <f>SUM(CO63:CX63)*Inicio!$W$13</f>
        <v>0</v>
      </c>
      <c r="EC63" s="4">
        <f>SUM(CY63:DH63)*Inicio!$W$11</f>
        <v>0</v>
      </c>
      <c r="ED63" s="4">
        <f>SUM(DI63:DR63)*Inicio!$W$12</f>
        <v>0</v>
      </c>
      <c r="EE63" s="4">
        <f t="shared" si="0"/>
        <v>0</v>
      </c>
      <c r="EF63" s="4">
        <f t="shared" si="5"/>
        <v>0</v>
      </c>
      <c r="EG63" s="4">
        <f t="shared" si="1"/>
        <v>0</v>
      </c>
      <c r="EH63" s="4">
        <f t="shared" si="5"/>
        <v>0</v>
      </c>
    </row>
    <row r="64" spans="2:138" ht="20.25" customHeight="1" x14ac:dyDescent="0.3">
      <c r="B64" s="26" t="s">
        <v>80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5">
        <f>SUM(C64:L64)*Inicio!$W$4</f>
        <v>0</v>
      </c>
      <c r="DT64" s="5">
        <f>SUM(M64:V64)*Inicio!$W$5</f>
        <v>0</v>
      </c>
      <c r="DU64" s="5">
        <f>SUM(W64:AF64)*Inicio!$W$6</f>
        <v>0</v>
      </c>
      <c r="DV64" s="5">
        <f>SUM(AG64:AP64)*Inicio!$W$7</f>
        <v>0</v>
      </c>
      <c r="DW64" s="5">
        <f>SUM(AQ64:AZ64)*Inicio!$W$8</f>
        <v>0</v>
      </c>
      <c r="DX64" s="5">
        <f>SUM(BA64:BJ64)*Inicio!$W$9</f>
        <v>0</v>
      </c>
      <c r="DY64" s="5">
        <f>SUM(BK64:BT64)*Inicio!$W$10</f>
        <v>0</v>
      </c>
      <c r="DZ64" s="5">
        <f>SUM(BU64:CD64)*Inicio!$W$11</f>
        <v>0</v>
      </c>
      <c r="EA64" s="5">
        <f>SUM(CE64:CN64)*Inicio!$W$12</f>
        <v>0</v>
      </c>
      <c r="EB64" s="5">
        <f>SUM(CO64:CX64)*Inicio!$W$13</f>
        <v>0</v>
      </c>
      <c r="EC64" s="5">
        <f>SUM(CY64:DH64)*Inicio!$W$11</f>
        <v>0</v>
      </c>
      <c r="ED64" s="5">
        <f>SUM(DI64:DR64)*Inicio!$W$12</f>
        <v>0</v>
      </c>
      <c r="EE64" s="5">
        <f t="shared" si="0"/>
        <v>0</v>
      </c>
      <c r="EF64" s="5">
        <f t="shared" si="5"/>
        <v>0</v>
      </c>
      <c r="EG64" s="5">
        <f t="shared" si="1"/>
        <v>0</v>
      </c>
      <c r="EH64" s="5">
        <f t="shared" si="5"/>
        <v>0</v>
      </c>
    </row>
    <row r="65" spans="2:138" ht="20.25" customHeight="1" x14ac:dyDescent="0.3">
      <c r="B65" s="27" t="s">
        <v>81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3">
        <f>SUM(C65:L65)*Inicio!$W$4</f>
        <v>0</v>
      </c>
      <c r="DT65" s="3">
        <f>SUM(M65:V65)*Inicio!$W$5</f>
        <v>0</v>
      </c>
      <c r="DU65" s="3">
        <f>SUM(W65:AF65)*Inicio!$W$6</f>
        <v>0</v>
      </c>
      <c r="DV65" s="3">
        <f>SUM(AG65:AP65)*Inicio!$W$7</f>
        <v>0</v>
      </c>
      <c r="DW65" s="3">
        <f>SUM(AQ65:AZ65)*Inicio!$W$8</f>
        <v>0</v>
      </c>
      <c r="DX65" s="3">
        <f>SUM(BA65:BJ65)*Inicio!$W$9</f>
        <v>0</v>
      </c>
      <c r="DY65" s="3">
        <f>SUM(BK65:BT65)*Inicio!$W$10</f>
        <v>0</v>
      </c>
      <c r="DZ65" s="3">
        <f>SUM(BU65:CD65)*Inicio!$W$11</f>
        <v>0</v>
      </c>
      <c r="EA65" s="3">
        <f>SUM(CE65:CN65)*Inicio!$W$12</f>
        <v>0</v>
      </c>
      <c r="EB65" s="3">
        <f>SUM(CO65:CX65)*Inicio!$W$13</f>
        <v>0</v>
      </c>
      <c r="EC65" s="3">
        <f>SUM(CY65:DH65)*Inicio!$W$11</f>
        <v>0</v>
      </c>
      <c r="ED65" s="3">
        <f>SUM(DI65:DR65)*Inicio!$W$12</f>
        <v>0</v>
      </c>
      <c r="EE65" s="3">
        <f t="shared" si="0"/>
        <v>0</v>
      </c>
      <c r="EF65" s="3">
        <f t="shared" si="5"/>
        <v>0</v>
      </c>
      <c r="EG65" s="3">
        <f t="shared" si="1"/>
        <v>0</v>
      </c>
      <c r="EH65" s="3">
        <f t="shared" si="5"/>
        <v>0</v>
      </c>
    </row>
    <row r="66" spans="2:138" ht="20.25" customHeight="1" x14ac:dyDescent="0.3">
      <c r="B66" s="28" t="s">
        <v>82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4">
        <f>SUM(C66:L66)*Inicio!$W$4</f>
        <v>0</v>
      </c>
      <c r="DT66" s="4">
        <f>SUM(M66:V66)*Inicio!$W$5</f>
        <v>0</v>
      </c>
      <c r="DU66" s="4">
        <f>SUM(W66:AF66)*Inicio!$W$6</f>
        <v>0</v>
      </c>
      <c r="DV66" s="4">
        <f>SUM(AG66:AP66)*Inicio!$W$7</f>
        <v>0</v>
      </c>
      <c r="DW66" s="4">
        <f>SUM(AQ66:AZ66)*Inicio!$W$8</f>
        <v>0</v>
      </c>
      <c r="DX66" s="4">
        <f>SUM(BA66:BJ66)*Inicio!$W$9</f>
        <v>0</v>
      </c>
      <c r="DY66" s="4">
        <f>SUM(BK66:BT66)*Inicio!$W$10</f>
        <v>0</v>
      </c>
      <c r="DZ66" s="4">
        <f>SUM(BU66:CD66)*Inicio!$W$11</f>
        <v>0</v>
      </c>
      <c r="EA66" s="4">
        <f>SUM(CE66:CN66)*Inicio!$W$12</f>
        <v>0</v>
      </c>
      <c r="EB66" s="4">
        <f>SUM(CO66:CX66)*Inicio!$W$13</f>
        <v>0</v>
      </c>
      <c r="EC66" s="4">
        <f>SUM(CY66:DH66)*Inicio!$W$11</f>
        <v>0</v>
      </c>
      <c r="ED66" s="4">
        <f>SUM(DI66:DR66)*Inicio!$W$12</f>
        <v>0</v>
      </c>
      <c r="EE66" s="4">
        <f t="shared" si="0"/>
        <v>0</v>
      </c>
      <c r="EF66" s="4">
        <f t="shared" si="5"/>
        <v>0</v>
      </c>
      <c r="EG66" s="4">
        <f t="shared" si="1"/>
        <v>0</v>
      </c>
      <c r="EH66" s="4">
        <f t="shared" si="5"/>
        <v>0</v>
      </c>
    </row>
    <row r="67" spans="2:138" ht="20.25" customHeight="1" x14ac:dyDescent="0.3">
      <c r="B67" s="28" t="s">
        <v>83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4">
        <f>SUM(C67:L67)*Inicio!$W$4</f>
        <v>0</v>
      </c>
      <c r="DT67" s="4">
        <f>SUM(M67:V67)*Inicio!$W$5</f>
        <v>0</v>
      </c>
      <c r="DU67" s="4">
        <f>SUM(W67:AF67)*Inicio!$W$6</f>
        <v>0</v>
      </c>
      <c r="DV67" s="4">
        <f>SUM(AG67:AP67)*Inicio!$W$7</f>
        <v>0</v>
      </c>
      <c r="DW67" s="4">
        <f>SUM(AQ67:AZ67)*Inicio!$W$8</f>
        <v>0</v>
      </c>
      <c r="DX67" s="4">
        <f>SUM(BA67:BJ67)*Inicio!$W$9</f>
        <v>0</v>
      </c>
      <c r="DY67" s="4">
        <f>SUM(BK67:BT67)*Inicio!$W$10</f>
        <v>0</v>
      </c>
      <c r="DZ67" s="4">
        <f>SUM(BU67:CD67)*Inicio!$W$11</f>
        <v>0</v>
      </c>
      <c r="EA67" s="4">
        <f>SUM(CE67:CN67)*Inicio!$W$12</f>
        <v>0</v>
      </c>
      <c r="EB67" s="4">
        <f>SUM(CO67:CX67)*Inicio!$W$13</f>
        <v>0</v>
      </c>
      <c r="EC67" s="4">
        <f>SUM(CY67:DH67)*Inicio!$W$11</f>
        <v>0</v>
      </c>
      <c r="ED67" s="4">
        <f>SUM(DI67:DR67)*Inicio!$W$12</f>
        <v>0</v>
      </c>
      <c r="EE67" s="4">
        <f t="shared" si="0"/>
        <v>0</v>
      </c>
      <c r="EF67" s="4">
        <f t="shared" si="5"/>
        <v>0</v>
      </c>
      <c r="EG67" s="4">
        <f t="shared" si="1"/>
        <v>0</v>
      </c>
      <c r="EH67" s="4">
        <f t="shared" si="5"/>
        <v>0</v>
      </c>
    </row>
    <row r="68" spans="2:138" ht="20.25" customHeight="1" x14ac:dyDescent="0.3">
      <c r="B68" s="26" t="s">
        <v>84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5">
        <f>SUM(C68:L68)*Inicio!$W$4</f>
        <v>0</v>
      </c>
      <c r="DT68" s="5">
        <f>SUM(M68:V68)*Inicio!$W$5</f>
        <v>0</v>
      </c>
      <c r="DU68" s="5">
        <f>SUM(W68:AF68)*Inicio!$W$6</f>
        <v>0</v>
      </c>
      <c r="DV68" s="5">
        <f>SUM(AG68:AP68)*Inicio!$W$7</f>
        <v>0</v>
      </c>
      <c r="DW68" s="5">
        <f>SUM(AQ68:AZ68)*Inicio!$W$8</f>
        <v>0</v>
      </c>
      <c r="DX68" s="5">
        <f>SUM(BA68:BJ68)*Inicio!$W$9</f>
        <v>0</v>
      </c>
      <c r="DY68" s="5">
        <f>SUM(BK68:BT68)*Inicio!$W$10</f>
        <v>0</v>
      </c>
      <c r="DZ68" s="5">
        <f>SUM(BU68:CD68)*Inicio!$W$11</f>
        <v>0</v>
      </c>
      <c r="EA68" s="5">
        <f>SUM(CE68:CN68)*Inicio!$W$12</f>
        <v>0</v>
      </c>
      <c r="EB68" s="5">
        <f>SUM(CO68:CX68)*Inicio!$W$13</f>
        <v>0</v>
      </c>
      <c r="EC68" s="5">
        <f>SUM(CY68:DH68)*Inicio!$W$11</f>
        <v>0</v>
      </c>
      <c r="ED68" s="5">
        <f>SUM(DI68:DR68)*Inicio!$W$12</f>
        <v>0</v>
      </c>
      <c r="EE68" s="5">
        <f t="shared" si="0"/>
        <v>0</v>
      </c>
      <c r="EF68" s="5">
        <f t="shared" si="5"/>
        <v>0</v>
      </c>
      <c r="EG68" s="5">
        <f t="shared" si="1"/>
        <v>0</v>
      </c>
      <c r="EH68" s="5">
        <f t="shared" si="5"/>
        <v>0</v>
      </c>
    </row>
    <row r="69" spans="2:138" ht="20.25" customHeight="1" x14ac:dyDescent="0.3">
      <c r="B69" s="27" t="s">
        <v>85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3">
        <f>SUM(C69:L69)*Inicio!$W$4</f>
        <v>0</v>
      </c>
      <c r="DT69" s="3">
        <f>SUM(M69:V69)*Inicio!$W$5</f>
        <v>0</v>
      </c>
      <c r="DU69" s="3">
        <f>SUM(W69:AF69)*Inicio!$W$6</f>
        <v>0</v>
      </c>
      <c r="DV69" s="3">
        <f>SUM(AG69:AP69)*Inicio!$W$7</f>
        <v>0</v>
      </c>
      <c r="DW69" s="3">
        <f>SUM(AQ69:AZ69)*Inicio!$W$8</f>
        <v>0</v>
      </c>
      <c r="DX69" s="3">
        <f>SUM(BA69:BJ69)*Inicio!$W$9</f>
        <v>0</v>
      </c>
      <c r="DY69" s="3">
        <f>SUM(BK69:BT69)*Inicio!$W$10</f>
        <v>0</v>
      </c>
      <c r="DZ69" s="3">
        <f>SUM(BU69:CD69)*Inicio!$W$11</f>
        <v>0</v>
      </c>
      <c r="EA69" s="3">
        <f>SUM(CE69:CN69)*Inicio!$W$12</f>
        <v>0</v>
      </c>
      <c r="EB69" s="3">
        <f>SUM(CO69:CX69)*Inicio!$W$13</f>
        <v>0</v>
      </c>
      <c r="EC69" s="3">
        <f>SUM(CY69:DH69)*Inicio!$W$11</f>
        <v>0</v>
      </c>
      <c r="ED69" s="3">
        <f>SUM(DI69:DR69)*Inicio!$W$12</f>
        <v>0</v>
      </c>
      <c r="EE69" s="3">
        <f t="shared" si="0"/>
        <v>0</v>
      </c>
      <c r="EF69" s="3">
        <f t="shared" si="5"/>
        <v>0</v>
      </c>
      <c r="EG69" s="3">
        <f t="shared" si="1"/>
        <v>0</v>
      </c>
      <c r="EH69" s="3">
        <f t="shared" si="5"/>
        <v>0</v>
      </c>
    </row>
    <row r="70" spans="2:138" ht="20.25" customHeight="1" x14ac:dyDescent="0.3">
      <c r="B70" s="28" t="s">
        <v>86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4">
        <f>SUM(C70:L70)*Inicio!$W$4</f>
        <v>0</v>
      </c>
      <c r="DT70" s="4">
        <f>SUM(M70:V70)*Inicio!$W$5</f>
        <v>0</v>
      </c>
      <c r="DU70" s="4">
        <f>SUM(W70:AF70)*Inicio!$W$6</f>
        <v>0</v>
      </c>
      <c r="DV70" s="4">
        <f>SUM(AG70:AP70)*Inicio!$W$7</f>
        <v>0</v>
      </c>
      <c r="DW70" s="4">
        <f>SUM(AQ70:AZ70)*Inicio!$W$8</f>
        <v>0</v>
      </c>
      <c r="DX70" s="4">
        <f>SUM(BA70:BJ70)*Inicio!$W$9</f>
        <v>0</v>
      </c>
      <c r="DY70" s="4">
        <f>SUM(BK70:BT70)*Inicio!$W$10</f>
        <v>0</v>
      </c>
      <c r="DZ70" s="4">
        <f>SUM(BU70:CD70)*Inicio!$W$11</f>
        <v>0</v>
      </c>
      <c r="EA70" s="4">
        <f>SUM(CE70:CN70)*Inicio!$W$12</f>
        <v>0</v>
      </c>
      <c r="EB70" s="4">
        <f>SUM(CO70:CX70)*Inicio!$W$13</f>
        <v>0</v>
      </c>
      <c r="EC70" s="4">
        <f>SUM(CY70:DH70)*Inicio!$W$11</f>
        <v>0</v>
      </c>
      <c r="ED70" s="4">
        <f>SUM(DI70:DR70)*Inicio!$W$12</f>
        <v>0</v>
      </c>
      <c r="EE70" s="4">
        <f t="shared" si="0"/>
        <v>0</v>
      </c>
      <c r="EF70" s="4">
        <f t="shared" si="5"/>
        <v>0</v>
      </c>
      <c r="EG70" s="4">
        <f t="shared" si="1"/>
        <v>0</v>
      </c>
      <c r="EH70" s="4">
        <f t="shared" si="5"/>
        <v>0</v>
      </c>
    </row>
    <row r="71" spans="2:138" ht="20.25" customHeight="1" x14ac:dyDescent="0.3">
      <c r="B71" s="28" t="s">
        <v>87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4">
        <f>SUM(C71:L71)*Inicio!$W$4</f>
        <v>0</v>
      </c>
      <c r="DT71" s="4">
        <f>SUM(M71:V71)*Inicio!$W$5</f>
        <v>0</v>
      </c>
      <c r="DU71" s="4">
        <f>SUM(W71:AF71)*Inicio!$W$6</f>
        <v>0</v>
      </c>
      <c r="DV71" s="4">
        <f>SUM(AG71:AP71)*Inicio!$W$7</f>
        <v>0</v>
      </c>
      <c r="DW71" s="4">
        <f>SUM(AQ71:AZ71)*Inicio!$W$8</f>
        <v>0</v>
      </c>
      <c r="DX71" s="4">
        <f>SUM(BA71:BJ71)*Inicio!$W$9</f>
        <v>0</v>
      </c>
      <c r="DY71" s="4">
        <f>SUM(BK71:BT71)*Inicio!$W$10</f>
        <v>0</v>
      </c>
      <c r="DZ71" s="4">
        <f>SUM(BU71:CD71)*Inicio!$W$11</f>
        <v>0</v>
      </c>
      <c r="EA71" s="4">
        <f>SUM(CE71:CN71)*Inicio!$W$12</f>
        <v>0</v>
      </c>
      <c r="EB71" s="4">
        <f>SUM(CO71:CX71)*Inicio!$W$13</f>
        <v>0</v>
      </c>
      <c r="EC71" s="4">
        <f>SUM(CY71:DH71)*Inicio!$W$11</f>
        <v>0</v>
      </c>
      <c r="ED71" s="4">
        <f>SUM(DI71:DR71)*Inicio!$W$12</f>
        <v>0</v>
      </c>
      <c r="EE71" s="4">
        <f t="shared" si="0"/>
        <v>0</v>
      </c>
      <c r="EF71" s="4">
        <f t="shared" si="5"/>
        <v>0</v>
      </c>
      <c r="EG71" s="4">
        <f t="shared" si="1"/>
        <v>0</v>
      </c>
      <c r="EH71" s="4">
        <f t="shared" si="5"/>
        <v>0</v>
      </c>
    </row>
    <row r="72" spans="2:138" ht="20.25" customHeight="1" x14ac:dyDescent="0.3">
      <c r="B72" s="26" t="s">
        <v>88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5">
        <f>SUM(C72:L72)*Inicio!$W$4</f>
        <v>0</v>
      </c>
      <c r="DT72" s="5">
        <f>SUM(M72:V72)*Inicio!$W$5</f>
        <v>0</v>
      </c>
      <c r="DU72" s="5">
        <f>SUM(W72:AF72)*Inicio!$W$6</f>
        <v>0</v>
      </c>
      <c r="DV72" s="5">
        <f>SUM(AG72:AP72)*Inicio!$W$7</f>
        <v>0</v>
      </c>
      <c r="DW72" s="5">
        <f>SUM(AQ72:AZ72)*Inicio!$W$8</f>
        <v>0</v>
      </c>
      <c r="DX72" s="5">
        <f>SUM(BA72:BJ72)*Inicio!$W$9</f>
        <v>0</v>
      </c>
      <c r="DY72" s="5">
        <f>SUM(BK72:BT72)*Inicio!$W$10</f>
        <v>0</v>
      </c>
      <c r="DZ72" s="5">
        <f>SUM(BU72:CD72)*Inicio!$W$11</f>
        <v>0</v>
      </c>
      <c r="EA72" s="5">
        <f>SUM(CE72:CN72)*Inicio!$W$12</f>
        <v>0</v>
      </c>
      <c r="EB72" s="5">
        <f>SUM(CO72:CX72)*Inicio!$W$13</f>
        <v>0</v>
      </c>
      <c r="EC72" s="5">
        <f>SUM(CY72:DH72)*Inicio!$W$11</f>
        <v>0</v>
      </c>
      <c r="ED72" s="5">
        <f>SUM(DI72:DR72)*Inicio!$W$12</f>
        <v>0</v>
      </c>
      <c r="EE72" s="5">
        <f t="shared" si="0"/>
        <v>0</v>
      </c>
      <c r="EF72" s="5">
        <f t="shared" si="5"/>
        <v>0</v>
      </c>
      <c r="EG72" s="5">
        <f t="shared" si="1"/>
        <v>0</v>
      </c>
      <c r="EH72" s="5">
        <f t="shared" si="5"/>
        <v>0</v>
      </c>
    </row>
    <row r="73" spans="2:138" ht="20.25" customHeight="1" x14ac:dyDescent="0.3">
      <c r="B73" s="27" t="s">
        <v>89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3">
        <f>SUM(C73:L73)*Inicio!$W$4</f>
        <v>0</v>
      </c>
      <c r="DT73" s="3">
        <f>SUM(M73:V73)*Inicio!$W$5</f>
        <v>0</v>
      </c>
      <c r="DU73" s="3">
        <f>SUM(W73:AF73)*Inicio!$W$6</f>
        <v>0</v>
      </c>
      <c r="DV73" s="3">
        <f>SUM(AG73:AP73)*Inicio!$W$7</f>
        <v>0</v>
      </c>
      <c r="DW73" s="3">
        <f>SUM(AQ73:AZ73)*Inicio!$W$8</f>
        <v>0</v>
      </c>
      <c r="DX73" s="3">
        <f>SUM(BA73:BJ73)*Inicio!$W$9</f>
        <v>0</v>
      </c>
      <c r="DY73" s="3">
        <f>SUM(BK73:BT73)*Inicio!$W$10</f>
        <v>0</v>
      </c>
      <c r="DZ73" s="3">
        <f>SUM(BU73:CD73)*Inicio!$W$11</f>
        <v>0</v>
      </c>
      <c r="EA73" s="3">
        <f>SUM(CE73:CN73)*Inicio!$W$12</f>
        <v>0</v>
      </c>
      <c r="EB73" s="3">
        <f>SUM(CO73:CX73)*Inicio!$W$13</f>
        <v>0</v>
      </c>
      <c r="EC73" s="3">
        <f>SUM(CY73:DH73)*Inicio!$W$11</f>
        <v>0</v>
      </c>
      <c r="ED73" s="3">
        <f>SUM(DI73:DR73)*Inicio!$W$12</f>
        <v>0</v>
      </c>
      <c r="EE73" s="3">
        <f t="shared" si="0"/>
        <v>0</v>
      </c>
      <c r="EF73" s="3">
        <f t="shared" si="5"/>
        <v>0</v>
      </c>
      <c r="EG73" s="3">
        <f t="shared" si="1"/>
        <v>0</v>
      </c>
      <c r="EH73" s="3">
        <f t="shared" si="5"/>
        <v>0</v>
      </c>
    </row>
    <row r="74" spans="2:138" ht="20.25" customHeight="1" x14ac:dyDescent="0.3">
      <c r="B74" s="28" t="s">
        <v>90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4">
        <f>SUM(C74:L74)*Inicio!$W$4</f>
        <v>0</v>
      </c>
      <c r="DT74" s="4">
        <f>SUM(M74:V74)*Inicio!$W$5</f>
        <v>0</v>
      </c>
      <c r="DU74" s="4">
        <f>SUM(W74:AF74)*Inicio!$W$6</f>
        <v>0</v>
      </c>
      <c r="DV74" s="4">
        <f>SUM(AG74:AP74)*Inicio!$W$7</f>
        <v>0</v>
      </c>
      <c r="DW74" s="4">
        <f>SUM(AQ74:AZ74)*Inicio!$W$8</f>
        <v>0</v>
      </c>
      <c r="DX74" s="4">
        <f>SUM(BA74:BJ74)*Inicio!$W$9</f>
        <v>0</v>
      </c>
      <c r="DY74" s="4">
        <f>SUM(BK74:BT74)*Inicio!$W$10</f>
        <v>0</v>
      </c>
      <c r="DZ74" s="4">
        <f>SUM(BU74:CD74)*Inicio!$W$11</f>
        <v>0</v>
      </c>
      <c r="EA74" s="4">
        <f>SUM(CE74:CN74)*Inicio!$W$12</f>
        <v>0</v>
      </c>
      <c r="EB74" s="4">
        <f>SUM(CO74:CX74)*Inicio!$W$13</f>
        <v>0</v>
      </c>
      <c r="EC74" s="4">
        <f>SUM(CY74:DH74)*Inicio!$W$11</f>
        <v>0</v>
      </c>
      <c r="ED74" s="4">
        <f>SUM(DI74:DR74)*Inicio!$W$12</f>
        <v>0</v>
      </c>
      <c r="EE74" s="4">
        <f t="shared" ref="EE74:EE104" si="6">SUM(C74:DR74)</f>
        <v>0</v>
      </c>
      <c r="EF74" s="4">
        <f t="shared" si="5"/>
        <v>0</v>
      </c>
      <c r="EG74" s="4">
        <f t="shared" ref="EG74:EG104" si="7">SUM(DS74:ED74)</f>
        <v>0</v>
      </c>
      <c r="EH74" s="4">
        <f t="shared" si="5"/>
        <v>0</v>
      </c>
    </row>
    <row r="75" spans="2:138" ht="20.25" customHeight="1" x14ac:dyDescent="0.3">
      <c r="B75" s="28" t="s">
        <v>91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4">
        <f>SUM(C75:L75)*Inicio!$W$4</f>
        <v>0</v>
      </c>
      <c r="DT75" s="4">
        <f>SUM(M75:V75)*Inicio!$W$5</f>
        <v>0</v>
      </c>
      <c r="DU75" s="4">
        <f>SUM(W75:AF75)*Inicio!$W$6</f>
        <v>0</v>
      </c>
      <c r="DV75" s="4">
        <f>SUM(AG75:AP75)*Inicio!$W$7</f>
        <v>0</v>
      </c>
      <c r="DW75" s="4">
        <f>SUM(AQ75:AZ75)*Inicio!$W$8</f>
        <v>0</v>
      </c>
      <c r="DX75" s="4">
        <f>SUM(BA75:BJ75)*Inicio!$W$9</f>
        <v>0</v>
      </c>
      <c r="DY75" s="4">
        <f>SUM(BK75:BT75)*Inicio!$W$10</f>
        <v>0</v>
      </c>
      <c r="DZ75" s="4">
        <f>SUM(BU75:CD75)*Inicio!$W$11</f>
        <v>0</v>
      </c>
      <c r="EA75" s="4">
        <f>SUM(CE75:CN75)*Inicio!$W$12</f>
        <v>0</v>
      </c>
      <c r="EB75" s="4">
        <f>SUM(CO75:CX75)*Inicio!$W$13</f>
        <v>0</v>
      </c>
      <c r="EC75" s="4">
        <f>SUM(CY75:DH75)*Inicio!$W$11</f>
        <v>0</v>
      </c>
      <c r="ED75" s="4">
        <f>SUM(DI75:DR75)*Inicio!$W$12</f>
        <v>0</v>
      </c>
      <c r="EE75" s="4">
        <f t="shared" si="6"/>
        <v>0</v>
      </c>
      <c r="EF75" s="4">
        <f t="shared" si="5"/>
        <v>0</v>
      </c>
      <c r="EG75" s="4">
        <f t="shared" si="7"/>
        <v>0</v>
      </c>
      <c r="EH75" s="4">
        <f t="shared" si="5"/>
        <v>0</v>
      </c>
    </row>
    <row r="76" spans="2:138" ht="20.25" customHeight="1" x14ac:dyDescent="0.3">
      <c r="B76" s="26" t="s">
        <v>92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5">
        <f>SUM(C76:L76)*Inicio!$W$4</f>
        <v>0</v>
      </c>
      <c r="DT76" s="5">
        <f>SUM(M76:V76)*Inicio!$W$5</f>
        <v>0</v>
      </c>
      <c r="DU76" s="5">
        <f>SUM(W76:AF76)*Inicio!$W$6</f>
        <v>0</v>
      </c>
      <c r="DV76" s="5">
        <f>SUM(AG76:AP76)*Inicio!$W$7</f>
        <v>0</v>
      </c>
      <c r="DW76" s="5">
        <f>SUM(AQ76:AZ76)*Inicio!$W$8</f>
        <v>0</v>
      </c>
      <c r="DX76" s="5">
        <f>SUM(BA76:BJ76)*Inicio!$W$9</f>
        <v>0</v>
      </c>
      <c r="DY76" s="5">
        <f>SUM(BK76:BT76)*Inicio!$W$10</f>
        <v>0</v>
      </c>
      <c r="DZ76" s="5">
        <f>SUM(BU76:CD76)*Inicio!$W$11</f>
        <v>0</v>
      </c>
      <c r="EA76" s="5">
        <f>SUM(CE76:CN76)*Inicio!$W$12</f>
        <v>0</v>
      </c>
      <c r="EB76" s="5">
        <f>SUM(CO76:CX76)*Inicio!$W$13</f>
        <v>0</v>
      </c>
      <c r="EC76" s="5">
        <f>SUM(CY76:DH76)*Inicio!$W$11</f>
        <v>0</v>
      </c>
      <c r="ED76" s="5">
        <f>SUM(DI76:DR76)*Inicio!$W$12</f>
        <v>0</v>
      </c>
      <c r="EE76" s="5">
        <f t="shared" si="6"/>
        <v>0</v>
      </c>
      <c r="EF76" s="5">
        <f t="shared" si="5"/>
        <v>0</v>
      </c>
      <c r="EG76" s="5">
        <f t="shared" si="7"/>
        <v>0</v>
      </c>
      <c r="EH76" s="5">
        <f t="shared" si="5"/>
        <v>0</v>
      </c>
    </row>
    <row r="77" spans="2:138" ht="20.25" customHeight="1" x14ac:dyDescent="0.3">
      <c r="B77" s="27" t="s">
        <v>93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3">
        <f>SUM(C77:L77)*Inicio!$W$4</f>
        <v>0</v>
      </c>
      <c r="DT77" s="3">
        <f>SUM(M77:V77)*Inicio!$W$5</f>
        <v>0</v>
      </c>
      <c r="DU77" s="3">
        <f>SUM(W77:AF77)*Inicio!$W$6</f>
        <v>0</v>
      </c>
      <c r="DV77" s="3">
        <f>SUM(AG77:AP77)*Inicio!$W$7</f>
        <v>0</v>
      </c>
      <c r="DW77" s="3">
        <f>SUM(AQ77:AZ77)*Inicio!$W$8</f>
        <v>0</v>
      </c>
      <c r="DX77" s="3">
        <f>SUM(BA77:BJ77)*Inicio!$W$9</f>
        <v>0</v>
      </c>
      <c r="DY77" s="3">
        <f>SUM(BK77:BT77)*Inicio!$W$10</f>
        <v>0</v>
      </c>
      <c r="DZ77" s="3">
        <f>SUM(BU77:CD77)*Inicio!$W$11</f>
        <v>0</v>
      </c>
      <c r="EA77" s="3">
        <f>SUM(CE77:CN77)*Inicio!$W$12</f>
        <v>0</v>
      </c>
      <c r="EB77" s="3">
        <f>SUM(CO77:CX77)*Inicio!$W$13</f>
        <v>0</v>
      </c>
      <c r="EC77" s="3">
        <f>SUM(CY77:DH77)*Inicio!$W$11</f>
        <v>0</v>
      </c>
      <c r="ED77" s="3">
        <f>SUM(DI77:DR77)*Inicio!$W$12</f>
        <v>0</v>
      </c>
      <c r="EE77" s="3">
        <f t="shared" si="6"/>
        <v>0</v>
      </c>
      <c r="EF77" s="3">
        <f t="shared" si="5"/>
        <v>0</v>
      </c>
      <c r="EG77" s="3">
        <f t="shared" si="7"/>
        <v>0</v>
      </c>
      <c r="EH77" s="3">
        <f t="shared" si="5"/>
        <v>0</v>
      </c>
    </row>
    <row r="78" spans="2:138" ht="20.25" customHeight="1" x14ac:dyDescent="0.3">
      <c r="B78" s="28" t="s">
        <v>94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4">
        <f>SUM(C78:L78)*Inicio!$W$4</f>
        <v>0</v>
      </c>
      <c r="DT78" s="4">
        <f>SUM(M78:V78)*Inicio!$W$5</f>
        <v>0</v>
      </c>
      <c r="DU78" s="4">
        <f>SUM(W78:AF78)*Inicio!$W$6</f>
        <v>0</v>
      </c>
      <c r="DV78" s="4">
        <f>SUM(AG78:AP78)*Inicio!$W$7</f>
        <v>0</v>
      </c>
      <c r="DW78" s="4">
        <f>SUM(AQ78:AZ78)*Inicio!$W$8</f>
        <v>0</v>
      </c>
      <c r="DX78" s="4">
        <f>SUM(BA78:BJ78)*Inicio!$W$9</f>
        <v>0</v>
      </c>
      <c r="DY78" s="4">
        <f>SUM(BK78:BT78)*Inicio!$W$10</f>
        <v>0</v>
      </c>
      <c r="DZ78" s="4">
        <f>SUM(BU78:CD78)*Inicio!$W$11</f>
        <v>0</v>
      </c>
      <c r="EA78" s="4">
        <f>SUM(CE78:CN78)*Inicio!$W$12</f>
        <v>0</v>
      </c>
      <c r="EB78" s="4">
        <f>SUM(CO78:CX78)*Inicio!$W$13</f>
        <v>0</v>
      </c>
      <c r="EC78" s="4">
        <f>SUM(CY78:DH78)*Inicio!$W$11</f>
        <v>0</v>
      </c>
      <c r="ED78" s="4">
        <f>SUM(DI78:DR78)*Inicio!$W$12</f>
        <v>0</v>
      </c>
      <c r="EE78" s="4">
        <f t="shared" si="6"/>
        <v>0</v>
      </c>
      <c r="EF78" s="4">
        <f t="shared" ref="EF78:EH93" si="8">SUM(EE75:EE78)</f>
        <v>0</v>
      </c>
      <c r="EG78" s="4">
        <f t="shared" si="7"/>
        <v>0</v>
      </c>
      <c r="EH78" s="4">
        <f t="shared" si="8"/>
        <v>0</v>
      </c>
    </row>
    <row r="79" spans="2:138" ht="20.25" customHeight="1" x14ac:dyDescent="0.3">
      <c r="B79" s="28" t="s">
        <v>95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4">
        <f>SUM(C79:L79)*Inicio!$W$4</f>
        <v>0</v>
      </c>
      <c r="DT79" s="4">
        <f>SUM(M79:V79)*Inicio!$W$5</f>
        <v>0</v>
      </c>
      <c r="DU79" s="4">
        <f>SUM(W79:AF79)*Inicio!$W$6</f>
        <v>0</v>
      </c>
      <c r="DV79" s="4">
        <f>SUM(AG79:AP79)*Inicio!$W$7</f>
        <v>0</v>
      </c>
      <c r="DW79" s="4">
        <f>SUM(AQ79:AZ79)*Inicio!$W$8</f>
        <v>0</v>
      </c>
      <c r="DX79" s="4">
        <f>SUM(BA79:BJ79)*Inicio!$W$9</f>
        <v>0</v>
      </c>
      <c r="DY79" s="4">
        <f>SUM(BK79:BT79)*Inicio!$W$10</f>
        <v>0</v>
      </c>
      <c r="DZ79" s="4">
        <f>SUM(BU79:CD79)*Inicio!$W$11</f>
        <v>0</v>
      </c>
      <c r="EA79" s="4">
        <f>SUM(CE79:CN79)*Inicio!$W$12</f>
        <v>0</v>
      </c>
      <c r="EB79" s="4">
        <f>SUM(CO79:CX79)*Inicio!$W$13</f>
        <v>0</v>
      </c>
      <c r="EC79" s="4">
        <f>SUM(CY79:DH79)*Inicio!$W$11</f>
        <v>0</v>
      </c>
      <c r="ED79" s="4">
        <f>SUM(DI79:DR79)*Inicio!$W$12</f>
        <v>0</v>
      </c>
      <c r="EE79" s="4">
        <f t="shared" si="6"/>
        <v>0</v>
      </c>
      <c r="EF79" s="4">
        <f t="shared" si="8"/>
        <v>0</v>
      </c>
      <c r="EG79" s="4">
        <f t="shared" si="7"/>
        <v>0</v>
      </c>
      <c r="EH79" s="4">
        <f t="shared" si="8"/>
        <v>0</v>
      </c>
    </row>
    <row r="80" spans="2:138" ht="20.25" customHeight="1" x14ac:dyDescent="0.3">
      <c r="B80" s="26" t="s">
        <v>96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5">
        <f>SUM(C80:L80)*Inicio!$W$4</f>
        <v>0</v>
      </c>
      <c r="DT80" s="5">
        <f>SUM(M80:V80)*Inicio!$W$5</f>
        <v>0</v>
      </c>
      <c r="DU80" s="5">
        <f>SUM(W80:AF80)*Inicio!$W$6</f>
        <v>0</v>
      </c>
      <c r="DV80" s="5">
        <f>SUM(AG80:AP80)*Inicio!$W$7</f>
        <v>0</v>
      </c>
      <c r="DW80" s="5">
        <f>SUM(AQ80:AZ80)*Inicio!$W$8</f>
        <v>0</v>
      </c>
      <c r="DX80" s="5">
        <f>SUM(BA80:BJ80)*Inicio!$W$9</f>
        <v>0</v>
      </c>
      <c r="DY80" s="5">
        <f>SUM(BK80:BT80)*Inicio!$W$10</f>
        <v>0</v>
      </c>
      <c r="DZ80" s="5">
        <f>SUM(BU80:CD80)*Inicio!$W$11</f>
        <v>0</v>
      </c>
      <c r="EA80" s="5">
        <f>SUM(CE80:CN80)*Inicio!$W$12</f>
        <v>0</v>
      </c>
      <c r="EB80" s="5">
        <f>SUM(CO80:CX80)*Inicio!$W$13</f>
        <v>0</v>
      </c>
      <c r="EC80" s="5">
        <f>SUM(CY80:DH80)*Inicio!$W$11</f>
        <v>0</v>
      </c>
      <c r="ED80" s="5">
        <f>SUM(DI80:DR80)*Inicio!$W$12</f>
        <v>0</v>
      </c>
      <c r="EE80" s="5">
        <f t="shared" si="6"/>
        <v>0</v>
      </c>
      <c r="EF80" s="5">
        <f t="shared" si="8"/>
        <v>0</v>
      </c>
      <c r="EG80" s="5">
        <f t="shared" si="7"/>
        <v>0</v>
      </c>
      <c r="EH80" s="5">
        <f t="shared" si="8"/>
        <v>0</v>
      </c>
    </row>
    <row r="81" spans="2:138" ht="20.25" customHeight="1" x14ac:dyDescent="0.3">
      <c r="B81" s="27" t="s">
        <v>97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3">
        <f>SUM(C81:L81)*Inicio!$W$4</f>
        <v>0</v>
      </c>
      <c r="DT81" s="3">
        <f>SUM(M81:V81)*Inicio!$W$5</f>
        <v>0</v>
      </c>
      <c r="DU81" s="3">
        <f>SUM(W81:AF81)*Inicio!$W$6</f>
        <v>0</v>
      </c>
      <c r="DV81" s="3">
        <f>SUM(AG81:AP81)*Inicio!$W$7</f>
        <v>0</v>
      </c>
      <c r="DW81" s="3">
        <f>SUM(AQ81:AZ81)*Inicio!$W$8</f>
        <v>0</v>
      </c>
      <c r="DX81" s="3">
        <f>SUM(BA81:BJ81)*Inicio!$W$9</f>
        <v>0</v>
      </c>
      <c r="DY81" s="3">
        <f>SUM(BK81:BT81)*Inicio!$W$10</f>
        <v>0</v>
      </c>
      <c r="DZ81" s="3">
        <f>SUM(BU81:CD81)*Inicio!$W$11</f>
        <v>0</v>
      </c>
      <c r="EA81" s="3">
        <f>SUM(CE81:CN81)*Inicio!$W$12</f>
        <v>0</v>
      </c>
      <c r="EB81" s="3">
        <f>SUM(CO81:CX81)*Inicio!$W$13</f>
        <v>0</v>
      </c>
      <c r="EC81" s="3">
        <f>SUM(CY81:DH81)*Inicio!$W$11</f>
        <v>0</v>
      </c>
      <c r="ED81" s="3">
        <f>SUM(DI81:DR81)*Inicio!$W$12</f>
        <v>0</v>
      </c>
      <c r="EE81" s="3">
        <f t="shared" si="6"/>
        <v>0</v>
      </c>
      <c r="EF81" s="3">
        <f t="shared" si="8"/>
        <v>0</v>
      </c>
      <c r="EG81" s="3">
        <f t="shared" si="7"/>
        <v>0</v>
      </c>
      <c r="EH81" s="3">
        <f t="shared" si="8"/>
        <v>0</v>
      </c>
    </row>
    <row r="82" spans="2:138" ht="20.25" customHeight="1" x14ac:dyDescent="0.3">
      <c r="B82" s="28" t="s">
        <v>98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4">
        <f>SUM(C82:L82)*Inicio!$W$4</f>
        <v>0</v>
      </c>
      <c r="DT82" s="4">
        <f>SUM(M82:V82)*Inicio!$W$5</f>
        <v>0</v>
      </c>
      <c r="DU82" s="4">
        <f>SUM(W82:AF82)*Inicio!$W$6</f>
        <v>0</v>
      </c>
      <c r="DV82" s="4">
        <f>SUM(AG82:AP82)*Inicio!$W$7</f>
        <v>0</v>
      </c>
      <c r="DW82" s="4">
        <f>SUM(AQ82:AZ82)*Inicio!$W$8</f>
        <v>0</v>
      </c>
      <c r="DX82" s="4">
        <f>SUM(BA82:BJ82)*Inicio!$W$9</f>
        <v>0</v>
      </c>
      <c r="DY82" s="4">
        <f>SUM(BK82:BT82)*Inicio!$W$10</f>
        <v>0</v>
      </c>
      <c r="DZ82" s="4">
        <f>SUM(BU82:CD82)*Inicio!$W$11</f>
        <v>0</v>
      </c>
      <c r="EA82" s="4">
        <f>SUM(CE82:CN82)*Inicio!$W$12</f>
        <v>0</v>
      </c>
      <c r="EB82" s="4">
        <f>SUM(CO82:CX82)*Inicio!$W$13</f>
        <v>0</v>
      </c>
      <c r="EC82" s="4">
        <f>SUM(CY82:DH82)*Inicio!$W$11</f>
        <v>0</v>
      </c>
      <c r="ED82" s="4">
        <f>SUM(DI82:DR82)*Inicio!$W$12</f>
        <v>0</v>
      </c>
      <c r="EE82" s="4">
        <f t="shared" si="6"/>
        <v>0</v>
      </c>
      <c r="EF82" s="4">
        <f t="shared" si="8"/>
        <v>0</v>
      </c>
      <c r="EG82" s="4">
        <f t="shared" si="7"/>
        <v>0</v>
      </c>
      <c r="EH82" s="4">
        <f t="shared" si="8"/>
        <v>0</v>
      </c>
    </row>
    <row r="83" spans="2:138" ht="20.25" customHeight="1" x14ac:dyDescent="0.3">
      <c r="B83" s="28" t="s">
        <v>99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4">
        <f>SUM(C83:L83)*Inicio!$W$4</f>
        <v>0</v>
      </c>
      <c r="DT83" s="4">
        <f>SUM(M83:V83)*Inicio!$W$5</f>
        <v>0</v>
      </c>
      <c r="DU83" s="4">
        <f>SUM(W83:AF83)*Inicio!$W$6</f>
        <v>0</v>
      </c>
      <c r="DV83" s="4">
        <f>SUM(AG83:AP83)*Inicio!$W$7</f>
        <v>0</v>
      </c>
      <c r="DW83" s="4">
        <f>SUM(AQ83:AZ83)*Inicio!$W$8</f>
        <v>0</v>
      </c>
      <c r="DX83" s="4">
        <f>SUM(BA83:BJ83)*Inicio!$W$9</f>
        <v>0</v>
      </c>
      <c r="DY83" s="4">
        <f>SUM(BK83:BT83)*Inicio!$W$10</f>
        <v>0</v>
      </c>
      <c r="DZ83" s="4">
        <f>SUM(BU83:CD83)*Inicio!$W$11</f>
        <v>0</v>
      </c>
      <c r="EA83" s="4">
        <f>SUM(CE83:CN83)*Inicio!$W$12</f>
        <v>0</v>
      </c>
      <c r="EB83" s="4">
        <f>SUM(CO83:CX83)*Inicio!$W$13</f>
        <v>0</v>
      </c>
      <c r="EC83" s="4">
        <f>SUM(CY83:DH83)*Inicio!$W$11</f>
        <v>0</v>
      </c>
      <c r="ED83" s="4">
        <f>SUM(DI83:DR83)*Inicio!$W$12</f>
        <v>0</v>
      </c>
      <c r="EE83" s="4">
        <f t="shared" si="6"/>
        <v>0</v>
      </c>
      <c r="EF83" s="4">
        <f t="shared" si="8"/>
        <v>0</v>
      </c>
      <c r="EG83" s="4">
        <f t="shared" si="7"/>
        <v>0</v>
      </c>
      <c r="EH83" s="4">
        <f t="shared" si="8"/>
        <v>0</v>
      </c>
    </row>
    <row r="84" spans="2:138" ht="20.25" customHeight="1" x14ac:dyDescent="0.3">
      <c r="B84" s="26" t="s">
        <v>100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5">
        <f>SUM(C84:L84)*Inicio!$W$4</f>
        <v>0</v>
      </c>
      <c r="DT84" s="5">
        <f>SUM(M84:V84)*Inicio!$W$5</f>
        <v>0</v>
      </c>
      <c r="DU84" s="5">
        <f>SUM(W84:AF84)*Inicio!$W$6</f>
        <v>0</v>
      </c>
      <c r="DV84" s="5">
        <f>SUM(AG84:AP84)*Inicio!$W$7</f>
        <v>0</v>
      </c>
      <c r="DW84" s="5">
        <f>SUM(AQ84:AZ84)*Inicio!$W$8</f>
        <v>0</v>
      </c>
      <c r="DX84" s="5">
        <f>SUM(BA84:BJ84)*Inicio!$W$9</f>
        <v>0</v>
      </c>
      <c r="DY84" s="5">
        <f>SUM(BK84:BT84)*Inicio!$W$10</f>
        <v>0</v>
      </c>
      <c r="DZ84" s="5">
        <f>SUM(BU84:CD84)*Inicio!$W$11</f>
        <v>0</v>
      </c>
      <c r="EA84" s="5">
        <f>SUM(CE84:CN84)*Inicio!$W$12</f>
        <v>0</v>
      </c>
      <c r="EB84" s="5">
        <f>SUM(CO84:CX84)*Inicio!$W$13</f>
        <v>0</v>
      </c>
      <c r="EC84" s="5">
        <f>SUM(CY84:DH84)*Inicio!$W$11</f>
        <v>0</v>
      </c>
      <c r="ED84" s="5">
        <f>SUM(DI84:DR84)*Inicio!$W$12</f>
        <v>0</v>
      </c>
      <c r="EE84" s="5">
        <f t="shared" si="6"/>
        <v>0</v>
      </c>
      <c r="EF84" s="5">
        <f t="shared" si="8"/>
        <v>0</v>
      </c>
      <c r="EG84" s="5">
        <f t="shared" si="7"/>
        <v>0</v>
      </c>
      <c r="EH84" s="5">
        <f t="shared" si="8"/>
        <v>0</v>
      </c>
    </row>
    <row r="85" spans="2:138" ht="20.25" customHeight="1" x14ac:dyDescent="0.3">
      <c r="B85" s="27" t="s">
        <v>101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3">
        <f>SUM(C85:L85)*Inicio!$W$4</f>
        <v>0</v>
      </c>
      <c r="DT85" s="3">
        <f>SUM(M85:V85)*Inicio!$W$5</f>
        <v>0</v>
      </c>
      <c r="DU85" s="3">
        <f>SUM(W85:AF85)*Inicio!$W$6</f>
        <v>0</v>
      </c>
      <c r="DV85" s="3">
        <f>SUM(AG85:AP85)*Inicio!$W$7</f>
        <v>0</v>
      </c>
      <c r="DW85" s="3">
        <f>SUM(AQ85:AZ85)*Inicio!$W$8</f>
        <v>0</v>
      </c>
      <c r="DX85" s="3">
        <f>SUM(BA85:BJ85)*Inicio!$W$9</f>
        <v>0</v>
      </c>
      <c r="DY85" s="3">
        <f>SUM(BK85:BT85)*Inicio!$W$10</f>
        <v>0</v>
      </c>
      <c r="DZ85" s="3">
        <f>SUM(BU85:CD85)*Inicio!$W$11</f>
        <v>0</v>
      </c>
      <c r="EA85" s="3">
        <f>SUM(CE85:CN85)*Inicio!$W$12</f>
        <v>0</v>
      </c>
      <c r="EB85" s="3">
        <f>SUM(CO85:CX85)*Inicio!$W$13</f>
        <v>0</v>
      </c>
      <c r="EC85" s="3">
        <f>SUM(CY85:DH85)*Inicio!$W$11</f>
        <v>0</v>
      </c>
      <c r="ED85" s="3">
        <f>SUM(DI85:DR85)*Inicio!$W$12</f>
        <v>0</v>
      </c>
      <c r="EE85" s="3">
        <f t="shared" si="6"/>
        <v>0</v>
      </c>
      <c r="EF85" s="3">
        <f t="shared" si="8"/>
        <v>0</v>
      </c>
      <c r="EG85" s="3">
        <f t="shared" si="7"/>
        <v>0</v>
      </c>
      <c r="EH85" s="3">
        <f t="shared" si="8"/>
        <v>0</v>
      </c>
    </row>
    <row r="86" spans="2:138" ht="20.25" customHeight="1" x14ac:dyDescent="0.3">
      <c r="B86" s="28" t="s">
        <v>102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4">
        <f>SUM(C86:L86)*Inicio!$W$4</f>
        <v>0</v>
      </c>
      <c r="DT86" s="4">
        <f>SUM(M86:V86)*Inicio!$W$5</f>
        <v>0</v>
      </c>
      <c r="DU86" s="4">
        <f>SUM(W86:AF86)*Inicio!$W$6</f>
        <v>0</v>
      </c>
      <c r="DV86" s="4">
        <f>SUM(AG86:AP86)*Inicio!$W$7</f>
        <v>0</v>
      </c>
      <c r="DW86" s="4">
        <f>SUM(AQ86:AZ86)*Inicio!$W$8</f>
        <v>0</v>
      </c>
      <c r="DX86" s="4">
        <f>SUM(BA86:BJ86)*Inicio!$W$9</f>
        <v>0</v>
      </c>
      <c r="DY86" s="4">
        <f>SUM(BK86:BT86)*Inicio!$W$10</f>
        <v>0</v>
      </c>
      <c r="DZ86" s="4">
        <f>SUM(BU86:CD86)*Inicio!$W$11</f>
        <v>0</v>
      </c>
      <c r="EA86" s="4">
        <f>SUM(CE86:CN86)*Inicio!$W$12</f>
        <v>0</v>
      </c>
      <c r="EB86" s="4">
        <f>SUM(CO86:CX86)*Inicio!$W$13</f>
        <v>0</v>
      </c>
      <c r="EC86" s="4">
        <f>SUM(CY86:DH86)*Inicio!$W$11</f>
        <v>0</v>
      </c>
      <c r="ED86" s="4">
        <f>SUM(DI86:DR86)*Inicio!$W$12</f>
        <v>0</v>
      </c>
      <c r="EE86" s="4">
        <f t="shared" si="6"/>
        <v>0</v>
      </c>
      <c r="EF86" s="4">
        <f t="shared" si="8"/>
        <v>0</v>
      </c>
      <c r="EG86" s="4">
        <f t="shared" si="7"/>
        <v>0</v>
      </c>
      <c r="EH86" s="4">
        <f t="shared" si="8"/>
        <v>0</v>
      </c>
    </row>
    <row r="87" spans="2:138" ht="20.25" customHeight="1" x14ac:dyDescent="0.3">
      <c r="B87" s="28" t="s">
        <v>103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4">
        <f>SUM(C87:L87)*Inicio!$W$4</f>
        <v>0</v>
      </c>
      <c r="DT87" s="4">
        <f>SUM(M87:V87)*Inicio!$W$5</f>
        <v>0</v>
      </c>
      <c r="DU87" s="4">
        <f>SUM(W87:AF87)*Inicio!$W$6</f>
        <v>0</v>
      </c>
      <c r="DV87" s="4">
        <f>SUM(AG87:AP87)*Inicio!$W$7</f>
        <v>0</v>
      </c>
      <c r="DW87" s="4">
        <f>SUM(AQ87:AZ87)*Inicio!$W$8</f>
        <v>0</v>
      </c>
      <c r="DX87" s="4">
        <f>SUM(BA87:BJ87)*Inicio!$W$9</f>
        <v>0</v>
      </c>
      <c r="DY87" s="4">
        <f>SUM(BK87:BT87)*Inicio!$W$10</f>
        <v>0</v>
      </c>
      <c r="DZ87" s="4">
        <f>SUM(BU87:CD87)*Inicio!$W$11</f>
        <v>0</v>
      </c>
      <c r="EA87" s="4">
        <f>SUM(CE87:CN87)*Inicio!$W$12</f>
        <v>0</v>
      </c>
      <c r="EB87" s="4">
        <f>SUM(CO87:CX87)*Inicio!$W$13</f>
        <v>0</v>
      </c>
      <c r="EC87" s="4">
        <f>SUM(CY87:DH87)*Inicio!$W$11</f>
        <v>0</v>
      </c>
      <c r="ED87" s="4">
        <f>SUM(DI87:DR87)*Inicio!$W$12</f>
        <v>0</v>
      </c>
      <c r="EE87" s="4">
        <f t="shared" si="6"/>
        <v>0</v>
      </c>
      <c r="EF87" s="4">
        <f t="shared" si="8"/>
        <v>0</v>
      </c>
      <c r="EG87" s="4">
        <f t="shared" si="7"/>
        <v>0</v>
      </c>
      <c r="EH87" s="4">
        <f t="shared" si="8"/>
        <v>0</v>
      </c>
    </row>
    <row r="88" spans="2:138" ht="20.25" customHeight="1" x14ac:dyDescent="0.3">
      <c r="B88" s="26" t="s">
        <v>104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5">
        <f>SUM(C88:L88)*Inicio!$W$4</f>
        <v>0</v>
      </c>
      <c r="DT88" s="5">
        <f>SUM(M88:V88)*Inicio!$W$5</f>
        <v>0</v>
      </c>
      <c r="DU88" s="5">
        <f>SUM(W88:AF88)*Inicio!$W$6</f>
        <v>0</v>
      </c>
      <c r="DV88" s="5">
        <f>SUM(AG88:AP88)*Inicio!$W$7</f>
        <v>0</v>
      </c>
      <c r="DW88" s="5">
        <f>SUM(AQ88:AZ88)*Inicio!$W$8</f>
        <v>0</v>
      </c>
      <c r="DX88" s="5">
        <f>SUM(BA88:BJ88)*Inicio!$W$9</f>
        <v>0</v>
      </c>
      <c r="DY88" s="5">
        <f>SUM(BK88:BT88)*Inicio!$W$10</f>
        <v>0</v>
      </c>
      <c r="DZ88" s="5">
        <f>SUM(BU88:CD88)*Inicio!$W$11</f>
        <v>0</v>
      </c>
      <c r="EA88" s="5">
        <f>SUM(CE88:CN88)*Inicio!$W$12</f>
        <v>0</v>
      </c>
      <c r="EB88" s="5">
        <f>SUM(CO88:CX88)*Inicio!$W$13</f>
        <v>0</v>
      </c>
      <c r="EC88" s="5">
        <f>SUM(CY88:DH88)*Inicio!$W$11</f>
        <v>0</v>
      </c>
      <c r="ED88" s="5">
        <f>SUM(DI88:DR88)*Inicio!$W$12</f>
        <v>0</v>
      </c>
      <c r="EE88" s="5">
        <f t="shared" si="6"/>
        <v>0</v>
      </c>
      <c r="EF88" s="5">
        <f t="shared" si="8"/>
        <v>0</v>
      </c>
      <c r="EG88" s="5">
        <f t="shared" si="7"/>
        <v>0</v>
      </c>
      <c r="EH88" s="5">
        <f t="shared" si="8"/>
        <v>0</v>
      </c>
    </row>
    <row r="89" spans="2:138" ht="20.25" customHeight="1" x14ac:dyDescent="0.3">
      <c r="B89" s="27" t="s">
        <v>105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3">
        <f>SUM(C89:L89)*Inicio!$W$4</f>
        <v>0</v>
      </c>
      <c r="DT89" s="3">
        <f>SUM(M89:V89)*Inicio!$W$5</f>
        <v>0</v>
      </c>
      <c r="DU89" s="3">
        <f>SUM(W89:AF89)*Inicio!$W$6</f>
        <v>0</v>
      </c>
      <c r="DV89" s="3">
        <f>SUM(AG89:AP89)*Inicio!$W$7</f>
        <v>0</v>
      </c>
      <c r="DW89" s="3">
        <f>SUM(AQ89:AZ89)*Inicio!$W$8</f>
        <v>0</v>
      </c>
      <c r="DX89" s="3">
        <f>SUM(BA89:BJ89)*Inicio!$W$9</f>
        <v>0</v>
      </c>
      <c r="DY89" s="3">
        <f>SUM(BK89:BT89)*Inicio!$W$10</f>
        <v>0</v>
      </c>
      <c r="DZ89" s="3">
        <f>SUM(BU89:CD89)*Inicio!$W$11</f>
        <v>0</v>
      </c>
      <c r="EA89" s="3">
        <f>SUM(CE89:CN89)*Inicio!$W$12</f>
        <v>0</v>
      </c>
      <c r="EB89" s="3">
        <f>SUM(CO89:CX89)*Inicio!$W$13</f>
        <v>0</v>
      </c>
      <c r="EC89" s="3">
        <f>SUM(CY89:DH89)*Inicio!$W$11</f>
        <v>0</v>
      </c>
      <c r="ED89" s="3">
        <f>SUM(DI89:DR89)*Inicio!$W$12</f>
        <v>0</v>
      </c>
      <c r="EE89" s="3">
        <f t="shared" si="6"/>
        <v>0</v>
      </c>
      <c r="EF89" s="3">
        <f t="shared" si="8"/>
        <v>0</v>
      </c>
      <c r="EG89" s="3">
        <f t="shared" si="7"/>
        <v>0</v>
      </c>
      <c r="EH89" s="3">
        <f t="shared" si="8"/>
        <v>0</v>
      </c>
    </row>
    <row r="90" spans="2:138" ht="20.25" customHeight="1" x14ac:dyDescent="0.3">
      <c r="B90" s="28" t="s">
        <v>106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4">
        <f>SUM(C90:L90)*Inicio!$W$4</f>
        <v>0</v>
      </c>
      <c r="DT90" s="4">
        <f>SUM(M90:V90)*Inicio!$W$5</f>
        <v>0</v>
      </c>
      <c r="DU90" s="4">
        <f>SUM(W90:AF90)*Inicio!$W$6</f>
        <v>0</v>
      </c>
      <c r="DV90" s="4">
        <f>SUM(AG90:AP90)*Inicio!$W$7</f>
        <v>0</v>
      </c>
      <c r="DW90" s="4">
        <f>SUM(AQ90:AZ90)*Inicio!$W$8</f>
        <v>0</v>
      </c>
      <c r="DX90" s="4">
        <f>SUM(BA90:BJ90)*Inicio!$W$9</f>
        <v>0</v>
      </c>
      <c r="DY90" s="4">
        <f>SUM(BK90:BT90)*Inicio!$W$10</f>
        <v>0</v>
      </c>
      <c r="DZ90" s="4">
        <f>SUM(BU90:CD90)*Inicio!$W$11</f>
        <v>0</v>
      </c>
      <c r="EA90" s="4">
        <f>SUM(CE90:CN90)*Inicio!$W$12</f>
        <v>0</v>
      </c>
      <c r="EB90" s="4">
        <f>SUM(CO90:CX90)*Inicio!$W$13</f>
        <v>0</v>
      </c>
      <c r="EC90" s="4">
        <f>SUM(CY90:DH90)*Inicio!$W$11</f>
        <v>0</v>
      </c>
      <c r="ED90" s="4">
        <f>SUM(DI90:DR90)*Inicio!$W$12</f>
        <v>0</v>
      </c>
      <c r="EE90" s="4">
        <f t="shared" si="6"/>
        <v>0</v>
      </c>
      <c r="EF90" s="4">
        <f t="shared" si="8"/>
        <v>0</v>
      </c>
      <c r="EG90" s="4">
        <f t="shared" si="7"/>
        <v>0</v>
      </c>
      <c r="EH90" s="4">
        <f t="shared" si="8"/>
        <v>0</v>
      </c>
    </row>
    <row r="91" spans="2:138" ht="20.25" customHeight="1" x14ac:dyDescent="0.3">
      <c r="B91" s="28" t="s">
        <v>107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4">
        <f>SUM(C91:L91)*Inicio!$W$4</f>
        <v>0</v>
      </c>
      <c r="DT91" s="4">
        <f>SUM(M91:V91)*Inicio!$W$5</f>
        <v>0</v>
      </c>
      <c r="DU91" s="4">
        <f>SUM(W91:AF91)*Inicio!$W$6</f>
        <v>0</v>
      </c>
      <c r="DV91" s="4">
        <f>SUM(AG91:AP91)*Inicio!$W$7</f>
        <v>0</v>
      </c>
      <c r="DW91" s="4">
        <f>SUM(AQ91:AZ91)*Inicio!$W$8</f>
        <v>0</v>
      </c>
      <c r="DX91" s="4">
        <f>SUM(BA91:BJ91)*Inicio!$W$9</f>
        <v>0</v>
      </c>
      <c r="DY91" s="4">
        <f>SUM(BK91:BT91)*Inicio!$W$10</f>
        <v>0</v>
      </c>
      <c r="DZ91" s="4">
        <f>SUM(BU91:CD91)*Inicio!$W$11</f>
        <v>0</v>
      </c>
      <c r="EA91" s="4">
        <f>SUM(CE91:CN91)*Inicio!$W$12</f>
        <v>0</v>
      </c>
      <c r="EB91" s="4">
        <f>SUM(CO91:CX91)*Inicio!$W$13</f>
        <v>0</v>
      </c>
      <c r="EC91" s="4">
        <f>SUM(CY91:DH91)*Inicio!$W$11</f>
        <v>0</v>
      </c>
      <c r="ED91" s="4">
        <f>SUM(DI91:DR91)*Inicio!$W$12</f>
        <v>0</v>
      </c>
      <c r="EE91" s="4">
        <f t="shared" si="6"/>
        <v>0</v>
      </c>
      <c r="EF91" s="4">
        <f t="shared" si="8"/>
        <v>0</v>
      </c>
      <c r="EG91" s="4">
        <f t="shared" si="7"/>
        <v>0</v>
      </c>
      <c r="EH91" s="4">
        <f t="shared" si="8"/>
        <v>0</v>
      </c>
    </row>
    <row r="92" spans="2:138" ht="20.25" customHeight="1" x14ac:dyDescent="0.3">
      <c r="B92" s="26" t="s">
        <v>108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5">
        <f>SUM(C92:L92)*Inicio!$W$4</f>
        <v>0</v>
      </c>
      <c r="DT92" s="5">
        <f>SUM(M92:V92)*Inicio!$W$5</f>
        <v>0</v>
      </c>
      <c r="DU92" s="5">
        <f>SUM(W92:AF92)*Inicio!$W$6</f>
        <v>0</v>
      </c>
      <c r="DV92" s="5">
        <f>SUM(AG92:AP92)*Inicio!$W$7</f>
        <v>0</v>
      </c>
      <c r="DW92" s="5">
        <f>SUM(AQ92:AZ92)*Inicio!$W$8</f>
        <v>0</v>
      </c>
      <c r="DX92" s="5">
        <f>SUM(BA92:BJ92)*Inicio!$W$9</f>
        <v>0</v>
      </c>
      <c r="DY92" s="5">
        <f>SUM(BK92:BT92)*Inicio!$W$10</f>
        <v>0</v>
      </c>
      <c r="DZ92" s="5">
        <f>SUM(BU92:CD92)*Inicio!$W$11</f>
        <v>0</v>
      </c>
      <c r="EA92" s="5">
        <f>SUM(CE92:CN92)*Inicio!$W$12</f>
        <v>0</v>
      </c>
      <c r="EB92" s="5">
        <f>SUM(CO92:CX92)*Inicio!$W$13</f>
        <v>0</v>
      </c>
      <c r="EC92" s="5">
        <f>SUM(CY92:DH92)*Inicio!$W$11</f>
        <v>0</v>
      </c>
      <c r="ED92" s="5">
        <f>SUM(DI92:DR92)*Inicio!$W$12</f>
        <v>0</v>
      </c>
      <c r="EE92" s="5">
        <f t="shared" si="6"/>
        <v>0</v>
      </c>
      <c r="EF92" s="5">
        <f t="shared" si="8"/>
        <v>0</v>
      </c>
      <c r="EG92" s="5">
        <f t="shared" si="7"/>
        <v>0</v>
      </c>
      <c r="EH92" s="5">
        <f t="shared" si="8"/>
        <v>0</v>
      </c>
    </row>
    <row r="93" spans="2:138" ht="20.25" customHeight="1" x14ac:dyDescent="0.3">
      <c r="B93" s="27" t="s">
        <v>109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3">
        <f>SUM(C93:L93)*Inicio!$W$4</f>
        <v>0</v>
      </c>
      <c r="DT93" s="3">
        <f>SUM(M93:V93)*Inicio!$W$5</f>
        <v>0</v>
      </c>
      <c r="DU93" s="3">
        <f>SUM(W93:AF93)*Inicio!$W$6</f>
        <v>0</v>
      </c>
      <c r="DV93" s="3">
        <f>SUM(AG93:AP93)*Inicio!$W$7</f>
        <v>0</v>
      </c>
      <c r="DW93" s="3">
        <f>SUM(AQ93:AZ93)*Inicio!$W$8</f>
        <v>0</v>
      </c>
      <c r="DX93" s="3">
        <f>SUM(BA93:BJ93)*Inicio!$W$9</f>
        <v>0</v>
      </c>
      <c r="DY93" s="3">
        <f>SUM(BK93:BT93)*Inicio!$W$10</f>
        <v>0</v>
      </c>
      <c r="DZ93" s="3">
        <f>SUM(BU93:CD93)*Inicio!$W$11</f>
        <v>0</v>
      </c>
      <c r="EA93" s="3">
        <f>SUM(CE93:CN93)*Inicio!$W$12</f>
        <v>0</v>
      </c>
      <c r="EB93" s="3">
        <f>SUM(CO93:CX93)*Inicio!$W$13</f>
        <v>0</v>
      </c>
      <c r="EC93" s="3">
        <f>SUM(CY93:DH93)*Inicio!$W$11</f>
        <v>0</v>
      </c>
      <c r="ED93" s="3">
        <f>SUM(DI93:DR93)*Inicio!$W$12</f>
        <v>0</v>
      </c>
      <c r="EE93" s="3">
        <f t="shared" si="6"/>
        <v>0</v>
      </c>
      <c r="EF93" s="3">
        <f t="shared" si="8"/>
        <v>0</v>
      </c>
      <c r="EG93" s="3">
        <f t="shared" si="7"/>
        <v>0</v>
      </c>
      <c r="EH93" s="3">
        <f t="shared" si="8"/>
        <v>0</v>
      </c>
    </row>
    <row r="94" spans="2:138" ht="20.25" customHeight="1" x14ac:dyDescent="0.3">
      <c r="B94" s="28" t="s">
        <v>110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4">
        <f>SUM(C94:L94)*Inicio!$W$4</f>
        <v>0</v>
      </c>
      <c r="DT94" s="4">
        <f>SUM(M94:V94)*Inicio!$W$5</f>
        <v>0</v>
      </c>
      <c r="DU94" s="4">
        <f>SUM(W94:AF94)*Inicio!$W$6</f>
        <v>0</v>
      </c>
      <c r="DV94" s="4">
        <f>SUM(AG94:AP94)*Inicio!$W$7</f>
        <v>0</v>
      </c>
      <c r="DW94" s="4">
        <f>SUM(AQ94:AZ94)*Inicio!$W$8</f>
        <v>0</v>
      </c>
      <c r="DX94" s="4">
        <f>SUM(BA94:BJ94)*Inicio!$W$9</f>
        <v>0</v>
      </c>
      <c r="DY94" s="4">
        <f>SUM(BK94:BT94)*Inicio!$W$10</f>
        <v>0</v>
      </c>
      <c r="DZ94" s="4">
        <f>SUM(BU94:CD94)*Inicio!$W$11</f>
        <v>0</v>
      </c>
      <c r="EA94" s="4">
        <f>SUM(CE94:CN94)*Inicio!$W$12</f>
        <v>0</v>
      </c>
      <c r="EB94" s="4">
        <f>SUM(CO94:CX94)*Inicio!$W$13</f>
        <v>0</v>
      </c>
      <c r="EC94" s="4">
        <f>SUM(CY94:DH94)*Inicio!$W$11</f>
        <v>0</v>
      </c>
      <c r="ED94" s="4">
        <f>SUM(DI94:DR94)*Inicio!$W$12</f>
        <v>0</v>
      </c>
      <c r="EE94" s="4">
        <f t="shared" si="6"/>
        <v>0</v>
      </c>
      <c r="EF94" s="4">
        <f t="shared" ref="EF94:EH104" si="9">SUM(EE91:EE94)</f>
        <v>0</v>
      </c>
      <c r="EG94" s="4">
        <f t="shared" si="7"/>
        <v>0</v>
      </c>
      <c r="EH94" s="4">
        <f t="shared" si="9"/>
        <v>0</v>
      </c>
    </row>
    <row r="95" spans="2:138" ht="20.25" customHeight="1" x14ac:dyDescent="0.3">
      <c r="B95" s="28" t="s">
        <v>111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4">
        <f>SUM(C95:L95)*Inicio!$W$4</f>
        <v>0</v>
      </c>
      <c r="DT95" s="4">
        <f>SUM(M95:V95)*Inicio!$W$5</f>
        <v>0</v>
      </c>
      <c r="DU95" s="4">
        <f>SUM(W95:AF95)*Inicio!$W$6</f>
        <v>0</v>
      </c>
      <c r="DV95" s="4">
        <f>SUM(AG95:AP95)*Inicio!$W$7</f>
        <v>0</v>
      </c>
      <c r="DW95" s="4">
        <f>SUM(AQ95:AZ95)*Inicio!$W$8</f>
        <v>0</v>
      </c>
      <c r="DX95" s="4">
        <f>SUM(BA95:BJ95)*Inicio!$W$9</f>
        <v>0</v>
      </c>
      <c r="DY95" s="4">
        <f>SUM(BK95:BT95)*Inicio!$W$10</f>
        <v>0</v>
      </c>
      <c r="DZ95" s="4">
        <f>SUM(BU95:CD95)*Inicio!$W$11</f>
        <v>0</v>
      </c>
      <c r="EA95" s="4">
        <f>SUM(CE95:CN95)*Inicio!$W$12</f>
        <v>0</v>
      </c>
      <c r="EB95" s="4">
        <f>SUM(CO95:CX95)*Inicio!$W$13</f>
        <v>0</v>
      </c>
      <c r="EC95" s="4">
        <f>SUM(CY95:DH95)*Inicio!$W$11</f>
        <v>0</v>
      </c>
      <c r="ED95" s="4">
        <f>SUM(DI95:DR95)*Inicio!$W$12</f>
        <v>0</v>
      </c>
      <c r="EE95" s="4">
        <f t="shared" si="6"/>
        <v>0</v>
      </c>
      <c r="EF95" s="4">
        <f t="shared" si="9"/>
        <v>0</v>
      </c>
      <c r="EG95" s="4">
        <f t="shared" si="7"/>
        <v>0</v>
      </c>
      <c r="EH95" s="4">
        <f t="shared" si="9"/>
        <v>0</v>
      </c>
    </row>
    <row r="96" spans="2:138" ht="20.25" customHeight="1" x14ac:dyDescent="0.3">
      <c r="B96" s="26" t="s">
        <v>112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5">
        <f>SUM(C96:L96)*Inicio!$W$4</f>
        <v>0</v>
      </c>
      <c r="DT96" s="5">
        <f>SUM(M96:V96)*Inicio!$W$5</f>
        <v>0</v>
      </c>
      <c r="DU96" s="5">
        <f>SUM(W96:AF96)*Inicio!$W$6</f>
        <v>0</v>
      </c>
      <c r="DV96" s="5">
        <f>SUM(AG96:AP96)*Inicio!$W$7</f>
        <v>0</v>
      </c>
      <c r="DW96" s="5">
        <f>SUM(AQ96:AZ96)*Inicio!$W$8</f>
        <v>0</v>
      </c>
      <c r="DX96" s="5">
        <f>SUM(BA96:BJ96)*Inicio!$W$9</f>
        <v>0</v>
      </c>
      <c r="DY96" s="5">
        <f>SUM(BK96:BT96)*Inicio!$W$10</f>
        <v>0</v>
      </c>
      <c r="DZ96" s="5">
        <f>SUM(BU96:CD96)*Inicio!$W$11</f>
        <v>0</v>
      </c>
      <c r="EA96" s="5">
        <f>SUM(CE96:CN96)*Inicio!$W$12</f>
        <v>0</v>
      </c>
      <c r="EB96" s="5">
        <f>SUM(CO96:CX96)*Inicio!$W$13</f>
        <v>0</v>
      </c>
      <c r="EC96" s="5">
        <f>SUM(CY96:DH96)*Inicio!$W$11</f>
        <v>0</v>
      </c>
      <c r="ED96" s="5">
        <f>SUM(DI96:DR96)*Inicio!$W$12</f>
        <v>0</v>
      </c>
      <c r="EE96" s="5">
        <f t="shared" si="6"/>
        <v>0</v>
      </c>
      <c r="EF96" s="5">
        <f t="shared" si="9"/>
        <v>0</v>
      </c>
      <c r="EG96" s="5">
        <f t="shared" si="7"/>
        <v>0</v>
      </c>
      <c r="EH96" s="5">
        <f t="shared" si="9"/>
        <v>0</v>
      </c>
    </row>
    <row r="97" spans="2:138" ht="20.25" customHeight="1" x14ac:dyDescent="0.3">
      <c r="B97" s="27" t="s">
        <v>113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3">
        <f>SUM(C97:L97)*Inicio!$W$4</f>
        <v>0</v>
      </c>
      <c r="DT97" s="3">
        <f>SUM(M97:V97)*Inicio!$W$5</f>
        <v>0</v>
      </c>
      <c r="DU97" s="3">
        <f>SUM(W97:AF97)*Inicio!$W$6</f>
        <v>0</v>
      </c>
      <c r="DV97" s="3">
        <f>SUM(AG97:AP97)*Inicio!$W$7</f>
        <v>0</v>
      </c>
      <c r="DW97" s="3">
        <f>SUM(AQ97:AZ97)*Inicio!$W$8</f>
        <v>0</v>
      </c>
      <c r="DX97" s="3">
        <f>SUM(BA97:BJ97)*Inicio!$W$9</f>
        <v>0</v>
      </c>
      <c r="DY97" s="3">
        <f>SUM(BK97:BT97)*Inicio!$W$10</f>
        <v>0</v>
      </c>
      <c r="DZ97" s="3">
        <f>SUM(BU97:CD97)*Inicio!$W$11</f>
        <v>0</v>
      </c>
      <c r="EA97" s="3">
        <f>SUM(CE97:CN97)*Inicio!$W$12</f>
        <v>0</v>
      </c>
      <c r="EB97" s="3">
        <f>SUM(CO97:CX97)*Inicio!$W$13</f>
        <v>0</v>
      </c>
      <c r="EC97" s="3">
        <f>SUM(CY97:DH97)*Inicio!$W$11</f>
        <v>0</v>
      </c>
      <c r="ED97" s="3">
        <f>SUM(DI97:DR97)*Inicio!$W$12</f>
        <v>0</v>
      </c>
      <c r="EE97" s="3">
        <f t="shared" si="6"/>
        <v>0</v>
      </c>
      <c r="EF97" s="3">
        <f t="shared" si="9"/>
        <v>0</v>
      </c>
      <c r="EG97" s="3">
        <f t="shared" si="7"/>
        <v>0</v>
      </c>
      <c r="EH97" s="3">
        <f t="shared" si="9"/>
        <v>0</v>
      </c>
    </row>
    <row r="98" spans="2:138" ht="20.25" customHeight="1" x14ac:dyDescent="0.3">
      <c r="B98" s="28" t="s">
        <v>114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4">
        <f>SUM(C98:L98)*Inicio!$W$4</f>
        <v>0</v>
      </c>
      <c r="DT98" s="4">
        <f>SUM(M98:V98)*Inicio!$W$5</f>
        <v>0</v>
      </c>
      <c r="DU98" s="4">
        <f>SUM(W98:AF98)*Inicio!$W$6</f>
        <v>0</v>
      </c>
      <c r="DV98" s="4">
        <f>SUM(AG98:AP98)*Inicio!$W$7</f>
        <v>0</v>
      </c>
      <c r="DW98" s="4">
        <f>SUM(AQ98:AZ98)*Inicio!$W$8</f>
        <v>0</v>
      </c>
      <c r="DX98" s="4">
        <f>SUM(BA98:BJ98)*Inicio!$W$9</f>
        <v>0</v>
      </c>
      <c r="DY98" s="4">
        <f>SUM(BK98:BT98)*Inicio!$W$10</f>
        <v>0</v>
      </c>
      <c r="DZ98" s="4">
        <f>SUM(BU98:CD98)*Inicio!$W$11</f>
        <v>0</v>
      </c>
      <c r="EA98" s="4">
        <f>SUM(CE98:CN98)*Inicio!$W$12</f>
        <v>0</v>
      </c>
      <c r="EB98" s="4">
        <f>SUM(CO98:CX98)*Inicio!$W$13</f>
        <v>0</v>
      </c>
      <c r="EC98" s="4">
        <f>SUM(CY98:DH98)*Inicio!$W$11</f>
        <v>0</v>
      </c>
      <c r="ED98" s="4">
        <f>SUM(DI98:DR98)*Inicio!$W$12</f>
        <v>0</v>
      </c>
      <c r="EE98" s="4">
        <f t="shared" si="6"/>
        <v>0</v>
      </c>
      <c r="EF98" s="4">
        <f t="shared" si="9"/>
        <v>0</v>
      </c>
      <c r="EG98" s="4">
        <f t="shared" si="7"/>
        <v>0</v>
      </c>
      <c r="EH98" s="4">
        <f t="shared" si="9"/>
        <v>0</v>
      </c>
    </row>
    <row r="99" spans="2:138" ht="20.25" customHeight="1" x14ac:dyDescent="0.3">
      <c r="B99" s="28" t="s">
        <v>115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4">
        <f>SUM(C99:L99)*Inicio!$W$4</f>
        <v>0</v>
      </c>
      <c r="DT99" s="4">
        <f>SUM(M99:V99)*Inicio!$W$5</f>
        <v>0</v>
      </c>
      <c r="DU99" s="4">
        <f>SUM(W99:AF99)*Inicio!$W$6</f>
        <v>0</v>
      </c>
      <c r="DV99" s="4">
        <f>SUM(AG99:AP99)*Inicio!$W$7</f>
        <v>0</v>
      </c>
      <c r="DW99" s="4">
        <f>SUM(AQ99:AZ99)*Inicio!$W$8</f>
        <v>0</v>
      </c>
      <c r="DX99" s="4">
        <f>SUM(BA99:BJ99)*Inicio!$W$9</f>
        <v>0</v>
      </c>
      <c r="DY99" s="4">
        <f>SUM(BK99:BT99)*Inicio!$W$10</f>
        <v>0</v>
      </c>
      <c r="DZ99" s="4">
        <f>SUM(BU99:CD99)*Inicio!$W$11</f>
        <v>0</v>
      </c>
      <c r="EA99" s="4">
        <f>SUM(CE99:CN99)*Inicio!$W$12</f>
        <v>0</v>
      </c>
      <c r="EB99" s="4">
        <f>SUM(CO99:CX99)*Inicio!$W$13</f>
        <v>0</v>
      </c>
      <c r="EC99" s="4">
        <f>SUM(CY99:DH99)*Inicio!$W$11</f>
        <v>0</v>
      </c>
      <c r="ED99" s="4">
        <f>SUM(DI99:DR99)*Inicio!$W$12</f>
        <v>0</v>
      </c>
      <c r="EE99" s="4">
        <f t="shared" si="6"/>
        <v>0</v>
      </c>
      <c r="EF99" s="4">
        <f t="shared" si="9"/>
        <v>0</v>
      </c>
      <c r="EG99" s="4">
        <f t="shared" si="7"/>
        <v>0</v>
      </c>
      <c r="EH99" s="4">
        <f t="shared" si="9"/>
        <v>0</v>
      </c>
    </row>
    <row r="100" spans="2:138" ht="20.25" customHeight="1" x14ac:dyDescent="0.3">
      <c r="B100" s="26" t="s">
        <v>116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5">
        <f>SUM(C100:L100)*Inicio!$W$4</f>
        <v>0</v>
      </c>
      <c r="DT100" s="5">
        <f>SUM(M100:V100)*Inicio!$W$5</f>
        <v>0</v>
      </c>
      <c r="DU100" s="5">
        <f>SUM(W100:AF100)*Inicio!$W$6</f>
        <v>0</v>
      </c>
      <c r="DV100" s="5">
        <f>SUM(AG100:AP100)*Inicio!$W$7</f>
        <v>0</v>
      </c>
      <c r="DW100" s="5">
        <f>SUM(AQ100:AZ100)*Inicio!$W$8</f>
        <v>0</v>
      </c>
      <c r="DX100" s="5">
        <f>SUM(BA100:BJ100)*Inicio!$W$9</f>
        <v>0</v>
      </c>
      <c r="DY100" s="5">
        <f>SUM(BK100:BT100)*Inicio!$W$10</f>
        <v>0</v>
      </c>
      <c r="DZ100" s="5">
        <f>SUM(BU100:CD100)*Inicio!$W$11</f>
        <v>0</v>
      </c>
      <c r="EA100" s="5">
        <f>SUM(CE100:CN100)*Inicio!$W$12</f>
        <v>0</v>
      </c>
      <c r="EB100" s="5">
        <f>SUM(CO100:CX100)*Inicio!$W$13</f>
        <v>0</v>
      </c>
      <c r="EC100" s="5">
        <f>SUM(CY100:DH100)*Inicio!$W$11</f>
        <v>0</v>
      </c>
      <c r="ED100" s="5">
        <f>SUM(DI100:DR100)*Inicio!$W$12</f>
        <v>0</v>
      </c>
      <c r="EE100" s="5">
        <f t="shared" si="6"/>
        <v>0</v>
      </c>
      <c r="EF100" s="5">
        <f t="shared" si="9"/>
        <v>0</v>
      </c>
      <c r="EG100" s="5">
        <f t="shared" si="7"/>
        <v>0</v>
      </c>
      <c r="EH100" s="5">
        <f t="shared" si="9"/>
        <v>0</v>
      </c>
    </row>
    <row r="101" spans="2:138" ht="20.25" customHeight="1" x14ac:dyDescent="0.3">
      <c r="B101" s="23" t="s">
        <v>117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4">
        <f>SUM(C101:L101)*Inicio!$W$4</f>
        <v>0</v>
      </c>
      <c r="DT101" s="4">
        <f>SUM(M101:V101)*Inicio!$W$5</f>
        <v>0</v>
      </c>
      <c r="DU101" s="4">
        <f>SUM(W101:AF101)*Inicio!$W$6</f>
        <v>0</v>
      </c>
      <c r="DV101" s="4">
        <f>SUM(AG101:AP101)*Inicio!$W$7</f>
        <v>0</v>
      </c>
      <c r="DW101" s="4">
        <f>SUM(AQ101:AZ101)*Inicio!$W$8</f>
        <v>0</v>
      </c>
      <c r="DX101" s="4">
        <f>SUM(BA101:BJ101)*Inicio!$W$9</f>
        <v>0</v>
      </c>
      <c r="DY101" s="4">
        <f>SUM(BK101:BT101)*Inicio!$W$10</f>
        <v>0</v>
      </c>
      <c r="DZ101" s="4">
        <f>SUM(BU101:CD101)*Inicio!$W$11</f>
        <v>0</v>
      </c>
      <c r="EA101" s="4">
        <f>SUM(CE101:CN101)*Inicio!$W$12</f>
        <v>0</v>
      </c>
      <c r="EB101" s="4">
        <f>SUM(CO101:CX101)*Inicio!$W$13</f>
        <v>0</v>
      </c>
      <c r="EC101" s="4">
        <f>SUM(CY101:DH101)*Inicio!$W$11</f>
        <v>0</v>
      </c>
      <c r="ED101" s="4">
        <f>SUM(DI101:DR101)*Inicio!$W$12</f>
        <v>0</v>
      </c>
      <c r="EE101" s="4">
        <f t="shared" si="6"/>
        <v>0</v>
      </c>
      <c r="EF101" s="4">
        <f t="shared" si="9"/>
        <v>0</v>
      </c>
      <c r="EG101" s="4">
        <f t="shared" si="7"/>
        <v>0</v>
      </c>
      <c r="EH101" s="4">
        <f t="shared" si="9"/>
        <v>0</v>
      </c>
    </row>
    <row r="102" spans="2:138" ht="20.25" customHeight="1" x14ac:dyDescent="0.3">
      <c r="B102" s="24" t="s">
        <v>118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4">
        <f>SUM(C102:L102)*Inicio!$W$4</f>
        <v>0</v>
      </c>
      <c r="DT102" s="4">
        <f>SUM(M102:V102)*Inicio!$W$5</f>
        <v>0</v>
      </c>
      <c r="DU102" s="4">
        <f>SUM(W102:AF102)*Inicio!$W$6</f>
        <v>0</v>
      </c>
      <c r="DV102" s="4">
        <f>SUM(AG102:AP102)*Inicio!$W$7</f>
        <v>0</v>
      </c>
      <c r="DW102" s="4">
        <f>SUM(AQ102:AZ102)*Inicio!$W$8</f>
        <v>0</v>
      </c>
      <c r="DX102" s="4">
        <f>SUM(BA102:BJ102)*Inicio!$W$9</f>
        <v>0</v>
      </c>
      <c r="DY102" s="4">
        <f>SUM(BK102:BT102)*Inicio!$W$10</f>
        <v>0</v>
      </c>
      <c r="DZ102" s="4">
        <f>SUM(BU102:CD102)*Inicio!$W$11</f>
        <v>0</v>
      </c>
      <c r="EA102" s="4">
        <f>SUM(CE102:CN102)*Inicio!$W$12</f>
        <v>0</v>
      </c>
      <c r="EB102" s="4">
        <f>SUM(CO102:CX102)*Inicio!$W$13</f>
        <v>0</v>
      </c>
      <c r="EC102" s="4">
        <f>SUM(CY102:DH102)*Inicio!$W$11</f>
        <v>0</v>
      </c>
      <c r="ED102" s="4">
        <f>SUM(DI102:DR102)*Inicio!$W$12</f>
        <v>0</v>
      </c>
      <c r="EE102" s="4">
        <f t="shared" si="6"/>
        <v>0</v>
      </c>
      <c r="EF102" s="4">
        <f t="shared" si="9"/>
        <v>0</v>
      </c>
      <c r="EG102" s="4">
        <f t="shared" si="7"/>
        <v>0</v>
      </c>
      <c r="EH102" s="4">
        <f t="shared" si="9"/>
        <v>0</v>
      </c>
    </row>
    <row r="103" spans="2:138" ht="20.25" customHeight="1" x14ac:dyDescent="0.3">
      <c r="B103" s="24" t="s">
        <v>119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4">
        <f>SUM(C103:L103)*Inicio!$W$4</f>
        <v>0</v>
      </c>
      <c r="DT103" s="4">
        <f>SUM(M103:V103)*Inicio!$W$5</f>
        <v>0</v>
      </c>
      <c r="DU103" s="4">
        <f>SUM(W103:AF103)*Inicio!$W$6</f>
        <v>0</v>
      </c>
      <c r="DV103" s="4">
        <f>SUM(AG103:AP103)*Inicio!$W$7</f>
        <v>0</v>
      </c>
      <c r="DW103" s="4">
        <f>SUM(AQ103:AZ103)*Inicio!$W$8</f>
        <v>0</v>
      </c>
      <c r="DX103" s="4">
        <f>SUM(BA103:BJ103)*Inicio!$W$9</f>
        <v>0</v>
      </c>
      <c r="DY103" s="4">
        <f>SUM(BK103:BT103)*Inicio!$W$10</f>
        <v>0</v>
      </c>
      <c r="DZ103" s="4">
        <f>SUM(BU103:CD103)*Inicio!$W$11</f>
        <v>0</v>
      </c>
      <c r="EA103" s="4">
        <f>SUM(CE103:CN103)*Inicio!$W$12</f>
        <v>0</v>
      </c>
      <c r="EB103" s="4">
        <f>SUM(CO103:CX103)*Inicio!$W$13</f>
        <v>0</v>
      </c>
      <c r="EC103" s="4">
        <f>SUM(CY103:DH103)*Inicio!$W$11</f>
        <v>0</v>
      </c>
      <c r="ED103" s="4">
        <f>SUM(DI103:DR103)*Inicio!$W$12</f>
        <v>0</v>
      </c>
      <c r="EE103" s="4">
        <f t="shared" si="6"/>
        <v>0</v>
      </c>
      <c r="EF103" s="4">
        <f t="shared" si="9"/>
        <v>0</v>
      </c>
      <c r="EG103" s="4">
        <f t="shared" si="7"/>
        <v>0</v>
      </c>
      <c r="EH103" s="4">
        <f t="shared" si="9"/>
        <v>0</v>
      </c>
    </row>
    <row r="104" spans="2:138" ht="20.25" customHeight="1" x14ac:dyDescent="0.3">
      <c r="B104" s="25" t="s">
        <v>120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5">
        <f>SUM(C104:L104)*Inicio!$W$4</f>
        <v>0</v>
      </c>
      <c r="DT104" s="5">
        <f>SUM(M104:V104)*Inicio!$W$5</f>
        <v>0</v>
      </c>
      <c r="DU104" s="5">
        <f>SUM(W104:AF104)*Inicio!$W$6</f>
        <v>0</v>
      </c>
      <c r="DV104" s="5">
        <f>SUM(AG104:AP104)*Inicio!$W$7</f>
        <v>0</v>
      </c>
      <c r="DW104" s="5">
        <f>SUM(AQ104:AZ104)*Inicio!$W$8</f>
        <v>0</v>
      </c>
      <c r="DX104" s="5">
        <f>SUM(BA104:BJ104)*Inicio!$W$9</f>
        <v>0</v>
      </c>
      <c r="DY104" s="5">
        <f>SUM(BK104:BT104)*Inicio!$W$10</f>
        <v>0</v>
      </c>
      <c r="DZ104" s="5">
        <f>SUM(BU104:CD104)*Inicio!$W$11</f>
        <v>0</v>
      </c>
      <c r="EA104" s="5">
        <f>SUM(CE104:CN104)*Inicio!$W$12</f>
        <v>0</v>
      </c>
      <c r="EB104" s="5">
        <f>SUM(CO104:CX104)*Inicio!$W$13</f>
        <v>0</v>
      </c>
      <c r="EC104" s="5">
        <f>SUM(CY104:DH104)*Inicio!$W$11</f>
        <v>0</v>
      </c>
      <c r="ED104" s="5">
        <f>SUM(DI104:DR104)*Inicio!$W$12</f>
        <v>0</v>
      </c>
      <c r="EE104" s="5">
        <f t="shared" si="6"/>
        <v>0</v>
      </c>
      <c r="EF104" s="5">
        <f t="shared" si="9"/>
        <v>0</v>
      </c>
      <c r="EG104" s="5">
        <f t="shared" si="7"/>
        <v>0</v>
      </c>
      <c r="EH104" s="5">
        <f t="shared" si="9"/>
        <v>0</v>
      </c>
    </row>
    <row r="105" spans="2:138" ht="20.25" customHeight="1" x14ac:dyDescent="0.3">
      <c r="B105" s="6" t="s">
        <v>121</v>
      </c>
      <c r="C105" s="7">
        <f>SUM(C9:C32)</f>
        <v>0</v>
      </c>
      <c r="D105" s="7">
        <f t="shared" ref="D105:BO105" si="10">SUM(D9:D32)</f>
        <v>0</v>
      </c>
      <c r="E105" s="7">
        <f t="shared" si="10"/>
        <v>0</v>
      </c>
      <c r="F105" s="7">
        <f t="shared" si="10"/>
        <v>0</v>
      </c>
      <c r="G105" s="7">
        <f t="shared" si="10"/>
        <v>0</v>
      </c>
      <c r="H105" s="7">
        <f t="shared" si="10"/>
        <v>0</v>
      </c>
      <c r="I105" s="7">
        <f t="shared" si="10"/>
        <v>0</v>
      </c>
      <c r="J105" s="7">
        <f t="shared" si="10"/>
        <v>0</v>
      </c>
      <c r="K105" s="7">
        <f t="shared" si="10"/>
        <v>0</v>
      </c>
      <c r="L105" s="7">
        <f t="shared" si="10"/>
        <v>0</v>
      </c>
      <c r="M105" s="7">
        <f t="shared" si="10"/>
        <v>0</v>
      </c>
      <c r="N105" s="7">
        <f t="shared" si="10"/>
        <v>0</v>
      </c>
      <c r="O105" s="7">
        <f t="shared" si="10"/>
        <v>0</v>
      </c>
      <c r="P105" s="7">
        <f t="shared" si="10"/>
        <v>0</v>
      </c>
      <c r="Q105" s="7">
        <f t="shared" si="10"/>
        <v>0</v>
      </c>
      <c r="R105" s="7">
        <f t="shared" si="10"/>
        <v>0</v>
      </c>
      <c r="S105" s="7">
        <f t="shared" si="10"/>
        <v>0</v>
      </c>
      <c r="T105" s="7">
        <f t="shared" si="10"/>
        <v>0</v>
      </c>
      <c r="U105" s="7">
        <f t="shared" si="10"/>
        <v>0</v>
      </c>
      <c r="V105" s="7">
        <f t="shared" si="10"/>
        <v>0</v>
      </c>
      <c r="W105" s="7">
        <f t="shared" si="10"/>
        <v>0</v>
      </c>
      <c r="X105" s="7">
        <f t="shared" si="10"/>
        <v>0</v>
      </c>
      <c r="Y105" s="7">
        <f t="shared" si="10"/>
        <v>0</v>
      </c>
      <c r="Z105" s="7">
        <f t="shared" si="10"/>
        <v>0</v>
      </c>
      <c r="AA105" s="7">
        <f t="shared" si="10"/>
        <v>0</v>
      </c>
      <c r="AB105" s="7">
        <f t="shared" si="10"/>
        <v>0</v>
      </c>
      <c r="AC105" s="7">
        <f t="shared" si="10"/>
        <v>0</v>
      </c>
      <c r="AD105" s="7">
        <f t="shared" si="10"/>
        <v>0</v>
      </c>
      <c r="AE105" s="7">
        <f t="shared" si="10"/>
        <v>0</v>
      </c>
      <c r="AF105" s="7">
        <f t="shared" si="10"/>
        <v>0</v>
      </c>
      <c r="AG105" s="7">
        <f t="shared" si="10"/>
        <v>0</v>
      </c>
      <c r="AH105" s="7">
        <f t="shared" si="10"/>
        <v>0</v>
      </c>
      <c r="AI105" s="7">
        <f t="shared" si="10"/>
        <v>0</v>
      </c>
      <c r="AJ105" s="7">
        <f t="shared" si="10"/>
        <v>0</v>
      </c>
      <c r="AK105" s="7">
        <f t="shared" si="10"/>
        <v>0</v>
      </c>
      <c r="AL105" s="7">
        <f t="shared" si="10"/>
        <v>0</v>
      </c>
      <c r="AM105" s="7">
        <f t="shared" si="10"/>
        <v>0</v>
      </c>
      <c r="AN105" s="7">
        <f t="shared" si="10"/>
        <v>0</v>
      </c>
      <c r="AO105" s="7">
        <f t="shared" si="10"/>
        <v>0</v>
      </c>
      <c r="AP105" s="7">
        <f t="shared" si="10"/>
        <v>0</v>
      </c>
      <c r="AQ105" s="7">
        <f t="shared" si="10"/>
        <v>0</v>
      </c>
      <c r="AR105" s="7">
        <f t="shared" si="10"/>
        <v>0</v>
      </c>
      <c r="AS105" s="7">
        <f t="shared" si="10"/>
        <v>0</v>
      </c>
      <c r="AT105" s="7">
        <f t="shared" si="10"/>
        <v>0</v>
      </c>
      <c r="AU105" s="7">
        <f t="shared" si="10"/>
        <v>0</v>
      </c>
      <c r="AV105" s="7">
        <f t="shared" si="10"/>
        <v>0</v>
      </c>
      <c r="AW105" s="7">
        <f t="shared" si="10"/>
        <v>0</v>
      </c>
      <c r="AX105" s="7">
        <f t="shared" si="10"/>
        <v>0</v>
      </c>
      <c r="AY105" s="7">
        <f t="shared" si="10"/>
        <v>0</v>
      </c>
      <c r="AZ105" s="7">
        <f t="shared" si="10"/>
        <v>0</v>
      </c>
      <c r="BA105" s="7">
        <f t="shared" si="10"/>
        <v>0</v>
      </c>
      <c r="BB105" s="7">
        <f t="shared" si="10"/>
        <v>0</v>
      </c>
      <c r="BC105" s="7">
        <f t="shared" si="10"/>
        <v>0</v>
      </c>
      <c r="BD105" s="7">
        <f t="shared" si="10"/>
        <v>0</v>
      </c>
      <c r="BE105" s="7">
        <f t="shared" si="10"/>
        <v>0</v>
      </c>
      <c r="BF105" s="7">
        <f t="shared" si="10"/>
        <v>0</v>
      </c>
      <c r="BG105" s="7">
        <f t="shared" si="10"/>
        <v>0</v>
      </c>
      <c r="BH105" s="7">
        <f t="shared" si="10"/>
        <v>0</v>
      </c>
      <c r="BI105" s="7">
        <f t="shared" si="10"/>
        <v>0</v>
      </c>
      <c r="BJ105" s="7">
        <f t="shared" si="10"/>
        <v>0</v>
      </c>
      <c r="BK105" s="7">
        <f t="shared" si="10"/>
        <v>0</v>
      </c>
      <c r="BL105" s="7">
        <f t="shared" si="10"/>
        <v>0</v>
      </c>
      <c r="BM105" s="7">
        <f t="shared" si="10"/>
        <v>0</v>
      </c>
      <c r="BN105" s="7">
        <f t="shared" si="10"/>
        <v>0</v>
      </c>
      <c r="BO105" s="7">
        <f t="shared" si="10"/>
        <v>0</v>
      </c>
      <c r="BP105" s="7">
        <f t="shared" ref="BP105:CX105" si="11">SUM(BP9:BP32)</f>
        <v>0</v>
      </c>
      <c r="BQ105" s="7">
        <f t="shared" si="11"/>
        <v>0</v>
      </c>
      <c r="BR105" s="7">
        <f t="shared" si="11"/>
        <v>0</v>
      </c>
      <c r="BS105" s="7">
        <f t="shared" si="11"/>
        <v>0</v>
      </c>
      <c r="BT105" s="7">
        <f t="shared" si="11"/>
        <v>0</v>
      </c>
      <c r="BU105" s="7">
        <f t="shared" si="11"/>
        <v>0</v>
      </c>
      <c r="BV105" s="7">
        <f t="shared" si="11"/>
        <v>0</v>
      </c>
      <c r="BW105" s="7">
        <f t="shared" si="11"/>
        <v>0</v>
      </c>
      <c r="BX105" s="7">
        <f t="shared" si="11"/>
        <v>0</v>
      </c>
      <c r="BY105" s="7">
        <f t="shared" si="11"/>
        <v>0</v>
      </c>
      <c r="BZ105" s="7">
        <f t="shared" si="11"/>
        <v>0</v>
      </c>
      <c r="CA105" s="7">
        <f t="shared" si="11"/>
        <v>0</v>
      </c>
      <c r="CB105" s="7">
        <f t="shared" si="11"/>
        <v>0</v>
      </c>
      <c r="CC105" s="7">
        <f t="shared" si="11"/>
        <v>0</v>
      </c>
      <c r="CD105" s="7">
        <f t="shared" si="11"/>
        <v>0</v>
      </c>
      <c r="CE105" s="7">
        <f t="shared" si="11"/>
        <v>0</v>
      </c>
      <c r="CF105" s="7">
        <f t="shared" si="11"/>
        <v>0</v>
      </c>
      <c r="CG105" s="7">
        <f t="shared" si="11"/>
        <v>0</v>
      </c>
      <c r="CH105" s="7">
        <f t="shared" si="11"/>
        <v>0</v>
      </c>
      <c r="CI105" s="7">
        <f t="shared" si="11"/>
        <v>0</v>
      </c>
      <c r="CJ105" s="7">
        <f t="shared" si="11"/>
        <v>0</v>
      </c>
      <c r="CK105" s="7">
        <f t="shared" si="11"/>
        <v>0</v>
      </c>
      <c r="CL105" s="7">
        <f t="shared" si="11"/>
        <v>0</v>
      </c>
      <c r="CM105" s="7">
        <f t="shared" si="11"/>
        <v>0</v>
      </c>
      <c r="CN105" s="7">
        <f t="shared" si="11"/>
        <v>0</v>
      </c>
      <c r="CO105" s="7">
        <f t="shared" si="11"/>
        <v>0</v>
      </c>
      <c r="CP105" s="7">
        <f t="shared" si="11"/>
        <v>0</v>
      </c>
      <c r="CQ105" s="7">
        <f t="shared" si="11"/>
        <v>0</v>
      </c>
      <c r="CR105" s="7">
        <f t="shared" si="11"/>
        <v>0</v>
      </c>
      <c r="CS105" s="7">
        <f t="shared" si="11"/>
        <v>0</v>
      </c>
      <c r="CT105" s="7">
        <f t="shared" si="11"/>
        <v>0</v>
      </c>
      <c r="CU105" s="7">
        <f t="shared" si="11"/>
        <v>0</v>
      </c>
      <c r="CV105" s="7">
        <f t="shared" si="11"/>
        <v>0</v>
      </c>
      <c r="CW105" s="7">
        <f t="shared" si="11"/>
        <v>0</v>
      </c>
      <c r="CX105" s="7">
        <f t="shared" si="11"/>
        <v>0</v>
      </c>
      <c r="CY105" s="7">
        <f t="shared" ref="CY105:DR105" si="12">SUM(CY9:CY32)</f>
        <v>0</v>
      </c>
      <c r="CZ105" s="7">
        <f t="shared" si="12"/>
        <v>0</v>
      </c>
      <c r="DA105" s="7">
        <f t="shared" si="12"/>
        <v>0</v>
      </c>
      <c r="DB105" s="7">
        <f t="shared" si="12"/>
        <v>0</v>
      </c>
      <c r="DC105" s="7">
        <f t="shared" si="12"/>
        <v>0</v>
      </c>
      <c r="DD105" s="7">
        <f t="shared" si="12"/>
        <v>0</v>
      </c>
      <c r="DE105" s="7">
        <f t="shared" si="12"/>
        <v>0</v>
      </c>
      <c r="DF105" s="7">
        <f t="shared" si="12"/>
        <v>0</v>
      </c>
      <c r="DG105" s="7">
        <f t="shared" si="12"/>
        <v>0</v>
      </c>
      <c r="DH105" s="7">
        <f t="shared" si="12"/>
        <v>0</v>
      </c>
      <c r="DI105" s="7">
        <f t="shared" si="12"/>
        <v>0</v>
      </c>
      <c r="DJ105" s="7">
        <f t="shared" si="12"/>
        <v>0</v>
      </c>
      <c r="DK105" s="7">
        <f t="shared" si="12"/>
        <v>0</v>
      </c>
      <c r="DL105" s="7">
        <f t="shared" si="12"/>
        <v>0</v>
      </c>
      <c r="DM105" s="7">
        <f t="shared" si="12"/>
        <v>0</v>
      </c>
      <c r="DN105" s="7">
        <f t="shared" si="12"/>
        <v>0</v>
      </c>
      <c r="DO105" s="7">
        <f t="shared" si="12"/>
        <v>0</v>
      </c>
      <c r="DP105" s="7">
        <f t="shared" si="12"/>
        <v>0</v>
      </c>
      <c r="DQ105" s="7">
        <f t="shared" si="12"/>
        <v>0</v>
      </c>
      <c r="DR105" s="7">
        <f t="shared" si="12"/>
        <v>0</v>
      </c>
      <c r="DS105" s="8"/>
      <c r="DT105" s="9"/>
      <c r="DU105" s="9"/>
      <c r="DV105" s="9"/>
      <c r="DW105" s="9"/>
      <c r="DX105" s="9"/>
      <c r="DY105" s="9"/>
      <c r="DZ105" s="9"/>
      <c r="EA105" s="9"/>
      <c r="EB105" s="9"/>
      <c r="EC105" s="86"/>
      <c r="ED105" s="86"/>
      <c r="EE105" s="54"/>
      <c r="EF105" s="54"/>
      <c r="EG105" s="54"/>
      <c r="EH105" s="10"/>
    </row>
    <row r="106" spans="2:138" ht="20.25" customHeight="1" x14ac:dyDescent="0.3">
      <c r="B106" s="6" t="s">
        <v>122</v>
      </c>
      <c r="C106" s="7">
        <f>SUM(C33:C56)</f>
        <v>0</v>
      </c>
      <c r="D106" s="7">
        <f t="shared" ref="D106:BO106" si="13">SUM(D33:D56)</f>
        <v>0</v>
      </c>
      <c r="E106" s="7">
        <f t="shared" si="13"/>
        <v>0</v>
      </c>
      <c r="F106" s="7">
        <f t="shared" si="13"/>
        <v>0</v>
      </c>
      <c r="G106" s="7">
        <f t="shared" si="13"/>
        <v>0</v>
      </c>
      <c r="H106" s="7">
        <f t="shared" si="13"/>
        <v>0</v>
      </c>
      <c r="I106" s="7">
        <f t="shared" si="13"/>
        <v>0</v>
      </c>
      <c r="J106" s="7">
        <f t="shared" si="13"/>
        <v>0</v>
      </c>
      <c r="K106" s="7">
        <f t="shared" si="13"/>
        <v>0</v>
      </c>
      <c r="L106" s="7">
        <f t="shared" si="13"/>
        <v>0</v>
      </c>
      <c r="M106" s="7">
        <f t="shared" si="13"/>
        <v>0</v>
      </c>
      <c r="N106" s="7">
        <f t="shared" si="13"/>
        <v>0</v>
      </c>
      <c r="O106" s="7">
        <f t="shared" si="13"/>
        <v>0</v>
      </c>
      <c r="P106" s="7">
        <f t="shared" si="13"/>
        <v>0</v>
      </c>
      <c r="Q106" s="7">
        <f t="shared" si="13"/>
        <v>0</v>
      </c>
      <c r="R106" s="7">
        <f t="shared" si="13"/>
        <v>0</v>
      </c>
      <c r="S106" s="7">
        <f t="shared" si="13"/>
        <v>0</v>
      </c>
      <c r="T106" s="7">
        <f t="shared" si="13"/>
        <v>0</v>
      </c>
      <c r="U106" s="7">
        <f t="shared" si="13"/>
        <v>0</v>
      </c>
      <c r="V106" s="7">
        <f t="shared" si="13"/>
        <v>0</v>
      </c>
      <c r="W106" s="7">
        <f t="shared" si="13"/>
        <v>0</v>
      </c>
      <c r="X106" s="7">
        <f t="shared" si="13"/>
        <v>0</v>
      </c>
      <c r="Y106" s="7">
        <f t="shared" si="13"/>
        <v>0</v>
      </c>
      <c r="Z106" s="7">
        <f t="shared" si="13"/>
        <v>0</v>
      </c>
      <c r="AA106" s="7">
        <f t="shared" si="13"/>
        <v>0</v>
      </c>
      <c r="AB106" s="7">
        <f t="shared" si="13"/>
        <v>0</v>
      </c>
      <c r="AC106" s="7">
        <f t="shared" si="13"/>
        <v>0</v>
      </c>
      <c r="AD106" s="7">
        <f t="shared" si="13"/>
        <v>0</v>
      </c>
      <c r="AE106" s="7">
        <f t="shared" si="13"/>
        <v>0</v>
      </c>
      <c r="AF106" s="7">
        <f t="shared" si="13"/>
        <v>0</v>
      </c>
      <c r="AG106" s="7">
        <f t="shared" si="13"/>
        <v>0</v>
      </c>
      <c r="AH106" s="7">
        <f t="shared" si="13"/>
        <v>0</v>
      </c>
      <c r="AI106" s="7">
        <f t="shared" si="13"/>
        <v>0</v>
      </c>
      <c r="AJ106" s="7">
        <f t="shared" si="13"/>
        <v>0</v>
      </c>
      <c r="AK106" s="7">
        <f t="shared" si="13"/>
        <v>0</v>
      </c>
      <c r="AL106" s="7">
        <f t="shared" si="13"/>
        <v>0</v>
      </c>
      <c r="AM106" s="7">
        <f t="shared" si="13"/>
        <v>0</v>
      </c>
      <c r="AN106" s="7">
        <f t="shared" si="13"/>
        <v>0</v>
      </c>
      <c r="AO106" s="7">
        <f t="shared" si="13"/>
        <v>0</v>
      </c>
      <c r="AP106" s="7">
        <f t="shared" si="13"/>
        <v>0</v>
      </c>
      <c r="AQ106" s="7">
        <f t="shared" si="13"/>
        <v>0</v>
      </c>
      <c r="AR106" s="7">
        <f t="shared" si="13"/>
        <v>0</v>
      </c>
      <c r="AS106" s="7">
        <f t="shared" si="13"/>
        <v>0</v>
      </c>
      <c r="AT106" s="7">
        <f t="shared" si="13"/>
        <v>0</v>
      </c>
      <c r="AU106" s="7">
        <f t="shared" si="13"/>
        <v>0</v>
      </c>
      <c r="AV106" s="7">
        <f t="shared" si="13"/>
        <v>0</v>
      </c>
      <c r="AW106" s="7">
        <f t="shared" si="13"/>
        <v>0</v>
      </c>
      <c r="AX106" s="7">
        <f t="shared" si="13"/>
        <v>0</v>
      </c>
      <c r="AY106" s="7">
        <f t="shared" si="13"/>
        <v>0</v>
      </c>
      <c r="AZ106" s="7">
        <f t="shared" si="13"/>
        <v>0</v>
      </c>
      <c r="BA106" s="7">
        <f t="shared" si="13"/>
        <v>0</v>
      </c>
      <c r="BB106" s="7">
        <f t="shared" si="13"/>
        <v>0</v>
      </c>
      <c r="BC106" s="7">
        <f t="shared" si="13"/>
        <v>0</v>
      </c>
      <c r="BD106" s="7">
        <f t="shared" si="13"/>
        <v>0</v>
      </c>
      <c r="BE106" s="7">
        <f t="shared" si="13"/>
        <v>0</v>
      </c>
      <c r="BF106" s="7">
        <f t="shared" si="13"/>
        <v>0</v>
      </c>
      <c r="BG106" s="7">
        <f t="shared" si="13"/>
        <v>0</v>
      </c>
      <c r="BH106" s="7">
        <f t="shared" si="13"/>
        <v>0</v>
      </c>
      <c r="BI106" s="7">
        <f t="shared" si="13"/>
        <v>0</v>
      </c>
      <c r="BJ106" s="7">
        <f t="shared" si="13"/>
        <v>0</v>
      </c>
      <c r="BK106" s="7">
        <f t="shared" si="13"/>
        <v>0</v>
      </c>
      <c r="BL106" s="7">
        <f t="shared" si="13"/>
        <v>0</v>
      </c>
      <c r="BM106" s="7">
        <f t="shared" si="13"/>
        <v>0</v>
      </c>
      <c r="BN106" s="7">
        <f t="shared" si="13"/>
        <v>0</v>
      </c>
      <c r="BO106" s="7">
        <f t="shared" si="13"/>
        <v>0</v>
      </c>
      <c r="BP106" s="7">
        <f t="shared" ref="BP106:CX106" si="14">SUM(BP33:BP56)</f>
        <v>0</v>
      </c>
      <c r="BQ106" s="7">
        <f t="shared" si="14"/>
        <v>0</v>
      </c>
      <c r="BR106" s="7">
        <f t="shared" si="14"/>
        <v>0</v>
      </c>
      <c r="BS106" s="7">
        <f t="shared" si="14"/>
        <v>0</v>
      </c>
      <c r="BT106" s="7">
        <f t="shared" si="14"/>
        <v>0</v>
      </c>
      <c r="BU106" s="7">
        <f t="shared" si="14"/>
        <v>0</v>
      </c>
      <c r="BV106" s="7">
        <f t="shared" si="14"/>
        <v>0</v>
      </c>
      <c r="BW106" s="7">
        <f t="shared" si="14"/>
        <v>0</v>
      </c>
      <c r="BX106" s="7">
        <f t="shared" si="14"/>
        <v>0</v>
      </c>
      <c r="BY106" s="7">
        <f t="shared" si="14"/>
        <v>0</v>
      </c>
      <c r="BZ106" s="7">
        <f t="shared" si="14"/>
        <v>0</v>
      </c>
      <c r="CA106" s="7">
        <f t="shared" si="14"/>
        <v>0</v>
      </c>
      <c r="CB106" s="7">
        <f t="shared" si="14"/>
        <v>0</v>
      </c>
      <c r="CC106" s="7">
        <f t="shared" si="14"/>
        <v>0</v>
      </c>
      <c r="CD106" s="7">
        <f t="shared" si="14"/>
        <v>0</v>
      </c>
      <c r="CE106" s="7">
        <f t="shared" si="14"/>
        <v>0</v>
      </c>
      <c r="CF106" s="7">
        <f t="shared" si="14"/>
        <v>0</v>
      </c>
      <c r="CG106" s="7">
        <f t="shared" si="14"/>
        <v>0</v>
      </c>
      <c r="CH106" s="7">
        <f t="shared" si="14"/>
        <v>0</v>
      </c>
      <c r="CI106" s="7">
        <f t="shared" si="14"/>
        <v>0</v>
      </c>
      <c r="CJ106" s="7">
        <f t="shared" si="14"/>
        <v>0</v>
      </c>
      <c r="CK106" s="7">
        <f t="shared" si="14"/>
        <v>0</v>
      </c>
      <c r="CL106" s="7">
        <f t="shared" si="14"/>
        <v>0</v>
      </c>
      <c r="CM106" s="7">
        <f t="shared" si="14"/>
        <v>0</v>
      </c>
      <c r="CN106" s="7">
        <f t="shared" si="14"/>
        <v>0</v>
      </c>
      <c r="CO106" s="7">
        <f t="shared" si="14"/>
        <v>0</v>
      </c>
      <c r="CP106" s="7">
        <f t="shared" si="14"/>
        <v>0</v>
      </c>
      <c r="CQ106" s="7">
        <f t="shared" si="14"/>
        <v>0</v>
      </c>
      <c r="CR106" s="7">
        <f t="shared" si="14"/>
        <v>0</v>
      </c>
      <c r="CS106" s="7">
        <f t="shared" si="14"/>
        <v>0</v>
      </c>
      <c r="CT106" s="7">
        <f t="shared" si="14"/>
        <v>0</v>
      </c>
      <c r="CU106" s="7">
        <f t="shared" si="14"/>
        <v>0</v>
      </c>
      <c r="CV106" s="7">
        <f t="shared" si="14"/>
        <v>0</v>
      </c>
      <c r="CW106" s="7">
        <f t="shared" si="14"/>
        <v>0</v>
      </c>
      <c r="CX106" s="7">
        <f t="shared" si="14"/>
        <v>0</v>
      </c>
      <c r="CY106" s="7">
        <f t="shared" ref="CY106:DR106" si="15">SUM(CY33:CY56)</f>
        <v>0</v>
      </c>
      <c r="CZ106" s="7">
        <f t="shared" si="15"/>
        <v>0</v>
      </c>
      <c r="DA106" s="7">
        <f t="shared" si="15"/>
        <v>0</v>
      </c>
      <c r="DB106" s="7">
        <f t="shared" si="15"/>
        <v>0</v>
      </c>
      <c r="DC106" s="7">
        <f t="shared" si="15"/>
        <v>0</v>
      </c>
      <c r="DD106" s="7">
        <f t="shared" si="15"/>
        <v>0</v>
      </c>
      <c r="DE106" s="7">
        <f t="shared" si="15"/>
        <v>0</v>
      </c>
      <c r="DF106" s="7">
        <f t="shared" si="15"/>
        <v>0</v>
      </c>
      <c r="DG106" s="7">
        <f t="shared" si="15"/>
        <v>0</v>
      </c>
      <c r="DH106" s="7">
        <f t="shared" si="15"/>
        <v>0</v>
      </c>
      <c r="DI106" s="7">
        <f t="shared" si="15"/>
        <v>0</v>
      </c>
      <c r="DJ106" s="7">
        <f t="shared" si="15"/>
        <v>0</v>
      </c>
      <c r="DK106" s="7">
        <f t="shared" si="15"/>
        <v>0</v>
      </c>
      <c r="DL106" s="7">
        <f t="shared" si="15"/>
        <v>0</v>
      </c>
      <c r="DM106" s="7">
        <f t="shared" si="15"/>
        <v>0</v>
      </c>
      <c r="DN106" s="7">
        <f t="shared" si="15"/>
        <v>0</v>
      </c>
      <c r="DO106" s="7">
        <f t="shared" si="15"/>
        <v>0</v>
      </c>
      <c r="DP106" s="7">
        <f t="shared" si="15"/>
        <v>0</v>
      </c>
      <c r="DQ106" s="7">
        <f t="shared" si="15"/>
        <v>0</v>
      </c>
      <c r="DR106" s="7">
        <f t="shared" si="15"/>
        <v>0</v>
      </c>
      <c r="DS106" s="11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0"/>
      <c r="EF106" s="10"/>
      <c r="EG106" s="10"/>
      <c r="EH106" s="10"/>
    </row>
    <row r="107" spans="2:138" ht="20.25" customHeight="1" x14ac:dyDescent="0.3">
      <c r="B107" s="6" t="s">
        <v>123</v>
      </c>
      <c r="C107" s="7">
        <f>SUM(C57:C80)</f>
        <v>0</v>
      </c>
      <c r="D107" s="7">
        <f t="shared" ref="D107:BO107" si="16">SUM(D57:D80)</f>
        <v>0</v>
      </c>
      <c r="E107" s="7">
        <f t="shared" si="16"/>
        <v>0</v>
      </c>
      <c r="F107" s="7">
        <f t="shared" si="16"/>
        <v>0</v>
      </c>
      <c r="G107" s="7">
        <f t="shared" si="16"/>
        <v>0</v>
      </c>
      <c r="H107" s="7">
        <f t="shared" si="16"/>
        <v>0</v>
      </c>
      <c r="I107" s="7">
        <f t="shared" si="16"/>
        <v>0</v>
      </c>
      <c r="J107" s="7">
        <f t="shared" si="16"/>
        <v>0</v>
      </c>
      <c r="K107" s="7">
        <f t="shared" si="16"/>
        <v>0</v>
      </c>
      <c r="L107" s="7">
        <f t="shared" si="16"/>
        <v>0</v>
      </c>
      <c r="M107" s="7">
        <f t="shared" si="16"/>
        <v>0</v>
      </c>
      <c r="N107" s="7">
        <f t="shared" si="16"/>
        <v>0</v>
      </c>
      <c r="O107" s="7">
        <f t="shared" si="16"/>
        <v>0</v>
      </c>
      <c r="P107" s="7">
        <f t="shared" si="16"/>
        <v>0</v>
      </c>
      <c r="Q107" s="7">
        <f t="shared" si="16"/>
        <v>0</v>
      </c>
      <c r="R107" s="7">
        <f t="shared" si="16"/>
        <v>0</v>
      </c>
      <c r="S107" s="7">
        <f t="shared" si="16"/>
        <v>0</v>
      </c>
      <c r="T107" s="7">
        <f t="shared" si="16"/>
        <v>0</v>
      </c>
      <c r="U107" s="7">
        <f t="shared" si="16"/>
        <v>0</v>
      </c>
      <c r="V107" s="7">
        <f t="shared" si="16"/>
        <v>0</v>
      </c>
      <c r="W107" s="7">
        <f t="shared" si="16"/>
        <v>0</v>
      </c>
      <c r="X107" s="7">
        <f t="shared" si="16"/>
        <v>0</v>
      </c>
      <c r="Y107" s="7">
        <f t="shared" si="16"/>
        <v>0</v>
      </c>
      <c r="Z107" s="7">
        <f t="shared" si="16"/>
        <v>0</v>
      </c>
      <c r="AA107" s="7">
        <f t="shared" si="16"/>
        <v>0</v>
      </c>
      <c r="AB107" s="7">
        <f t="shared" si="16"/>
        <v>0</v>
      </c>
      <c r="AC107" s="7">
        <f t="shared" si="16"/>
        <v>0</v>
      </c>
      <c r="AD107" s="7">
        <f t="shared" si="16"/>
        <v>0</v>
      </c>
      <c r="AE107" s="7">
        <f t="shared" si="16"/>
        <v>0</v>
      </c>
      <c r="AF107" s="7">
        <f t="shared" si="16"/>
        <v>0</v>
      </c>
      <c r="AG107" s="7">
        <f t="shared" si="16"/>
        <v>0</v>
      </c>
      <c r="AH107" s="7">
        <f t="shared" si="16"/>
        <v>0</v>
      </c>
      <c r="AI107" s="7">
        <f t="shared" si="16"/>
        <v>0</v>
      </c>
      <c r="AJ107" s="7">
        <f t="shared" si="16"/>
        <v>0</v>
      </c>
      <c r="AK107" s="7">
        <f t="shared" si="16"/>
        <v>0</v>
      </c>
      <c r="AL107" s="7">
        <f t="shared" si="16"/>
        <v>0</v>
      </c>
      <c r="AM107" s="7">
        <f t="shared" si="16"/>
        <v>0</v>
      </c>
      <c r="AN107" s="7">
        <f t="shared" si="16"/>
        <v>0</v>
      </c>
      <c r="AO107" s="7">
        <f t="shared" si="16"/>
        <v>0</v>
      </c>
      <c r="AP107" s="7">
        <f t="shared" si="16"/>
        <v>0</v>
      </c>
      <c r="AQ107" s="7">
        <f t="shared" si="16"/>
        <v>0</v>
      </c>
      <c r="AR107" s="7">
        <f t="shared" si="16"/>
        <v>0</v>
      </c>
      <c r="AS107" s="7">
        <f t="shared" si="16"/>
        <v>0</v>
      </c>
      <c r="AT107" s="7">
        <f t="shared" si="16"/>
        <v>0</v>
      </c>
      <c r="AU107" s="7">
        <f t="shared" si="16"/>
        <v>0</v>
      </c>
      <c r="AV107" s="7">
        <f t="shared" si="16"/>
        <v>0</v>
      </c>
      <c r="AW107" s="7">
        <f t="shared" si="16"/>
        <v>0</v>
      </c>
      <c r="AX107" s="7">
        <f t="shared" si="16"/>
        <v>0</v>
      </c>
      <c r="AY107" s="7">
        <f t="shared" si="16"/>
        <v>0</v>
      </c>
      <c r="AZ107" s="7">
        <f t="shared" si="16"/>
        <v>0</v>
      </c>
      <c r="BA107" s="7">
        <f t="shared" si="16"/>
        <v>0</v>
      </c>
      <c r="BB107" s="7">
        <f t="shared" si="16"/>
        <v>0</v>
      </c>
      <c r="BC107" s="7">
        <f t="shared" si="16"/>
        <v>0</v>
      </c>
      <c r="BD107" s="7">
        <f t="shared" si="16"/>
        <v>0</v>
      </c>
      <c r="BE107" s="7">
        <f t="shared" si="16"/>
        <v>0</v>
      </c>
      <c r="BF107" s="7">
        <f t="shared" si="16"/>
        <v>0</v>
      </c>
      <c r="BG107" s="7">
        <f t="shared" si="16"/>
        <v>0</v>
      </c>
      <c r="BH107" s="7">
        <f t="shared" si="16"/>
        <v>0</v>
      </c>
      <c r="BI107" s="7">
        <f t="shared" si="16"/>
        <v>0</v>
      </c>
      <c r="BJ107" s="7">
        <f t="shared" si="16"/>
        <v>0</v>
      </c>
      <c r="BK107" s="7">
        <f t="shared" si="16"/>
        <v>0</v>
      </c>
      <c r="BL107" s="7">
        <f t="shared" si="16"/>
        <v>0</v>
      </c>
      <c r="BM107" s="7">
        <f t="shared" si="16"/>
        <v>0</v>
      </c>
      <c r="BN107" s="7">
        <f t="shared" si="16"/>
        <v>0</v>
      </c>
      <c r="BO107" s="7">
        <f t="shared" si="16"/>
        <v>0</v>
      </c>
      <c r="BP107" s="7">
        <f t="shared" ref="BP107:CX107" si="17">SUM(BP57:BP80)</f>
        <v>0</v>
      </c>
      <c r="BQ107" s="7">
        <f t="shared" si="17"/>
        <v>0</v>
      </c>
      <c r="BR107" s="7">
        <f t="shared" si="17"/>
        <v>0</v>
      </c>
      <c r="BS107" s="7">
        <f t="shared" si="17"/>
        <v>0</v>
      </c>
      <c r="BT107" s="7">
        <f t="shared" si="17"/>
        <v>0</v>
      </c>
      <c r="BU107" s="7">
        <f t="shared" si="17"/>
        <v>0</v>
      </c>
      <c r="BV107" s="7">
        <f t="shared" si="17"/>
        <v>0</v>
      </c>
      <c r="BW107" s="7">
        <f t="shared" si="17"/>
        <v>0</v>
      </c>
      <c r="BX107" s="7">
        <f t="shared" si="17"/>
        <v>0</v>
      </c>
      <c r="BY107" s="7">
        <f t="shared" si="17"/>
        <v>0</v>
      </c>
      <c r="BZ107" s="7">
        <f t="shared" si="17"/>
        <v>0</v>
      </c>
      <c r="CA107" s="7">
        <f t="shared" si="17"/>
        <v>0</v>
      </c>
      <c r="CB107" s="7">
        <f t="shared" si="17"/>
        <v>0</v>
      </c>
      <c r="CC107" s="7">
        <f t="shared" si="17"/>
        <v>0</v>
      </c>
      <c r="CD107" s="7">
        <f t="shared" si="17"/>
        <v>0</v>
      </c>
      <c r="CE107" s="7">
        <f t="shared" si="17"/>
        <v>0</v>
      </c>
      <c r="CF107" s="7">
        <f t="shared" si="17"/>
        <v>0</v>
      </c>
      <c r="CG107" s="7">
        <f t="shared" si="17"/>
        <v>0</v>
      </c>
      <c r="CH107" s="7">
        <f t="shared" si="17"/>
        <v>0</v>
      </c>
      <c r="CI107" s="7">
        <f t="shared" si="17"/>
        <v>0</v>
      </c>
      <c r="CJ107" s="7">
        <f t="shared" si="17"/>
        <v>0</v>
      </c>
      <c r="CK107" s="7">
        <f t="shared" si="17"/>
        <v>0</v>
      </c>
      <c r="CL107" s="7">
        <f t="shared" si="17"/>
        <v>0</v>
      </c>
      <c r="CM107" s="7">
        <f t="shared" si="17"/>
        <v>0</v>
      </c>
      <c r="CN107" s="7">
        <f t="shared" si="17"/>
        <v>0</v>
      </c>
      <c r="CO107" s="7">
        <f t="shared" si="17"/>
        <v>0</v>
      </c>
      <c r="CP107" s="7">
        <f t="shared" si="17"/>
        <v>0</v>
      </c>
      <c r="CQ107" s="7">
        <f t="shared" si="17"/>
        <v>0</v>
      </c>
      <c r="CR107" s="7">
        <f t="shared" si="17"/>
        <v>0</v>
      </c>
      <c r="CS107" s="7">
        <f t="shared" si="17"/>
        <v>0</v>
      </c>
      <c r="CT107" s="7">
        <f t="shared" si="17"/>
        <v>0</v>
      </c>
      <c r="CU107" s="7">
        <f t="shared" si="17"/>
        <v>0</v>
      </c>
      <c r="CV107" s="7">
        <f t="shared" si="17"/>
        <v>0</v>
      </c>
      <c r="CW107" s="7">
        <f t="shared" si="17"/>
        <v>0</v>
      </c>
      <c r="CX107" s="7">
        <f t="shared" si="17"/>
        <v>0</v>
      </c>
      <c r="CY107" s="7">
        <f t="shared" ref="CY107:DR107" si="18">SUM(CY57:CY80)</f>
        <v>0</v>
      </c>
      <c r="CZ107" s="7">
        <f t="shared" si="18"/>
        <v>0</v>
      </c>
      <c r="DA107" s="7">
        <f t="shared" si="18"/>
        <v>0</v>
      </c>
      <c r="DB107" s="7">
        <f t="shared" si="18"/>
        <v>0</v>
      </c>
      <c r="DC107" s="7">
        <f t="shared" si="18"/>
        <v>0</v>
      </c>
      <c r="DD107" s="7">
        <f t="shared" si="18"/>
        <v>0</v>
      </c>
      <c r="DE107" s="7">
        <f t="shared" si="18"/>
        <v>0</v>
      </c>
      <c r="DF107" s="7">
        <f t="shared" si="18"/>
        <v>0</v>
      </c>
      <c r="DG107" s="7">
        <f t="shared" si="18"/>
        <v>0</v>
      </c>
      <c r="DH107" s="7">
        <f t="shared" si="18"/>
        <v>0</v>
      </c>
      <c r="DI107" s="7">
        <f t="shared" si="18"/>
        <v>0</v>
      </c>
      <c r="DJ107" s="7">
        <f t="shared" si="18"/>
        <v>0</v>
      </c>
      <c r="DK107" s="7">
        <f t="shared" si="18"/>
        <v>0</v>
      </c>
      <c r="DL107" s="7">
        <f t="shared" si="18"/>
        <v>0</v>
      </c>
      <c r="DM107" s="7">
        <f t="shared" si="18"/>
        <v>0</v>
      </c>
      <c r="DN107" s="7">
        <f t="shared" si="18"/>
        <v>0</v>
      </c>
      <c r="DO107" s="7">
        <f t="shared" si="18"/>
        <v>0</v>
      </c>
      <c r="DP107" s="7">
        <f t="shared" si="18"/>
        <v>0</v>
      </c>
      <c r="DQ107" s="7">
        <f t="shared" si="18"/>
        <v>0</v>
      </c>
      <c r="DR107" s="7">
        <f t="shared" si="18"/>
        <v>0</v>
      </c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0"/>
      <c r="EF107" s="10"/>
      <c r="EG107" s="10"/>
      <c r="EH107" s="10"/>
    </row>
    <row r="108" spans="2:138" ht="20.25" customHeight="1" x14ac:dyDescent="0.3">
      <c r="B108" s="6" t="s">
        <v>124</v>
      </c>
      <c r="C108" s="7">
        <f>SUM(C81:C104)</f>
        <v>0</v>
      </c>
      <c r="D108" s="7">
        <f t="shared" ref="D108:BO108" si="19">SUM(D81:D104)</f>
        <v>0</v>
      </c>
      <c r="E108" s="7">
        <f t="shared" si="19"/>
        <v>0</v>
      </c>
      <c r="F108" s="7">
        <f t="shared" si="19"/>
        <v>0</v>
      </c>
      <c r="G108" s="7">
        <f t="shared" si="19"/>
        <v>0</v>
      </c>
      <c r="H108" s="7">
        <f t="shared" si="19"/>
        <v>0</v>
      </c>
      <c r="I108" s="7">
        <f t="shared" si="19"/>
        <v>0</v>
      </c>
      <c r="J108" s="7">
        <f t="shared" si="19"/>
        <v>0</v>
      </c>
      <c r="K108" s="7">
        <f t="shared" si="19"/>
        <v>0</v>
      </c>
      <c r="L108" s="7">
        <f t="shared" si="19"/>
        <v>0</v>
      </c>
      <c r="M108" s="7">
        <f t="shared" si="19"/>
        <v>0</v>
      </c>
      <c r="N108" s="7">
        <f t="shared" si="19"/>
        <v>0</v>
      </c>
      <c r="O108" s="7">
        <f t="shared" si="19"/>
        <v>0</v>
      </c>
      <c r="P108" s="7">
        <f t="shared" si="19"/>
        <v>0</v>
      </c>
      <c r="Q108" s="7">
        <f t="shared" si="19"/>
        <v>0</v>
      </c>
      <c r="R108" s="7">
        <f t="shared" si="19"/>
        <v>0</v>
      </c>
      <c r="S108" s="7">
        <f t="shared" si="19"/>
        <v>0</v>
      </c>
      <c r="T108" s="7">
        <f t="shared" si="19"/>
        <v>0</v>
      </c>
      <c r="U108" s="7">
        <f t="shared" si="19"/>
        <v>0</v>
      </c>
      <c r="V108" s="7">
        <f t="shared" si="19"/>
        <v>0</v>
      </c>
      <c r="W108" s="7">
        <f t="shared" si="19"/>
        <v>0</v>
      </c>
      <c r="X108" s="7">
        <f t="shared" si="19"/>
        <v>0</v>
      </c>
      <c r="Y108" s="7">
        <f t="shared" si="19"/>
        <v>0</v>
      </c>
      <c r="Z108" s="7">
        <f t="shared" si="19"/>
        <v>0</v>
      </c>
      <c r="AA108" s="7">
        <f t="shared" si="19"/>
        <v>0</v>
      </c>
      <c r="AB108" s="7">
        <f t="shared" si="19"/>
        <v>0</v>
      </c>
      <c r="AC108" s="7">
        <f t="shared" si="19"/>
        <v>0</v>
      </c>
      <c r="AD108" s="7">
        <f t="shared" si="19"/>
        <v>0</v>
      </c>
      <c r="AE108" s="7">
        <f t="shared" si="19"/>
        <v>0</v>
      </c>
      <c r="AF108" s="7">
        <f t="shared" si="19"/>
        <v>0</v>
      </c>
      <c r="AG108" s="7">
        <f t="shared" si="19"/>
        <v>0</v>
      </c>
      <c r="AH108" s="7">
        <f t="shared" si="19"/>
        <v>0</v>
      </c>
      <c r="AI108" s="7">
        <f t="shared" si="19"/>
        <v>0</v>
      </c>
      <c r="AJ108" s="7">
        <f t="shared" si="19"/>
        <v>0</v>
      </c>
      <c r="AK108" s="7">
        <f t="shared" si="19"/>
        <v>0</v>
      </c>
      <c r="AL108" s="7">
        <f t="shared" si="19"/>
        <v>0</v>
      </c>
      <c r="AM108" s="7">
        <f t="shared" si="19"/>
        <v>0</v>
      </c>
      <c r="AN108" s="7">
        <f t="shared" si="19"/>
        <v>0</v>
      </c>
      <c r="AO108" s="7">
        <f t="shared" si="19"/>
        <v>0</v>
      </c>
      <c r="AP108" s="7">
        <f t="shared" si="19"/>
        <v>0</v>
      </c>
      <c r="AQ108" s="7">
        <f t="shared" si="19"/>
        <v>0</v>
      </c>
      <c r="AR108" s="7">
        <f t="shared" si="19"/>
        <v>0</v>
      </c>
      <c r="AS108" s="7">
        <f t="shared" si="19"/>
        <v>0</v>
      </c>
      <c r="AT108" s="7">
        <f t="shared" si="19"/>
        <v>0</v>
      </c>
      <c r="AU108" s="7">
        <f t="shared" si="19"/>
        <v>0</v>
      </c>
      <c r="AV108" s="7">
        <f t="shared" si="19"/>
        <v>0</v>
      </c>
      <c r="AW108" s="7">
        <f t="shared" si="19"/>
        <v>0</v>
      </c>
      <c r="AX108" s="7">
        <f t="shared" si="19"/>
        <v>0</v>
      </c>
      <c r="AY108" s="7">
        <f t="shared" si="19"/>
        <v>0</v>
      </c>
      <c r="AZ108" s="7">
        <f t="shared" si="19"/>
        <v>0</v>
      </c>
      <c r="BA108" s="7">
        <f t="shared" si="19"/>
        <v>0</v>
      </c>
      <c r="BB108" s="7">
        <f t="shared" si="19"/>
        <v>0</v>
      </c>
      <c r="BC108" s="7">
        <f t="shared" si="19"/>
        <v>0</v>
      </c>
      <c r="BD108" s="7">
        <f t="shared" si="19"/>
        <v>0</v>
      </c>
      <c r="BE108" s="7">
        <f t="shared" si="19"/>
        <v>0</v>
      </c>
      <c r="BF108" s="7">
        <f t="shared" si="19"/>
        <v>0</v>
      </c>
      <c r="BG108" s="7">
        <f t="shared" si="19"/>
        <v>0</v>
      </c>
      <c r="BH108" s="7">
        <f t="shared" si="19"/>
        <v>0</v>
      </c>
      <c r="BI108" s="7">
        <f t="shared" si="19"/>
        <v>0</v>
      </c>
      <c r="BJ108" s="7">
        <f t="shared" si="19"/>
        <v>0</v>
      </c>
      <c r="BK108" s="7">
        <f t="shared" si="19"/>
        <v>0</v>
      </c>
      <c r="BL108" s="7">
        <f t="shared" si="19"/>
        <v>0</v>
      </c>
      <c r="BM108" s="7">
        <f t="shared" si="19"/>
        <v>0</v>
      </c>
      <c r="BN108" s="7">
        <f t="shared" si="19"/>
        <v>0</v>
      </c>
      <c r="BO108" s="7">
        <f t="shared" si="19"/>
        <v>0</v>
      </c>
      <c r="BP108" s="7">
        <f t="shared" ref="BP108:CX108" si="20">SUM(BP81:BP104)</f>
        <v>0</v>
      </c>
      <c r="BQ108" s="7">
        <f t="shared" si="20"/>
        <v>0</v>
      </c>
      <c r="BR108" s="7">
        <f t="shared" si="20"/>
        <v>0</v>
      </c>
      <c r="BS108" s="7">
        <f t="shared" si="20"/>
        <v>0</v>
      </c>
      <c r="BT108" s="7">
        <f t="shared" si="20"/>
        <v>0</v>
      </c>
      <c r="BU108" s="7">
        <f t="shared" si="20"/>
        <v>0</v>
      </c>
      <c r="BV108" s="7">
        <f t="shared" si="20"/>
        <v>0</v>
      </c>
      <c r="BW108" s="7">
        <f t="shared" si="20"/>
        <v>0</v>
      </c>
      <c r="BX108" s="7">
        <f t="shared" si="20"/>
        <v>0</v>
      </c>
      <c r="BY108" s="7">
        <f t="shared" si="20"/>
        <v>0</v>
      </c>
      <c r="BZ108" s="7">
        <f t="shared" si="20"/>
        <v>0</v>
      </c>
      <c r="CA108" s="7">
        <f t="shared" si="20"/>
        <v>0</v>
      </c>
      <c r="CB108" s="7">
        <f t="shared" si="20"/>
        <v>0</v>
      </c>
      <c r="CC108" s="7">
        <f t="shared" si="20"/>
        <v>0</v>
      </c>
      <c r="CD108" s="7">
        <f t="shared" si="20"/>
        <v>0</v>
      </c>
      <c r="CE108" s="7">
        <f t="shared" si="20"/>
        <v>0</v>
      </c>
      <c r="CF108" s="7">
        <f t="shared" si="20"/>
        <v>0</v>
      </c>
      <c r="CG108" s="7">
        <f t="shared" si="20"/>
        <v>0</v>
      </c>
      <c r="CH108" s="7">
        <f t="shared" si="20"/>
        <v>0</v>
      </c>
      <c r="CI108" s="7">
        <f t="shared" si="20"/>
        <v>0</v>
      </c>
      <c r="CJ108" s="7">
        <f t="shared" si="20"/>
        <v>0</v>
      </c>
      <c r="CK108" s="7">
        <f t="shared" si="20"/>
        <v>0</v>
      </c>
      <c r="CL108" s="7">
        <f t="shared" si="20"/>
        <v>0</v>
      </c>
      <c r="CM108" s="7">
        <f t="shared" si="20"/>
        <v>0</v>
      </c>
      <c r="CN108" s="7">
        <f t="shared" si="20"/>
        <v>0</v>
      </c>
      <c r="CO108" s="7">
        <f t="shared" si="20"/>
        <v>0</v>
      </c>
      <c r="CP108" s="7">
        <f t="shared" si="20"/>
        <v>0</v>
      </c>
      <c r="CQ108" s="7">
        <f t="shared" si="20"/>
        <v>0</v>
      </c>
      <c r="CR108" s="7">
        <f t="shared" si="20"/>
        <v>0</v>
      </c>
      <c r="CS108" s="7">
        <f t="shared" si="20"/>
        <v>0</v>
      </c>
      <c r="CT108" s="7">
        <f t="shared" si="20"/>
        <v>0</v>
      </c>
      <c r="CU108" s="7">
        <f t="shared" si="20"/>
        <v>0</v>
      </c>
      <c r="CV108" s="7">
        <f t="shared" si="20"/>
        <v>0</v>
      </c>
      <c r="CW108" s="7">
        <f t="shared" si="20"/>
        <v>0</v>
      </c>
      <c r="CX108" s="7">
        <f t="shared" si="20"/>
        <v>0</v>
      </c>
      <c r="CY108" s="7">
        <f t="shared" ref="CY108:DR108" si="21">SUM(CY81:CY104)</f>
        <v>0</v>
      </c>
      <c r="CZ108" s="7">
        <f t="shared" si="21"/>
        <v>0</v>
      </c>
      <c r="DA108" s="7">
        <f t="shared" si="21"/>
        <v>0</v>
      </c>
      <c r="DB108" s="7">
        <f t="shared" si="21"/>
        <v>0</v>
      </c>
      <c r="DC108" s="7">
        <f t="shared" si="21"/>
        <v>0</v>
      </c>
      <c r="DD108" s="7">
        <f t="shared" si="21"/>
        <v>0</v>
      </c>
      <c r="DE108" s="7">
        <f t="shared" si="21"/>
        <v>0</v>
      </c>
      <c r="DF108" s="7">
        <f t="shared" si="21"/>
        <v>0</v>
      </c>
      <c r="DG108" s="7">
        <f t="shared" si="21"/>
        <v>0</v>
      </c>
      <c r="DH108" s="7">
        <f t="shared" si="21"/>
        <v>0</v>
      </c>
      <c r="DI108" s="7">
        <f t="shared" si="21"/>
        <v>0</v>
      </c>
      <c r="DJ108" s="7">
        <f t="shared" si="21"/>
        <v>0</v>
      </c>
      <c r="DK108" s="7">
        <f t="shared" si="21"/>
        <v>0</v>
      </c>
      <c r="DL108" s="7">
        <f t="shared" si="21"/>
        <v>0</v>
      </c>
      <c r="DM108" s="7">
        <f t="shared" si="21"/>
        <v>0</v>
      </c>
      <c r="DN108" s="7">
        <f t="shared" si="21"/>
        <v>0</v>
      </c>
      <c r="DO108" s="7">
        <f t="shared" si="21"/>
        <v>0</v>
      </c>
      <c r="DP108" s="7">
        <f t="shared" si="21"/>
        <v>0</v>
      </c>
      <c r="DQ108" s="7">
        <f t="shared" si="21"/>
        <v>0</v>
      </c>
      <c r="DR108" s="7">
        <f t="shared" si="21"/>
        <v>0</v>
      </c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0"/>
      <c r="EF108" s="10"/>
      <c r="EG108" s="10"/>
      <c r="EH108" s="10"/>
    </row>
    <row r="109" spans="2:138" ht="20.25" x14ac:dyDescent="0.3">
      <c r="EH109" s="10"/>
    </row>
  </sheetData>
  <mergeCells count="29">
    <mergeCell ref="EH7:EH8"/>
    <mergeCell ref="EF7:EF8"/>
    <mergeCell ref="W7:AF7"/>
    <mergeCell ref="B2:EH2"/>
    <mergeCell ref="B3:C3"/>
    <mergeCell ref="D3:K3"/>
    <mergeCell ref="L3:EH5"/>
    <mergeCell ref="B4:C4"/>
    <mergeCell ref="D4:K4"/>
    <mergeCell ref="B5:C5"/>
    <mergeCell ref="D5:E5"/>
    <mergeCell ref="F5:G5"/>
    <mergeCell ref="H5:K5"/>
    <mergeCell ref="B6:EH6"/>
    <mergeCell ref="AG7:AP7"/>
    <mergeCell ref="AQ7:AZ7"/>
    <mergeCell ref="B7:B8"/>
    <mergeCell ref="EG7:EG8"/>
    <mergeCell ref="DS7:EB7"/>
    <mergeCell ref="C7:L7"/>
    <mergeCell ref="M7:V7"/>
    <mergeCell ref="BU7:CD7"/>
    <mergeCell ref="CE7:CN7"/>
    <mergeCell ref="CO7:CX7"/>
    <mergeCell ref="EE7:EE8"/>
    <mergeCell ref="BA7:BJ7"/>
    <mergeCell ref="BK7:BT7"/>
    <mergeCell ref="CY7:DH7"/>
    <mergeCell ref="DI7:DR7"/>
  </mergeCells>
  <pageMargins left="0.7" right="0.7" top="0.75" bottom="0.75" header="0.3" footer="0.3"/>
  <ignoredErrors>
    <ignoredError sqref="EG9:EG10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Inicio</vt:lpstr>
      <vt:lpstr>HPMAD</vt:lpstr>
      <vt:lpstr>HPM</vt:lpstr>
      <vt:lpstr>HPT</vt:lpstr>
      <vt:lpstr>HPN</vt:lpstr>
      <vt:lpstr>N</vt:lpstr>
      <vt:lpstr>S</vt:lpstr>
      <vt:lpstr>E</vt:lpstr>
      <vt:lpstr>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Daryl Candia Nina</cp:lastModifiedBy>
  <dcterms:created xsi:type="dcterms:W3CDTF">2025-09-05T11:53:06Z</dcterms:created>
  <dcterms:modified xsi:type="dcterms:W3CDTF">2025-12-26T04:18:46Z</dcterms:modified>
</cp:coreProperties>
</file>